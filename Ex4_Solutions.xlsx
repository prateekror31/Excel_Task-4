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Ques" sheetId="2" r:id="rId5"/>
    <sheet state="visible" name="Solutions" sheetId="3" r:id="rId6"/>
    <sheet state="visible" name="Answers" sheetId="4" r:id="rId7"/>
  </sheets>
  <definedNames>
    <definedName name="cop">#REF!</definedName>
    <definedName name="Slicer_City">#REF!</definedName>
    <definedName hidden="1" localSheetId="0" name="_xlnm._FilterDatabase">data!$A$1:$S$501</definedName>
    <definedName hidden="1" localSheetId="2" name="_xlnm._FilterDatabase">Solutions!$A$1:$T$501</definedName>
  </definedNames>
  <calcPr/>
  <pivotCaches>
    <pivotCache cacheId="0" r:id="rId8"/>
    <pivotCache cacheId="1" r:id="rId9"/>
    <pivotCache cacheId="2" r:id="rId10"/>
  </pivotCaches>
  <extLst>
    <ext uri="GoogleSheetsCustomDataVersion2">
      <go:sheetsCustomData xmlns:go="http://customooxmlschemas.google.com/" r:id="rId11" roundtripDataChecksum="OAkjH+5rpjLdkU7Lvzrzt0CXE+HtUl93VHyx+7+1fyA="/>
    </ext>
  </extLst>
</workbook>
</file>

<file path=xl/sharedStrings.xml><?xml version="1.0" encoding="utf-8"?>
<sst xmlns="http://schemas.openxmlformats.org/spreadsheetml/2006/main" count="12749" uniqueCount="2275">
  <si>
    <t>Customer_ID</t>
  </si>
  <si>
    <t>First_Name</t>
  </si>
  <si>
    <t>Last_Name</t>
  </si>
  <si>
    <t>Age</t>
  </si>
  <si>
    <t>Gender</t>
  </si>
  <si>
    <t>City</t>
  </si>
  <si>
    <t>Email</t>
  </si>
  <si>
    <t>Address</t>
  </si>
  <si>
    <t>Order_ID</t>
  </si>
  <si>
    <t>Order_Date</t>
  </si>
  <si>
    <t>Order_Time</t>
  </si>
  <si>
    <t>Product_ID</t>
  </si>
  <si>
    <t>Price</t>
  </si>
  <si>
    <t>Quantity</t>
  </si>
  <si>
    <t>Coupon_Code</t>
  </si>
  <si>
    <t>Estimated_Days_to_Deliver</t>
  </si>
  <si>
    <t>Delivery_Charge</t>
  </si>
  <si>
    <t>Delivery_Date</t>
  </si>
  <si>
    <t>Delivery_Time</t>
  </si>
  <si>
    <t>CID186</t>
  </si>
  <si>
    <t>Anne</t>
  </si>
  <si>
    <t>Oconnell</t>
  </si>
  <si>
    <t>Male</t>
  </si>
  <si>
    <t>Phoenix</t>
  </si>
  <si>
    <t>anne.oconnell@outlook.com</t>
  </si>
  <si>
    <t>2850 Matthew Ford, North Yolandachester, FL 67488</t>
  </si>
  <si>
    <t>OID2497</t>
  </si>
  <si>
    <t>18:16:33</t>
  </si>
  <si>
    <t>PID022</t>
  </si>
  <si>
    <t>FLAT8</t>
  </si>
  <si>
    <t>08:51:31</t>
  </si>
  <si>
    <t>CID150</t>
  </si>
  <si>
    <t>Anthony</t>
  </si>
  <si>
    <t>Thomas</t>
  </si>
  <si>
    <t>Female</t>
  </si>
  <si>
    <t>Houston</t>
  </si>
  <si>
    <t>anthony.thomas@rediffmail.com</t>
  </si>
  <si>
    <t>931 Christopher Ways Suite 833, North Michelle, IN 53484</t>
  </si>
  <si>
    <t>OID7056</t>
  </si>
  <si>
    <t>01:46:33</t>
  </si>
  <si>
    <t>PID015</t>
  </si>
  <si>
    <t>18:46:26</t>
  </si>
  <si>
    <t>CID115</t>
  </si>
  <si>
    <t>Karl</t>
  </si>
  <si>
    <t>Gallagher</t>
  </si>
  <si>
    <t>Other</t>
  </si>
  <si>
    <t>karl.gallagher@rediffmail.com</t>
  </si>
  <si>
    <t>5016 Snow Mountains Apt. 063, New Seanport, WY 41492</t>
  </si>
  <si>
    <t>OID7502</t>
  </si>
  <si>
    <t>07:31:36</t>
  </si>
  <si>
    <t>PID023</t>
  </si>
  <si>
    <t>FLAT15</t>
  </si>
  <si>
    <t>14:29:50</t>
  </si>
  <si>
    <t>OID7077</t>
  </si>
  <si>
    <t>18:29:21</t>
  </si>
  <si>
    <t>PID031</t>
  </si>
  <si>
    <t>DEL0</t>
  </si>
  <si>
    <t>07:00:32</t>
  </si>
  <si>
    <t>CID149</t>
  </si>
  <si>
    <t>Angela</t>
  </si>
  <si>
    <t>Horne</t>
  </si>
  <si>
    <t>angela.horne@outlook.com</t>
  </si>
  <si>
    <t>USNV Mueller, FPO AP 54648</t>
  </si>
  <si>
    <t>OID2793</t>
  </si>
  <si>
    <t>03:23:21</t>
  </si>
  <si>
    <t>22:10:58</t>
  </si>
  <si>
    <t>CID159</t>
  </si>
  <si>
    <t>Christine</t>
  </si>
  <si>
    <t>West</t>
  </si>
  <si>
    <t>New York</t>
  </si>
  <si>
    <t>christine.west@gmail.com</t>
  </si>
  <si>
    <t>Unit 1433 Box 0246, DPO AP 94952</t>
  </si>
  <si>
    <t>OID1483</t>
  </si>
  <si>
    <t>16:55:06</t>
  </si>
  <si>
    <t>PID043</t>
  </si>
  <si>
    <t>11:25:50</t>
  </si>
  <si>
    <t>OID4105</t>
  </si>
  <si>
    <t>09:47:21</t>
  </si>
  <si>
    <t>FLAT20</t>
  </si>
  <si>
    <t>20:10:50</t>
  </si>
  <si>
    <t>CID198</t>
  </si>
  <si>
    <t>David</t>
  </si>
  <si>
    <t>Delacruz</t>
  </si>
  <si>
    <t>Los Angeles</t>
  </si>
  <si>
    <t>david.delacruz@rediffmail.com</t>
  </si>
  <si>
    <t>USNS Ray, FPO AE 20238</t>
  </si>
  <si>
    <t>OID4372</t>
  </si>
  <si>
    <t>19:27:45</t>
  </si>
  <si>
    <t>PID046</t>
  </si>
  <si>
    <t>FLAT10</t>
  </si>
  <si>
    <t>12:36:32</t>
  </si>
  <si>
    <t>CID152</t>
  </si>
  <si>
    <t>Marcus</t>
  </si>
  <si>
    <t>Valenzuela</t>
  </si>
  <si>
    <t>marcus.valenzuela@yahoo.com</t>
  </si>
  <si>
    <t>694 Graham Prairie Apt. 887, Jimenezfurt, MI 33044</t>
  </si>
  <si>
    <t>OID3528</t>
  </si>
  <si>
    <t>12:07:00</t>
  </si>
  <si>
    <t>PID034</t>
  </si>
  <si>
    <t>23:05:41</t>
  </si>
  <si>
    <t>CID130</t>
  </si>
  <si>
    <t>Debra</t>
  </si>
  <si>
    <t>Rodriguez</t>
  </si>
  <si>
    <t>debra.rodriguez@rediffmail.com</t>
  </si>
  <si>
    <t>Unit 5964 Box 0721, DPO AP 01840</t>
  </si>
  <si>
    <t>OID9634</t>
  </si>
  <si>
    <t>13:46:47</t>
  </si>
  <si>
    <t>PID033</t>
  </si>
  <si>
    <t>19:57:06</t>
  </si>
  <si>
    <t>OID1905</t>
  </si>
  <si>
    <t>17:21:43</t>
  </si>
  <si>
    <t>08:00:35</t>
  </si>
  <si>
    <t>CID101</t>
  </si>
  <si>
    <t>Bobby</t>
  </si>
  <si>
    <t>Forbes</t>
  </si>
  <si>
    <t>bobby.forbes@gmail.com</t>
  </si>
  <si>
    <t>3079 John Parkway Suite 961, Port Kristaview, MT 91019</t>
  </si>
  <si>
    <t>OID3136</t>
  </si>
  <si>
    <t>15:09:49</t>
  </si>
  <si>
    <t>PID007</t>
  </si>
  <si>
    <t>22:54:40</t>
  </si>
  <si>
    <t>CID105</t>
  </si>
  <si>
    <t>Joseph</t>
  </si>
  <si>
    <t>Stewart</t>
  </si>
  <si>
    <t>joseph.stewart@yahoo.com</t>
  </si>
  <si>
    <t>4082 Wang Terrace Suite 040, Victorialand, ME 41532</t>
  </si>
  <si>
    <t>OID6886</t>
  </si>
  <si>
    <t>22:42:51</t>
  </si>
  <si>
    <t>PID042</t>
  </si>
  <si>
    <t>13:19:45</t>
  </si>
  <si>
    <t>CID172</t>
  </si>
  <si>
    <t>Kara</t>
  </si>
  <si>
    <t>Brennan</t>
  </si>
  <si>
    <t>Miami</t>
  </si>
  <si>
    <t>kara.brennan@outlook.com</t>
  </si>
  <si>
    <t>2174 Thomas Avenue, Maciasborough, NJ 41465</t>
  </si>
  <si>
    <t>OID3509</t>
  </si>
  <si>
    <t>14:52:54</t>
  </si>
  <si>
    <t>PID047</t>
  </si>
  <si>
    <t>15:16:54</t>
  </si>
  <si>
    <t>CID178</t>
  </si>
  <si>
    <t>Amy</t>
  </si>
  <si>
    <t>Reid</t>
  </si>
  <si>
    <t>amy.reid@rediffmail.com</t>
  </si>
  <si>
    <t>6262 Simpson Village, North Danielle, RI 76074</t>
  </si>
  <si>
    <t>OID3689</t>
  </si>
  <si>
    <t>01:19:56</t>
  </si>
  <si>
    <t>PID039</t>
  </si>
  <si>
    <t>21:47:03</t>
  </si>
  <si>
    <t>CID176</t>
  </si>
  <si>
    <t>Joshua</t>
  </si>
  <si>
    <t>Campbell</t>
  </si>
  <si>
    <t>Chicago</t>
  </si>
  <si>
    <t>joshua.campbell@gmail.com</t>
  </si>
  <si>
    <t>70426 Lindsey Overpass Apt. 030, Jessicafurt, AR 46269</t>
  </si>
  <si>
    <t>OID1911</t>
  </si>
  <si>
    <t>04:13:27</t>
  </si>
  <si>
    <t>11:25:46</t>
  </si>
  <si>
    <t>CID148</t>
  </si>
  <si>
    <t>Erin</t>
  </si>
  <si>
    <t>Miller</t>
  </si>
  <si>
    <t>San Francisco</t>
  </si>
  <si>
    <t>erin.miller@gmail.com</t>
  </si>
  <si>
    <t>65972 Peterson Route, Port Andrewfurt, SD 32892</t>
  </si>
  <si>
    <t>OID6520</t>
  </si>
  <si>
    <t>23:53:21</t>
  </si>
  <si>
    <t>PID014</t>
  </si>
  <si>
    <t>12:55:59</t>
  </si>
  <si>
    <t>CID137</t>
  </si>
  <si>
    <t>Gina</t>
  </si>
  <si>
    <t>Moreno</t>
  </si>
  <si>
    <t>gina.moreno@rediffmail.com</t>
  </si>
  <si>
    <t>USS Murray, FPO AP 66559</t>
  </si>
  <si>
    <t>OID6123</t>
  </si>
  <si>
    <t>19:16:28</t>
  </si>
  <si>
    <t>PID024</t>
  </si>
  <si>
    <t>03:46:23</t>
  </si>
  <si>
    <t>CID147</t>
  </si>
  <si>
    <t>Mallory</t>
  </si>
  <si>
    <t>Mitchell</t>
  </si>
  <si>
    <t>mallory.mitchell@yahoo.com</t>
  </si>
  <si>
    <t>710 Anthony Wall Suite 137, East Davidstad, NV 61494</t>
  </si>
  <si>
    <t>OID1699</t>
  </si>
  <si>
    <t>11:48:17</t>
  </si>
  <si>
    <t>10:08:54</t>
  </si>
  <si>
    <t>CID128</t>
  </si>
  <si>
    <t>Traci</t>
  </si>
  <si>
    <t>Jones</t>
  </si>
  <si>
    <t>traci.jones@yahoo.com</t>
  </si>
  <si>
    <t>4016 Ryan Passage, Collinsside, PA 88777</t>
  </si>
  <si>
    <t>OID3792</t>
  </si>
  <si>
    <t>06:34:00</t>
  </si>
  <si>
    <t>PID003</t>
  </si>
  <si>
    <t>14:05:20</t>
  </si>
  <si>
    <t>CID168</t>
  </si>
  <si>
    <t>Deborah</t>
  </si>
  <si>
    <t>Bates</t>
  </si>
  <si>
    <t>deborah.bates@yahoo.com</t>
  </si>
  <si>
    <t>278 Kathy Estate, Saraville, OH 77292</t>
  </si>
  <si>
    <t>OID7663</t>
  </si>
  <si>
    <t>04:06:55</t>
  </si>
  <si>
    <t>13:39:21</t>
  </si>
  <si>
    <t>CID179</t>
  </si>
  <si>
    <t>Christian</t>
  </si>
  <si>
    <t>Clayton</t>
  </si>
  <si>
    <t>christian.clayton@yahoo.com</t>
  </si>
  <si>
    <t>065 Madison Way, Smithstad, CT 68011</t>
  </si>
  <si>
    <t>OID7609</t>
  </si>
  <si>
    <t>10:38:12</t>
  </si>
  <si>
    <t>13:23:35</t>
  </si>
  <si>
    <t>CID163</t>
  </si>
  <si>
    <t>Mark</t>
  </si>
  <si>
    <t>Henderson</t>
  </si>
  <si>
    <t>Dallas</t>
  </si>
  <si>
    <t>mark.henderson@yahoo.com</t>
  </si>
  <si>
    <t>90155 Hines Spring, North Theresafurt, ME 31920</t>
  </si>
  <si>
    <t>OID8875</t>
  </si>
  <si>
    <t>20:47:13</t>
  </si>
  <si>
    <t>PID008</t>
  </si>
  <si>
    <t>16:23:04</t>
  </si>
  <si>
    <t>CID182</t>
  </si>
  <si>
    <t>John</t>
  </si>
  <si>
    <t>Herrera</t>
  </si>
  <si>
    <t>john.herrera@outlook.com</t>
  </si>
  <si>
    <t>61263 Jacob Isle, Amandatown, TN 34321</t>
  </si>
  <si>
    <t>OID4032</t>
  </si>
  <si>
    <t>08:09:52</t>
  </si>
  <si>
    <t>PID012</t>
  </si>
  <si>
    <t>00:57:21</t>
  </si>
  <si>
    <t>CID158</t>
  </si>
  <si>
    <t>Evans</t>
  </si>
  <si>
    <t>angela.evans@outlook.com</t>
  </si>
  <si>
    <t>16031 David Mountain Suite 431, Susanborough, PA 01910</t>
  </si>
  <si>
    <t>OID9964</t>
  </si>
  <si>
    <t>19:13:06</t>
  </si>
  <si>
    <t>PID028</t>
  </si>
  <si>
    <t>04:38:19</t>
  </si>
  <si>
    <t>OID2121</t>
  </si>
  <si>
    <t>06:04:50</t>
  </si>
  <si>
    <t>PID030</t>
  </si>
  <si>
    <t>20:36:00</t>
  </si>
  <si>
    <t>OID4710</t>
  </si>
  <si>
    <t>17:44:17</t>
  </si>
  <si>
    <t>PID026</t>
  </si>
  <si>
    <t>09:53:18</t>
  </si>
  <si>
    <t>OID4295</t>
  </si>
  <si>
    <t>18:58:15</t>
  </si>
  <si>
    <t>02:21:23</t>
  </si>
  <si>
    <t>CID193</t>
  </si>
  <si>
    <t>Ashley</t>
  </si>
  <si>
    <t>Rose</t>
  </si>
  <si>
    <t>ashley.rose@gmail.com</t>
  </si>
  <si>
    <t>424 Nichols Curve Suite 177, Lake Brianview, TX 17289</t>
  </si>
  <si>
    <t>OID2817</t>
  </si>
  <si>
    <t>12:22:52</t>
  </si>
  <si>
    <t>08:01:21</t>
  </si>
  <si>
    <t>CID166</t>
  </si>
  <si>
    <t>Taylor</t>
  </si>
  <si>
    <t>Davis</t>
  </si>
  <si>
    <t>taylor.davis@yahoo.com</t>
  </si>
  <si>
    <t>USCGC Simmons, FPO AA 60167</t>
  </si>
  <si>
    <t>OID4643</t>
  </si>
  <si>
    <t>00:40:20</t>
  </si>
  <si>
    <t>PID018</t>
  </si>
  <si>
    <t>20:26:25</t>
  </si>
  <si>
    <t>CID191</t>
  </si>
  <si>
    <t>Lauren</t>
  </si>
  <si>
    <t>Long</t>
  </si>
  <si>
    <t>lauren.long@gmail.com</t>
  </si>
  <si>
    <t>258 Michael Brooks Suite 363, Arnoldview, PA 49438</t>
  </si>
  <si>
    <t>OID4558</t>
  </si>
  <si>
    <t>21:19:14</t>
  </si>
  <si>
    <t>17:27:57</t>
  </si>
  <si>
    <t>CID108</t>
  </si>
  <si>
    <t>Teresa</t>
  </si>
  <si>
    <t>Harvey</t>
  </si>
  <si>
    <t>teresa.harvey@gmail.com</t>
  </si>
  <si>
    <t>02669 Kirk Squares, Davisville, VA 51272</t>
  </si>
  <si>
    <t>OID9577</t>
  </si>
  <si>
    <t>10:35:41</t>
  </si>
  <si>
    <t>PID036</t>
  </si>
  <si>
    <t>09:28:47</t>
  </si>
  <si>
    <t>OID5502</t>
  </si>
  <si>
    <t>13:50:14</t>
  </si>
  <si>
    <t>PID050</t>
  </si>
  <si>
    <t>08:49:03</t>
  </si>
  <si>
    <t>CID161</t>
  </si>
  <si>
    <t>Heather</t>
  </si>
  <si>
    <t>Schneider</t>
  </si>
  <si>
    <t>heather.schneider@outlook.com</t>
  </si>
  <si>
    <t>57940 Susan Creek Apt. 541, Port Aliciamouth, OR 90221</t>
  </si>
  <si>
    <t>OID6974</t>
  </si>
  <si>
    <t>01:48:02</t>
  </si>
  <si>
    <t>09:55:32</t>
  </si>
  <si>
    <t>CID190</t>
  </si>
  <si>
    <t>Valerie</t>
  </si>
  <si>
    <t>Carr</t>
  </si>
  <si>
    <t>valerie.carr@rediffmail.com</t>
  </si>
  <si>
    <t>981 Emily Stream, South Brianna, CO 98063</t>
  </si>
  <si>
    <t>OID2701</t>
  </si>
  <si>
    <t>14:37:48</t>
  </si>
  <si>
    <t>PID021</t>
  </si>
  <si>
    <t>09:09:46</t>
  </si>
  <si>
    <t>OID4432</t>
  </si>
  <si>
    <t>05:01:37</t>
  </si>
  <si>
    <t>14:14:46</t>
  </si>
  <si>
    <t>OID3502</t>
  </si>
  <si>
    <t>12:35:46</t>
  </si>
  <si>
    <t>00:00:51</t>
  </si>
  <si>
    <t>CID120</t>
  </si>
  <si>
    <t>Jenny</t>
  </si>
  <si>
    <t>Estrada</t>
  </si>
  <si>
    <t>jenny.estrada@yahoo.com</t>
  </si>
  <si>
    <t>792 Carlos Islands, West David, CT 16522</t>
  </si>
  <si>
    <t>OID4411</t>
  </si>
  <si>
    <t>23:34:14</t>
  </si>
  <si>
    <t>PID027</t>
  </si>
  <si>
    <t>16:46:20</t>
  </si>
  <si>
    <t>CID155</t>
  </si>
  <si>
    <t>Courtney</t>
  </si>
  <si>
    <t>Parker</t>
  </si>
  <si>
    <t>courtney.parker@yahoo.com</t>
  </si>
  <si>
    <t>087 Jacqueline Rue Apt. 694, East Tasha, SC 04859</t>
  </si>
  <si>
    <t>OID6304</t>
  </si>
  <si>
    <t>04:09:40</t>
  </si>
  <si>
    <t>01:56:00</t>
  </si>
  <si>
    <t>CID121</t>
  </si>
  <si>
    <t>Julie</t>
  </si>
  <si>
    <t>Meyer</t>
  </si>
  <si>
    <t>julie.meyer@yahoo.com</t>
  </si>
  <si>
    <t>17381 Smith Ramp Suite 398, Courtneyville, AL 17756</t>
  </si>
  <si>
    <t>OID5126</t>
  </si>
  <si>
    <t>04:03:43</t>
  </si>
  <si>
    <t>PID037</t>
  </si>
  <si>
    <t>18:12:43</t>
  </si>
  <si>
    <t>OID8577</t>
  </si>
  <si>
    <t>00:47:19</t>
  </si>
  <si>
    <t>PID041</t>
  </si>
  <si>
    <t>11:25:58</t>
  </si>
  <si>
    <t>OID7688</t>
  </si>
  <si>
    <t>12:37:23</t>
  </si>
  <si>
    <t>09:02:09</t>
  </si>
  <si>
    <t>CID133</t>
  </si>
  <si>
    <t>Donna</t>
  </si>
  <si>
    <t>Oneill</t>
  </si>
  <si>
    <t>donna.oneill@yahoo.com</t>
  </si>
  <si>
    <t>464 Carolyn Crest Suite 738, Lake Isaiah, CA 66153</t>
  </si>
  <si>
    <t>OID4670</t>
  </si>
  <si>
    <t>17:27:33</t>
  </si>
  <si>
    <t>PID004</t>
  </si>
  <si>
    <t>15:28:39</t>
  </si>
  <si>
    <t>CID169</t>
  </si>
  <si>
    <t>Robert</t>
  </si>
  <si>
    <t>Castillo</t>
  </si>
  <si>
    <t>robert.castillo@gmail.com</t>
  </si>
  <si>
    <t>7143 Brandon Skyway Suite 899, Tylerton, IA 21756</t>
  </si>
  <si>
    <t>OID3319</t>
  </si>
  <si>
    <t>01:59:03</t>
  </si>
  <si>
    <t>12:37:05</t>
  </si>
  <si>
    <t>CID132</t>
  </si>
  <si>
    <t>Timothy</t>
  </si>
  <si>
    <t>Hicks</t>
  </si>
  <si>
    <t>timothy.hicks@gmail.com</t>
  </si>
  <si>
    <t>140 Tracy Fields, Lake Cynthiaton, TX 57190</t>
  </si>
  <si>
    <t>OID6911</t>
  </si>
  <si>
    <t>21:46:52</t>
  </si>
  <si>
    <t>16:09:29</t>
  </si>
  <si>
    <t>CID180</t>
  </si>
  <si>
    <t>Andersen</t>
  </si>
  <si>
    <t>thomas.andersen@yahoo.com</t>
  </si>
  <si>
    <t>480 Summers Lock Suite 819, Sarahborough, IA 59863</t>
  </si>
  <si>
    <t>OID8494</t>
  </si>
  <si>
    <t>18:49:59</t>
  </si>
  <si>
    <t>00:31:21</t>
  </si>
  <si>
    <t>OID6898</t>
  </si>
  <si>
    <t>22:08:17</t>
  </si>
  <si>
    <t>PID020</t>
  </si>
  <si>
    <t>06:23:07</t>
  </si>
  <si>
    <t>CID184</t>
  </si>
  <si>
    <t>Aaron</t>
  </si>
  <si>
    <t>Thompson</t>
  </si>
  <si>
    <t>aaron.thompson@gmail.com</t>
  </si>
  <si>
    <t>PSC 0550, Box 2737, APO AE 75772</t>
  </si>
  <si>
    <t>OID7606</t>
  </si>
  <si>
    <t>19:20:51</t>
  </si>
  <si>
    <t>07:23:46</t>
  </si>
  <si>
    <t>CID187</t>
  </si>
  <si>
    <t>Jason</t>
  </si>
  <si>
    <t>Lopez</t>
  </si>
  <si>
    <t>jason.lopez@outlook.com</t>
  </si>
  <si>
    <t>934 Levine View, Brentport, NE 38210</t>
  </si>
  <si>
    <t>OID6503</t>
  </si>
  <si>
    <t>00:57:17</t>
  </si>
  <si>
    <t>09:51:58</t>
  </si>
  <si>
    <t>CID181</t>
  </si>
  <si>
    <t>Alexandra</t>
  </si>
  <si>
    <t>Smith</t>
  </si>
  <si>
    <t>alexandra.smith@rediffmail.com</t>
  </si>
  <si>
    <t>48611 Clark Village, West Anne, GA 92865</t>
  </si>
  <si>
    <t>OID3616</t>
  </si>
  <si>
    <t>04:25:34</t>
  </si>
  <si>
    <t>00:47:31</t>
  </si>
  <si>
    <t>OID2170</t>
  </si>
  <si>
    <t>07:52:23</t>
  </si>
  <si>
    <t>17:14:10</t>
  </si>
  <si>
    <t>CID116</t>
  </si>
  <si>
    <t>Ramirez</t>
  </si>
  <si>
    <t>john.ramirez@outlook.com</t>
  </si>
  <si>
    <t>02797 Martin Landing, South Michelle, VT 98781</t>
  </si>
  <si>
    <t>OID1956</t>
  </si>
  <si>
    <t>15:34:34</t>
  </si>
  <si>
    <t>PID010</t>
  </si>
  <si>
    <t>01:12:58</t>
  </si>
  <si>
    <t>CID135</t>
  </si>
  <si>
    <t>Amanda</t>
  </si>
  <si>
    <t>Howard</t>
  </si>
  <si>
    <t>amanda.howard@outlook.com</t>
  </si>
  <si>
    <t>56908 Sydney Park Suite 632, West Anthonyport, NC 15954</t>
  </si>
  <si>
    <t>OID8620</t>
  </si>
  <si>
    <t>01:45:28</t>
  </si>
  <si>
    <t>07:09:53</t>
  </si>
  <si>
    <t>OID4770</t>
  </si>
  <si>
    <t>12:30:02</t>
  </si>
  <si>
    <t>PID001</t>
  </si>
  <si>
    <t>07:53:31</t>
  </si>
  <si>
    <t>OID9880</t>
  </si>
  <si>
    <t>04:32:42</t>
  </si>
  <si>
    <t>08:48:02</t>
  </si>
  <si>
    <t>CID165</t>
  </si>
  <si>
    <t>Mary</t>
  </si>
  <si>
    <t>Knight</t>
  </si>
  <si>
    <t>mary.knight@yahoo.com</t>
  </si>
  <si>
    <t>907 Kimberly Hill, Murrayfort, NH 88384</t>
  </si>
  <si>
    <t>OID2152</t>
  </si>
  <si>
    <t>14:13:38</t>
  </si>
  <si>
    <t>16:08:19</t>
  </si>
  <si>
    <t>CID126</t>
  </si>
  <si>
    <t>Rogers</t>
  </si>
  <si>
    <t>marcus.rogers@outlook.com</t>
  </si>
  <si>
    <t>06912 Brown Pine Apt. 763, Teresamouth, HI 24377</t>
  </si>
  <si>
    <t>OID2991</t>
  </si>
  <si>
    <t>02:09:48</t>
  </si>
  <si>
    <t>03:08:52</t>
  </si>
  <si>
    <t>CID111</t>
  </si>
  <si>
    <t>Brian</t>
  </si>
  <si>
    <t>Kennedy</t>
  </si>
  <si>
    <t>brian.kennedy@outlook.com</t>
  </si>
  <si>
    <t>25126 Nancy Fort Suite 568, Alexandrachester, AZ 44823</t>
  </si>
  <si>
    <t>OID5607</t>
  </si>
  <si>
    <t>16:10:50</t>
  </si>
  <si>
    <t>15:21:29</t>
  </si>
  <si>
    <t>CID129</t>
  </si>
  <si>
    <t>Rebecca</t>
  </si>
  <si>
    <t>Figueroa</t>
  </si>
  <si>
    <t>rebecca.figueroa@outlook.com</t>
  </si>
  <si>
    <t>3959 Bell Dale, North Jacob, LA 07934</t>
  </si>
  <si>
    <t>OID8169</t>
  </si>
  <si>
    <t>09:43:27</t>
  </si>
  <si>
    <t>00:00:42</t>
  </si>
  <si>
    <t>CID199</t>
  </si>
  <si>
    <t>Lori</t>
  </si>
  <si>
    <t>Cook</t>
  </si>
  <si>
    <t>lori.cook@rediffmail.com</t>
  </si>
  <si>
    <t>86837 Bell Meadows, North Jasonshire, UT 51354</t>
  </si>
  <si>
    <t>OID5832</t>
  </si>
  <si>
    <t>02:34:25</t>
  </si>
  <si>
    <t>PID019</t>
  </si>
  <si>
    <t>13:09:47</t>
  </si>
  <si>
    <t>CID134</t>
  </si>
  <si>
    <t>Hayes</t>
  </si>
  <si>
    <t>debra.hayes@yahoo.com</t>
  </si>
  <si>
    <t>4601 Miller Lock, Williamsbury, IA 10943</t>
  </si>
  <si>
    <t>OID7806</t>
  </si>
  <si>
    <t>02:46:19</t>
  </si>
  <si>
    <t>PID009</t>
  </si>
  <si>
    <t>20:00:32</t>
  </si>
  <si>
    <t>CID136</t>
  </si>
  <si>
    <t>Brittany</t>
  </si>
  <si>
    <t>brittany.stewart@gmail.com</t>
  </si>
  <si>
    <t>6250 David Loaf Suite 561, North Pamelaberg, WV 63652</t>
  </si>
  <si>
    <t>OID4875</t>
  </si>
  <si>
    <t>18:25:37</t>
  </si>
  <si>
    <t>15:52:25</t>
  </si>
  <si>
    <t>CID153</t>
  </si>
  <si>
    <t>mitchell.parker@yahoo.com</t>
  </si>
  <si>
    <t>PSC 3316, Box 9303, APO AE 29513</t>
  </si>
  <si>
    <t>OID4070</t>
  </si>
  <si>
    <t>19:18:19</t>
  </si>
  <si>
    <t>PID038</t>
  </si>
  <si>
    <t>02:44:55</t>
  </si>
  <si>
    <t>OID7679</t>
  </si>
  <si>
    <t>09:15:50</t>
  </si>
  <si>
    <t>09:05:06</t>
  </si>
  <si>
    <t>CID100</t>
  </si>
  <si>
    <t>Sharon</t>
  </si>
  <si>
    <t>sharon.thompson@yahoo.com</t>
  </si>
  <si>
    <t>598 Jasmine Harbor, Turnerberg, SD 02371</t>
  </si>
  <si>
    <t>OID3097</t>
  </si>
  <si>
    <t>02:51:35</t>
  </si>
  <si>
    <t>05:56:26</t>
  </si>
  <si>
    <t>CID195</t>
  </si>
  <si>
    <t>Sarah</t>
  </si>
  <si>
    <t>Butler</t>
  </si>
  <si>
    <t>sarah.butler@rediffmail.com</t>
  </si>
  <si>
    <t>14131 Edwin Shore Apt. 190, Deniseberg, MD 90905</t>
  </si>
  <si>
    <t>OID8869</t>
  </si>
  <si>
    <t>20:59:40</t>
  </si>
  <si>
    <t>PID048</t>
  </si>
  <si>
    <t>23:33:51</t>
  </si>
  <si>
    <t>OID2686</t>
  </si>
  <si>
    <t>17:00:22</t>
  </si>
  <si>
    <t>PID049</t>
  </si>
  <si>
    <t>12:18:47</t>
  </si>
  <si>
    <t>CID175</t>
  </si>
  <si>
    <t>Katherine</t>
  </si>
  <si>
    <t>Weber</t>
  </si>
  <si>
    <t>katherine.weber@outlook.com</t>
  </si>
  <si>
    <t>04887 Kimberly Union Apt. 645, Port Laura, IL 97219</t>
  </si>
  <si>
    <t>OID1046</t>
  </si>
  <si>
    <t>22:51:56</t>
  </si>
  <si>
    <t>07:24:20</t>
  </si>
  <si>
    <t>CID103</t>
  </si>
  <si>
    <t>Nguyen</t>
  </si>
  <si>
    <t>jason.nguyen@yahoo.com</t>
  </si>
  <si>
    <t>7112 Travis Glens Suite 790, Crystalland, WV 38373</t>
  </si>
  <si>
    <t>OID8953</t>
  </si>
  <si>
    <t>12:19:34</t>
  </si>
  <si>
    <t>10:04:54</t>
  </si>
  <si>
    <t>CID192</t>
  </si>
  <si>
    <t>Brandon</t>
  </si>
  <si>
    <t>Cruz</t>
  </si>
  <si>
    <t>brandon.cruz@gmail.com</t>
  </si>
  <si>
    <t>9296 Villanueva Branch, East Kevin, CO 93912</t>
  </si>
  <si>
    <t>OID1157</t>
  </si>
  <si>
    <t>15:26:04</t>
  </si>
  <si>
    <t>08:17:58</t>
  </si>
  <si>
    <t>OID7358</t>
  </si>
  <si>
    <t>19:49:32</t>
  </si>
  <si>
    <t>22:41:33</t>
  </si>
  <si>
    <t>CID174</t>
  </si>
  <si>
    <t>Jodi</t>
  </si>
  <si>
    <t>Whitney</t>
  </si>
  <si>
    <t>jodi.whitney@yahoo.com</t>
  </si>
  <si>
    <t>72876 Lara Key Suite 383, Gutierrezton, OR 71683</t>
  </si>
  <si>
    <t>OID7453</t>
  </si>
  <si>
    <t>21:08:59</t>
  </si>
  <si>
    <t>PID017</t>
  </si>
  <si>
    <t>10:39:08</t>
  </si>
  <si>
    <t>OID1573</t>
  </si>
  <si>
    <t>05:40:38</t>
  </si>
  <si>
    <t>05:38:59</t>
  </si>
  <si>
    <t>OID5696</t>
  </si>
  <si>
    <t>17:56:01</t>
  </si>
  <si>
    <t>15:52:42</t>
  </si>
  <si>
    <t>OID3467</t>
  </si>
  <si>
    <t>23:34:28</t>
  </si>
  <si>
    <t>PID016</t>
  </si>
  <si>
    <t>02:05:20</t>
  </si>
  <si>
    <t>OID8542</t>
  </si>
  <si>
    <t>03:04:26</t>
  </si>
  <si>
    <t>16:05:07</t>
  </si>
  <si>
    <t>OID1520</t>
  </si>
  <si>
    <t>04:27:04</t>
  </si>
  <si>
    <t>07:38:34</t>
  </si>
  <si>
    <t>OID2157</t>
  </si>
  <si>
    <t>23:24:39</t>
  </si>
  <si>
    <t>PID006</t>
  </si>
  <si>
    <t>01:07:36</t>
  </si>
  <si>
    <t>CID145</t>
  </si>
  <si>
    <t>Romero</t>
  </si>
  <si>
    <t>ashley.romero@yahoo.com</t>
  </si>
  <si>
    <t>547 Kerry Expressway, Lake Amanda, AR 20321</t>
  </si>
  <si>
    <t>OID6374</t>
  </si>
  <si>
    <t>18:54:33</t>
  </si>
  <si>
    <t>16:14:09</t>
  </si>
  <si>
    <t>OID6555</t>
  </si>
  <si>
    <t>10:55:08</t>
  </si>
  <si>
    <t>10:56:05</t>
  </si>
  <si>
    <t>OID5850</t>
  </si>
  <si>
    <t>19:40:45</t>
  </si>
  <si>
    <t>20:24:13</t>
  </si>
  <si>
    <t>OID8041</t>
  </si>
  <si>
    <t>02:08:49</t>
  </si>
  <si>
    <t>PID025</t>
  </si>
  <si>
    <t>15:38:07</t>
  </si>
  <si>
    <t>CID144</t>
  </si>
  <si>
    <t>William</t>
  </si>
  <si>
    <t>Mann</t>
  </si>
  <si>
    <t>william.mann@yahoo.com</t>
  </si>
  <si>
    <t>849 Tran Wells, New Lindsayville, WI 22669</t>
  </si>
  <si>
    <t>OID5605</t>
  </si>
  <si>
    <t>01:05:15</t>
  </si>
  <si>
    <t>13:48:26</t>
  </si>
  <si>
    <t>OID8388</t>
  </si>
  <si>
    <t>04:27:02</t>
  </si>
  <si>
    <t>09:07:52</t>
  </si>
  <si>
    <t>CID125</t>
  </si>
  <si>
    <t>Kelli</t>
  </si>
  <si>
    <t>kelli.smith@rediffmail.com</t>
  </si>
  <si>
    <t>788 Kristina Lane, Montoyaside, VA 90756</t>
  </si>
  <si>
    <t>OID5787</t>
  </si>
  <si>
    <t>15:22:10</t>
  </si>
  <si>
    <t>13:15:51</t>
  </si>
  <si>
    <t>OID3140</t>
  </si>
  <si>
    <t>19:45:13</t>
  </si>
  <si>
    <t>13:53:47</t>
  </si>
  <si>
    <t>OID6771</t>
  </si>
  <si>
    <t>01:09:33</t>
  </si>
  <si>
    <t>21:18:20</t>
  </si>
  <si>
    <t>OID8988</t>
  </si>
  <si>
    <t>07:05:58</t>
  </si>
  <si>
    <t>17:13:41</t>
  </si>
  <si>
    <t>OID9398</t>
  </si>
  <si>
    <t>07:48:29</t>
  </si>
  <si>
    <t>23:09:43</t>
  </si>
  <si>
    <t>CID139</t>
  </si>
  <si>
    <t>Gaines</t>
  </si>
  <si>
    <t>joseph.gaines@outlook.com</t>
  </si>
  <si>
    <t>37549 Pope Isle Apt. 202, Tylerborough, MO 60042</t>
  </si>
  <si>
    <t>OID9822</t>
  </si>
  <si>
    <t>12:17:34</t>
  </si>
  <si>
    <t>11:02:15</t>
  </si>
  <si>
    <t>OID1269</t>
  </si>
  <si>
    <t>19:02:37</t>
  </si>
  <si>
    <t>00:56:16</t>
  </si>
  <si>
    <t>OID9915</t>
  </si>
  <si>
    <t>03:34:35</t>
  </si>
  <si>
    <t>00:26:45</t>
  </si>
  <si>
    <t>OID3348</t>
  </si>
  <si>
    <t>17:05:21</t>
  </si>
  <si>
    <t>PID005</t>
  </si>
  <si>
    <t>06:56:06</t>
  </si>
  <si>
    <t>CID118</t>
  </si>
  <si>
    <t>Ellis</t>
  </si>
  <si>
    <t>amy.ellis@gmail.com</t>
  </si>
  <si>
    <t>217 Scott Ville, Christophermouth, NH 83776</t>
  </si>
  <si>
    <t>OID8431</t>
  </si>
  <si>
    <t>23:41:08</t>
  </si>
  <si>
    <t>01:56:42</t>
  </si>
  <si>
    <t>CID140</t>
  </si>
  <si>
    <t>Beth</t>
  </si>
  <si>
    <t>Mason</t>
  </si>
  <si>
    <t>beth.mason@outlook.com</t>
  </si>
  <si>
    <t>58998 Sherry Haven, East Richard, FL 90775</t>
  </si>
  <si>
    <t>OID6943</t>
  </si>
  <si>
    <t>04:48:30</t>
  </si>
  <si>
    <t>PID035</t>
  </si>
  <si>
    <t>10:01:40</t>
  </si>
  <si>
    <t>OID6229</t>
  </si>
  <si>
    <t>17:09:49</t>
  </si>
  <si>
    <t>PID013</t>
  </si>
  <si>
    <t>22:15:50</t>
  </si>
  <si>
    <t>OID6912</t>
  </si>
  <si>
    <t>07:51:16</t>
  </si>
  <si>
    <t>06:23:31</t>
  </si>
  <si>
    <t>OID5081</t>
  </si>
  <si>
    <t>21:43:03</t>
  </si>
  <si>
    <t>01:29:42</t>
  </si>
  <si>
    <t>OID5610</t>
  </si>
  <si>
    <t>07:53:58</t>
  </si>
  <si>
    <t>10:10:26</t>
  </si>
  <si>
    <t>OID7759</t>
  </si>
  <si>
    <t>01:16:21</t>
  </si>
  <si>
    <t>17:07:06</t>
  </si>
  <si>
    <t>CID123</t>
  </si>
  <si>
    <t>Christy</t>
  </si>
  <si>
    <t>Chang</t>
  </si>
  <si>
    <t>christy.chang@outlook.com</t>
  </si>
  <si>
    <t>4647 Hannah Centers, Rhodesburgh, NH 89363</t>
  </si>
  <si>
    <t>OID4481</t>
  </si>
  <si>
    <t>02:43:38</t>
  </si>
  <si>
    <t>02:45:47</t>
  </si>
  <si>
    <t>CID183</t>
  </si>
  <si>
    <t>Troy</t>
  </si>
  <si>
    <t>Gomez</t>
  </si>
  <si>
    <t>troy.gomez@outlook.com</t>
  </si>
  <si>
    <t>7510 Jose Knolls, Candicechester, LA 62815</t>
  </si>
  <si>
    <t>OID6749</t>
  </si>
  <si>
    <t>13:25:18</t>
  </si>
  <si>
    <t>PID032</t>
  </si>
  <si>
    <t>14:51:25</t>
  </si>
  <si>
    <t>CID143</t>
  </si>
  <si>
    <t>Kim</t>
  </si>
  <si>
    <t>Blevins</t>
  </si>
  <si>
    <t>kim.blevins@outlook.com</t>
  </si>
  <si>
    <t>089 Rice Shoal Suite 491, Juarezmouth, MI 88715</t>
  </si>
  <si>
    <t>OID8681</t>
  </si>
  <si>
    <t>18:32:14</t>
  </si>
  <si>
    <t>06:09:27</t>
  </si>
  <si>
    <t>OID9693</t>
  </si>
  <si>
    <t>21:12:50</t>
  </si>
  <si>
    <t>09:07:45</t>
  </si>
  <si>
    <t>OID3607</t>
  </si>
  <si>
    <t>17:19:09</t>
  </si>
  <si>
    <t>09:03:23</t>
  </si>
  <si>
    <t>OID9743</t>
  </si>
  <si>
    <t>15:04:45</t>
  </si>
  <si>
    <t>19:43:27</t>
  </si>
  <si>
    <t>CID156</t>
  </si>
  <si>
    <t>Gregory</t>
  </si>
  <si>
    <t>Lee</t>
  </si>
  <si>
    <t>gregory.lee@rediffmail.com</t>
  </si>
  <si>
    <t>619 Parker Turnpike Apt. 025, West Brucehaven, ID 48437</t>
  </si>
  <si>
    <t>OID7866</t>
  </si>
  <si>
    <t>18:15:56</t>
  </si>
  <si>
    <t>04:57:03</t>
  </si>
  <si>
    <t>OID1137</t>
  </si>
  <si>
    <t>00:17:47</t>
  </si>
  <si>
    <t>21:42:51</t>
  </si>
  <si>
    <t>CID170</t>
  </si>
  <si>
    <t>Bruce</t>
  </si>
  <si>
    <t>Allen</t>
  </si>
  <si>
    <t>bruce.allen@rediffmail.com</t>
  </si>
  <si>
    <t>2417 Brown Ford, West Timothyside, RI 45629</t>
  </si>
  <si>
    <t>OID4685</t>
  </si>
  <si>
    <t>01:46:15</t>
  </si>
  <si>
    <t>22:28:20</t>
  </si>
  <si>
    <t>CID107</t>
  </si>
  <si>
    <t>Lisa</t>
  </si>
  <si>
    <t>lisa.miller@gmail.com</t>
  </si>
  <si>
    <t>89748 Campbell Drive, South Tannerland, WI 13143</t>
  </si>
  <si>
    <t>OID9584</t>
  </si>
  <si>
    <t>09:44:25</t>
  </si>
  <si>
    <t>09:50:58</t>
  </si>
  <si>
    <t>CID185</t>
  </si>
  <si>
    <t>Melissa</t>
  </si>
  <si>
    <t>Levy</t>
  </si>
  <si>
    <t>melissa.levy@rediffmail.com</t>
  </si>
  <si>
    <t>3303 Kennedy Springs Suite 830, East Amybury, MI 95595</t>
  </si>
  <si>
    <t>OID1686</t>
  </si>
  <si>
    <t>20:32:03</t>
  </si>
  <si>
    <t>PID040</t>
  </si>
  <si>
    <t>16:26:05</t>
  </si>
  <si>
    <t>OID5272</t>
  </si>
  <si>
    <t>12:57:10</t>
  </si>
  <si>
    <t>19:04:22</t>
  </si>
  <si>
    <t>OID7359</t>
  </si>
  <si>
    <t>14:16:13</t>
  </si>
  <si>
    <t>11:54:49</t>
  </si>
  <si>
    <t>OID3570</t>
  </si>
  <si>
    <t>05:44:11</t>
  </si>
  <si>
    <t>PID029</t>
  </si>
  <si>
    <t>18:54:47</t>
  </si>
  <si>
    <t>CID194</t>
  </si>
  <si>
    <t>Barbara</t>
  </si>
  <si>
    <t>Fuller</t>
  </si>
  <si>
    <t>barbara.fuller@rediffmail.com</t>
  </si>
  <si>
    <t>134 Mcintosh Unions Suite 574, Lake Laura, DE 96577</t>
  </si>
  <si>
    <t>OID2519</t>
  </si>
  <si>
    <t>19:28:31</t>
  </si>
  <si>
    <t>16:45:09</t>
  </si>
  <si>
    <t>OID1134</t>
  </si>
  <si>
    <t>06:22:42</t>
  </si>
  <si>
    <t>11:58:32</t>
  </si>
  <si>
    <t>OID8270</t>
  </si>
  <si>
    <t>03:53:04</t>
  </si>
  <si>
    <t>15:27:26</t>
  </si>
  <si>
    <t>OID9515</t>
  </si>
  <si>
    <t>13:06:48</t>
  </si>
  <si>
    <t>01:22:23</t>
  </si>
  <si>
    <t>CID188</t>
  </si>
  <si>
    <t>Kristina</t>
  </si>
  <si>
    <t>Haynes</t>
  </si>
  <si>
    <t>kristina.haynes@yahoo.com</t>
  </si>
  <si>
    <t>18295 Thomas River, Kochville, NH 80868</t>
  </si>
  <si>
    <t>OID6608</t>
  </si>
  <si>
    <t>10:28:03</t>
  </si>
  <si>
    <t>PID044</t>
  </si>
  <si>
    <t>23:08:52</t>
  </si>
  <si>
    <t>CID112</t>
  </si>
  <si>
    <t>Lindsey</t>
  </si>
  <si>
    <t>Byrd</t>
  </si>
  <si>
    <t>lindsey.byrd@rediffmail.com</t>
  </si>
  <si>
    <t>USCGC Harper, FPO AA 38349</t>
  </si>
  <si>
    <t>OID3035</t>
  </si>
  <si>
    <t>22:11:06</t>
  </si>
  <si>
    <t>11:35:56</t>
  </si>
  <si>
    <t>OID4548</t>
  </si>
  <si>
    <t>14:00:52</t>
  </si>
  <si>
    <t>04:39:06</t>
  </si>
  <si>
    <t>OID5978</t>
  </si>
  <si>
    <t>07:11:09</t>
  </si>
  <si>
    <t>14:05:53</t>
  </si>
  <si>
    <t>OID6297</t>
  </si>
  <si>
    <t>12:09:51</t>
  </si>
  <si>
    <t>05:11:05</t>
  </si>
  <si>
    <t>OID5108</t>
  </si>
  <si>
    <t>10:51:20</t>
  </si>
  <si>
    <t>23:53:27</t>
  </si>
  <si>
    <t>OID4599</t>
  </si>
  <si>
    <t>23:40:15</t>
  </si>
  <si>
    <t>20:14:00</t>
  </si>
  <si>
    <t>OID1418</t>
  </si>
  <si>
    <t>01:24:01</t>
  </si>
  <si>
    <t>16:29:02</t>
  </si>
  <si>
    <t>OID1411</t>
  </si>
  <si>
    <t>11:34:01</t>
  </si>
  <si>
    <t>11:25:35</t>
  </si>
  <si>
    <t>OID8692</t>
  </si>
  <si>
    <t>02:04:13</t>
  </si>
  <si>
    <t>19:20:55</t>
  </si>
  <si>
    <t>OID4402</t>
  </si>
  <si>
    <t>22:18:21</t>
  </si>
  <si>
    <t>12:35:14</t>
  </si>
  <si>
    <t>OID1309</t>
  </si>
  <si>
    <t>08:18:11</t>
  </si>
  <si>
    <t>13:38:46</t>
  </si>
  <si>
    <t>OID2746</t>
  </si>
  <si>
    <t>10:44:36</t>
  </si>
  <si>
    <t>23:51:56</t>
  </si>
  <si>
    <t>OID9360</t>
  </si>
  <si>
    <t>17:09:22</t>
  </si>
  <si>
    <t>16:24:38</t>
  </si>
  <si>
    <t>OID6453</t>
  </si>
  <si>
    <t>07:07:24</t>
  </si>
  <si>
    <t>01:21:39</t>
  </si>
  <si>
    <t>CID124</t>
  </si>
  <si>
    <t>Edward</t>
  </si>
  <si>
    <t>Black</t>
  </si>
  <si>
    <t>edward.black@gmail.com</t>
  </si>
  <si>
    <t>5879 Susan Via Apt. 886, Sandovalbury, WV 61449</t>
  </si>
  <si>
    <t>OID9745</t>
  </si>
  <si>
    <t>07:27:27</t>
  </si>
  <si>
    <t>14:08:36</t>
  </si>
  <si>
    <t>CID160</t>
  </si>
  <si>
    <t>James</t>
  </si>
  <si>
    <t>Brown</t>
  </si>
  <si>
    <t>james.brown@yahoo.com</t>
  </si>
  <si>
    <t>221 Frey Crossing Suite 192, South Taylorland, HI 72875</t>
  </si>
  <si>
    <t>OID4081</t>
  </si>
  <si>
    <t>00:30:57</t>
  </si>
  <si>
    <t>15:41:07</t>
  </si>
  <si>
    <t>CID171</t>
  </si>
  <si>
    <t>Leslie</t>
  </si>
  <si>
    <t>Montgomery</t>
  </si>
  <si>
    <t>leslie.montgomery@gmail.com</t>
  </si>
  <si>
    <t>135 Teresa Oval Apt. 825, East Katherineport, WY 13714</t>
  </si>
  <si>
    <t>OID3967</t>
  </si>
  <si>
    <t>20:10:38</t>
  </si>
  <si>
    <t>03:43:44</t>
  </si>
  <si>
    <t>CID173</t>
  </si>
  <si>
    <t>Susan</t>
  </si>
  <si>
    <t>susan.thompson@outlook.com</t>
  </si>
  <si>
    <t>47821 William Station, East Ashleymouth, FL 20562</t>
  </si>
  <si>
    <t>OID9112</t>
  </si>
  <si>
    <t>14:57:06</t>
  </si>
  <si>
    <t>21:20:28</t>
  </si>
  <si>
    <t>OID8628</t>
  </si>
  <si>
    <t>10:20:44</t>
  </si>
  <si>
    <t>23:29:03</t>
  </si>
  <si>
    <t>OID5996</t>
  </si>
  <si>
    <t>14:09:23</t>
  </si>
  <si>
    <t>10:17:52</t>
  </si>
  <si>
    <t>OID5210</t>
  </si>
  <si>
    <t>10:48:56</t>
  </si>
  <si>
    <t>05:48:39</t>
  </si>
  <si>
    <t>OID4415</t>
  </si>
  <si>
    <t>10:33:35</t>
  </si>
  <si>
    <t>05:24:44</t>
  </si>
  <si>
    <t>OID6716</t>
  </si>
  <si>
    <t>22:34:39</t>
  </si>
  <si>
    <t>02:59:45</t>
  </si>
  <si>
    <t>OID9804</t>
  </si>
  <si>
    <t>19:56:54</t>
  </si>
  <si>
    <t>PID011</t>
  </si>
  <si>
    <t>02:22:56</t>
  </si>
  <si>
    <t>OID9798</t>
  </si>
  <si>
    <t>19:28:23</t>
  </si>
  <si>
    <t>11:32:19</t>
  </si>
  <si>
    <t>OID4965</t>
  </si>
  <si>
    <t>09:43:17</t>
  </si>
  <si>
    <t>16:27:25</t>
  </si>
  <si>
    <t>OID3209</t>
  </si>
  <si>
    <t>06:49:56</t>
  </si>
  <si>
    <t>22:10:44</t>
  </si>
  <si>
    <t>OID6103</t>
  </si>
  <si>
    <t>00:43:57</t>
  </si>
  <si>
    <t>04:56:51</t>
  </si>
  <si>
    <t>OID4368</t>
  </si>
  <si>
    <t>15:45:08</t>
  </si>
  <si>
    <t>19:53:01</t>
  </si>
  <si>
    <t>OID1692</t>
  </si>
  <si>
    <t>03:06:30</t>
  </si>
  <si>
    <t>06:57:51</t>
  </si>
  <si>
    <t>OID9808</t>
  </si>
  <si>
    <t>13:02:42</t>
  </si>
  <si>
    <t>06:40:28</t>
  </si>
  <si>
    <t>CID119</t>
  </si>
  <si>
    <t>Griffin</t>
  </si>
  <si>
    <t>amy.griffin@rediffmail.com</t>
  </si>
  <si>
    <t>07350 Aaron Meadow Suite 138, Kiaraberg, AL 79545</t>
  </si>
  <si>
    <t>OID3568</t>
  </si>
  <si>
    <t>10:25:49</t>
  </si>
  <si>
    <t>08:21:37</t>
  </si>
  <si>
    <t>OID3469</t>
  </si>
  <si>
    <t>04:33:43</t>
  </si>
  <si>
    <t>01:47:49</t>
  </si>
  <si>
    <t>OID6217</t>
  </si>
  <si>
    <t>15:45:02</t>
  </si>
  <si>
    <t>19:16:06</t>
  </si>
  <si>
    <t>OID9257</t>
  </si>
  <si>
    <t>18:37:45</t>
  </si>
  <si>
    <t>02:32:24</t>
  </si>
  <si>
    <t>OID7258</t>
  </si>
  <si>
    <t>20:25:23</t>
  </si>
  <si>
    <t>11:54:10</t>
  </si>
  <si>
    <t>OID8380</t>
  </si>
  <si>
    <t>10:35:10</t>
  </si>
  <si>
    <t>00:12:03</t>
  </si>
  <si>
    <t>OID9224</t>
  </si>
  <si>
    <t>21:35:45</t>
  </si>
  <si>
    <t>09:34:31</t>
  </si>
  <si>
    <t>OID4506</t>
  </si>
  <si>
    <t>16:54:11</t>
  </si>
  <si>
    <t>18:09:14</t>
  </si>
  <si>
    <t>OID7689</t>
  </si>
  <si>
    <t>10:04:46</t>
  </si>
  <si>
    <t>22:23:04</t>
  </si>
  <si>
    <t>CID109</t>
  </si>
  <si>
    <t>Rachael</t>
  </si>
  <si>
    <t>Robinson</t>
  </si>
  <si>
    <t>rachael.robinson@rediffmail.com</t>
  </si>
  <si>
    <t>0889 Brady Points, Port Meganhaven, NM 26553</t>
  </si>
  <si>
    <t>OID8699</t>
  </si>
  <si>
    <t>02:22:40</t>
  </si>
  <si>
    <t>00:47:16</t>
  </si>
  <si>
    <t>OID1317</t>
  </si>
  <si>
    <t>21:52:14</t>
  </si>
  <si>
    <t>10:43:13</t>
  </si>
  <si>
    <t>OID2429</t>
  </si>
  <si>
    <t>08:31:11</t>
  </si>
  <si>
    <t>09:56:25</t>
  </si>
  <si>
    <t>OID4514</t>
  </si>
  <si>
    <t>20:48:48</t>
  </si>
  <si>
    <t>PID002</t>
  </si>
  <si>
    <t>15:06:55</t>
  </si>
  <si>
    <t>OID6237</t>
  </si>
  <si>
    <t>18:41:53</t>
  </si>
  <si>
    <t>19:58:13</t>
  </si>
  <si>
    <t>OID6752</t>
  </si>
  <si>
    <t>05:35:11</t>
  </si>
  <si>
    <t>04:56:02</t>
  </si>
  <si>
    <t>OID7059</t>
  </si>
  <si>
    <t>11:01:20</t>
  </si>
  <si>
    <t>12:21:09</t>
  </si>
  <si>
    <t>OID6264</t>
  </si>
  <si>
    <t>08:29:32</t>
  </si>
  <si>
    <t>12:32:31</t>
  </si>
  <si>
    <t>OID5366</t>
  </si>
  <si>
    <t>02:56:50</t>
  </si>
  <si>
    <t>05:26:37</t>
  </si>
  <si>
    <t>OID1663</t>
  </si>
  <si>
    <t>11:18:01</t>
  </si>
  <si>
    <t>06:56:11</t>
  </si>
  <si>
    <t>OID7664</t>
  </si>
  <si>
    <t>03:11:30</t>
  </si>
  <si>
    <t>18:17:55</t>
  </si>
  <si>
    <t>OID4364</t>
  </si>
  <si>
    <t>04:35:15</t>
  </si>
  <si>
    <t>15:55:56</t>
  </si>
  <si>
    <t>OID1153</t>
  </si>
  <si>
    <t>08:45:48</t>
  </si>
  <si>
    <t>10:48:42</t>
  </si>
  <si>
    <t>OID5700</t>
  </si>
  <si>
    <t>09:39:48</t>
  </si>
  <si>
    <t>06:37:23</t>
  </si>
  <si>
    <t>OID1706</t>
  </si>
  <si>
    <t>19:48:44</t>
  </si>
  <si>
    <t>16:27:41</t>
  </si>
  <si>
    <t>OID6420</t>
  </si>
  <si>
    <t>18:18:32</t>
  </si>
  <si>
    <t>10:39:26</t>
  </si>
  <si>
    <t>OID2659</t>
  </si>
  <si>
    <t>16:59:55</t>
  </si>
  <si>
    <t>01:05:29</t>
  </si>
  <si>
    <t>OID5326</t>
  </si>
  <si>
    <t>13:40:51</t>
  </si>
  <si>
    <t>PID045</t>
  </si>
  <si>
    <t>00:35:18</t>
  </si>
  <si>
    <t>CID127</t>
  </si>
  <si>
    <t>Natasha</t>
  </si>
  <si>
    <t>Michael</t>
  </si>
  <si>
    <t>natasha.michael@gmail.com</t>
  </si>
  <si>
    <t>78992 Justin Estates Suite 226, Floresberg, NM 40797</t>
  </si>
  <si>
    <t>OID4465</t>
  </si>
  <si>
    <t>08:11:19</t>
  </si>
  <si>
    <t>18:28:53</t>
  </si>
  <si>
    <t>OID9324</t>
  </si>
  <si>
    <t>02:27:18</t>
  </si>
  <si>
    <t>04:48:38</t>
  </si>
  <si>
    <t>OID9267</t>
  </si>
  <si>
    <t>05:33:41</t>
  </si>
  <si>
    <t>13:20:58</t>
  </si>
  <si>
    <t>OID5402</t>
  </si>
  <si>
    <t>18:14:45</t>
  </si>
  <si>
    <t>13:20:38</t>
  </si>
  <si>
    <t>OID8716</t>
  </si>
  <si>
    <t>03:08:05</t>
  </si>
  <si>
    <t>04:04:13</t>
  </si>
  <si>
    <t>OID4014</t>
  </si>
  <si>
    <t>21:06:59</t>
  </si>
  <si>
    <t>00:33:10</t>
  </si>
  <si>
    <t>OID8569</t>
  </si>
  <si>
    <t>14:49:31</t>
  </si>
  <si>
    <t>04:10:37</t>
  </si>
  <si>
    <t>OID6330</t>
  </si>
  <si>
    <t>19:40:44</t>
  </si>
  <si>
    <t>16:30:13</t>
  </si>
  <si>
    <t>OID6607</t>
  </si>
  <si>
    <t>16:25:28</t>
  </si>
  <si>
    <t>13:33:22</t>
  </si>
  <si>
    <t>OID4892</t>
  </si>
  <si>
    <t>05:57:45</t>
  </si>
  <si>
    <t>08:04:55</t>
  </si>
  <si>
    <t>OID9692</t>
  </si>
  <si>
    <t>13:16:36</t>
  </si>
  <si>
    <t>23:44:01</t>
  </si>
  <si>
    <t>OID4746</t>
  </si>
  <si>
    <t>07:44:52</t>
  </si>
  <si>
    <t>00:28:50</t>
  </si>
  <si>
    <t>OID6057</t>
  </si>
  <si>
    <t>12:51:15</t>
  </si>
  <si>
    <t>23:34:55</t>
  </si>
  <si>
    <t>OID3134</t>
  </si>
  <si>
    <t>22:55:27</t>
  </si>
  <si>
    <t>22:37:23</t>
  </si>
  <si>
    <t>OID7980</t>
  </si>
  <si>
    <t>01:31:08</t>
  </si>
  <si>
    <t>14:39:46</t>
  </si>
  <si>
    <t>OID7432</t>
  </si>
  <si>
    <t>15:02:28</t>
  </si>
  <si>
    <t>04:23:57</t>
  </si>
  <si>
    <t>OID9465</t>
  </si>
  <si>
    <t>06:54:02</t>
  </si>
  <si>
    <t>12:39:46</t>
  </si>
  <si>
    <t>CID189</t>
  </si>
  <si>
    <t>Aguilar</t>
  </si>
  <si>
    <t>christine.aguilar@gmail.com</t>
  </si>
  <si>
    <t>3284 Martin Neck, Lopezville, NY 69154</t>
  </si>
  <si>
    <t>OID9872</t>
  </si>
  <si>
    <t>08:20:59</t>
  </si>
  <si>
    <t>17:38:42</t>
  </si>
  <si>
    <t>OID6856</t>
  </si>
  <si>
    <t>14:00:27</t>
  </si>
  <si>
    <t>12:31:34</t>
  </si>
  <si>
    <t>OID1826</t>
  </si>
  <si>
    <t>15:26:43</t>
  </si>
  <si>
    <t>23:02:25</t>
  </si>
  <si>
    <t>OID3421</t>
  </si>
  <si>
    <t>22:25:26</t>
  </si>
  <si>
    <t>20:52:06</t>
  </si>
  <si>
    <t>OID6869</t>
  </si>
  <si>
    <t>00:02:50</t>
  </si>
  <si>
    <t>20:49:10</t>
  </si>
  <si>
    <t>OID6635</t>
  </si>
  <si>
    <t>22:46:23</t>
  </si>
  <si>
    <t>08:30:57</t>
  </si>
  <si>
    <t>OID8295</t>
  </si>
  <si>
    <t>08:00:47</t>
  </si>
  <si>
    <t>17:20:58</t>
  </si>
  <si>
    <t>OID4642</t>
  </si>
  <si>
    <t>09:33:35</t>
  </si>
  <si>
    <t>13:06:14</t>
  </si>
  <si>
    <t>OID7380</t>
  </si>
  <si>
    <t>00:13:11</t>
  </si>
  <si>
    <t>18:31:17</t>
  </si>
  <si>
    <t>OID1086</t>
  </si>
  <si>
    <t>20:01:38</t>
  </si>
  <si>
    <t>12:58:48</t>
  </si>
  <si>
    <t>OID6936</t>
  </si>
  <si>
    <t>06:33:55</t>
  </si>
  <si>
    <t>13:05:17</t>
  </si>
  <si>
    <t>CID162</t>
  </si>
  <si>
    <t>Summers</t>
  </si>
  <si>
    <t>mark.summers@outlook.com</t>
  </si>
  <si>
    <t>08413 Lynch Parkway, Calderonstad, NV 32697</t>
  </si>
  <si>
    <t>OID2938</t>
  </si>
  <si>
    <t>19:46:32</t>
  </si>
  <si>
    <t>23:22:12</t>
  </si>
  <si>
    <t>OID8074</t>
  </si>
  <si>
    <t>20:47:44</t>
  </si>
  <si>
    <t>00:16:22</t>
  </si>
  <si>
    <t>OID1076</t>
  </si>
  <si>
    <t>14:37:23</t>
  </si>
  <si>
    <t>01:58:28</t>
  </si>
  <si>
    <t>OID8347</t>
  </si>
  <si>
    <t>00:08:51</t>
  </si>
  <si>
    <t>10:47:50</t>
  </si>
  <si>
    <t>OID6373</t>
  </si>
  <si>
    <t>09:31:27</t>
  </si>
  <si>
    <t>OID5913</t>
  </si>
  <si>
    <t>09:46:43</t>
  </si>
  <si>
    <t>06:31:08</t>
  </si>
  <si>
    <t>OID2941</t>
  </si>
  <si>
    <t>21:17:39</t>
  </si>
  <si>
    <t>06:07:50</t>
  </si>
  <si>
    <t>CID104</t>
  </si>
  <si>
    <t>Gary</t>
  </si>
  <si>
    <t>Huff</t>
  </si>
  <si>
    <t>gary.huff@gmail.com</t>
  </si>
  <si>
    <t>58608 Alexander Terrace, South Bryan, SC 85541</t>
  </si>
  <si>
    <t>OID9627</t>
  </si>
  <si>
    <t>12:28:28</t>
  </si>
  <si>
    <t>12:21:43</t>
  </si>
  <si>
    <t>OID9705</t>
  </si>
  <si>
    <t>03:29:39</t>
  </si>
  <si>
    <t>23:33:34</t>
  </si>
  <si>
    <t>OID7486</t>
  </si>
  <si>
    <t>18:27:23</t>
  </si>
  <si>
    <t>12:42:53</t>
  </si>
  <si>
    <t>OID4560</t>
  </si>
  <si>
    <t>14:41:09</t>
  </si>
  <si>
    <t>07:56:25</t>
  </si>
  <si>
    <t>OID1379</t>
  </si>
  <si>
    <t>11:50:19</t>
  </si>
  <si>
    <t>11:48:40</t>
  </si>
  <si>
    <t>OID8114</t>
  </si>
  <si>
    <t>10:24:24</t>
  </si>
  <si>
    <t>20:08:57</t>
  </si>
  <si>
    <t>OID9805</t>
  </si>
  <si>
    <t>23:35:16</t>
  </si>
  <si>
    <t>01:46:46</t>
  </si>
  <si>
    <t>OID7003</t>
  </si>
  <si>
    <t>04:53:37</t>
  </si>
  <si>
    <t>07:56:46</t>
  </si>
  <si>
    <t>OID5372</t>
  </si>
  <si>
    <t>21:25:23</t>
  </si>
  <si>
    <t>15:58:45</t>
  </si>
  <si>
    <t>OID4097</t>
  </si>
  <si>
    <t>18:03:08</t>
  </si>
  <si>
    <t>10:45:58</t>
  </si>
  <si>
    <t>OID7090</t>
  </si>
  <si>
    <t>02:55:39</t>
  </si>
  <si>
    <t>13:12:04</t>
  </si>
  <si>
    <t>OID8741</t>
  </si>
  <si>
    <t>23:25:51</t>
  </si>
  <si>
    <t>09:03:16</t>
  </si>
  <si>
    <t>OID6002</t>
  </si>
  <si>
    <t>05:28:12</t>
  </si>
  <si>
    <t>09:29:13</t>
  </si>
  <si>
    <t>OID8585</t>
  </si>
  <si>
    <t>16:44:13</t>
  </si>
  <si>
    <t>23:19:19</t>
  </si>
  <si>
    <t>OID6767</t>
  </si>
  <si>
    <t>17:52:44</t>
  </si>
  <si>
    <t>14:18:48</t>
  </si>
  <si>
    <t>OID4369</t>
  </si>
  <si>
    <t>22:31:31</t>
  </si>
  <si>
    <t>17:01:58</t>
  </si>
  <si>
    <t>OID5283</t>
  </si>
  <si>
    <t>18:43:17</t>
  </si>
  <si>
    <t>07:02:28</t>
  </si>
  <si>
    <t>OID2949</t>
  </si>
  <si>
    <t>09:55:21</t>
  </si>
  <si>
    <t>22:38:31</t>
  </si>
  <si>
    <t>OID1071</t>
  </si>
  <si>
    <t>06:47:14</t>
  </si>
  <si>
    <t>05:46:18</t>
  </si>
  <si>
    <t>OID7412</t>
  </si>
  <si>
    <t>22:41:22</t>
  </si>
  <si>
    <t>03:01:00</t>
  </si>
  <si>
    <t>CID138</t>
  </si>
  <si>
    <t>Mike</t>
  </si>
  <si>
    <t>Carter</t>
  </si>
  <si>
    <t>mike.carter@rediffmail.com</t>
  </si>
  <si>
    <t>3971 Ortiz Fields, Lake Jackfort, IA 97132</t>
  </si>
  <si>
    <t>OID6541</t>
  </si>
  <si>
    <t>08:35:05</t>
  </si>
  <si>
    <t>09:50:44</t>
  </si>
  <si>
    <t>OID3550</t>
  </si>
  <si>
    <t>06:30:57</t>
  </si>
  <si>
    <t>08:01:14</t>
  </si>
  <si>
    <t>OID7812</t>
  </si>
  <si>
    <t>09:01:24</t>
  </si>
  <si>
    <t>18:41:50</t>
  </si>
  <si>
    <t>OID4101</t>
  </si>
  <si>
    <t>10:38:44</t>
  </si>
  <si>
    <t>15:48:50</t>
  </si>
  <si>
    <t>OID2704</t>
  </si>
  <si>
    <t>08:44:39</t>
  </si>
  <si>
    <t>13:35:45</t>
  </si>
  <si>
    <t>OID3902</t>
  </si>
  <si>
    <t>10:10:51</t>
  </si>
  <si>
    <t>02:58:17</t>
  </si>
  <si>
    <t>CID142</t>
  </si>
  <si>
    <t>Owens</t>
  </si>
  <si>
    <t>thomas.owens@outlook.com</t>
  </si>
  <si>
    <t>43920 Shaffer Valley Suite 531, South Jerry, MD 67120</t>
  </si>
  <si>
    <t>OID6097</t>
  </si>
  <si>
    <t>06:46:28</t>
  </si>
  <si>
    <t>11:47:41</t>
  </si>
  <si>
    <t>OID2270</t>
  </si>
  <si>
    <t>22:27:32</t>
  </si>
  <si>
    <t>22:31:13</t>
  </si>
  <si>
    <t>OID4575</t>
  </si>
  <si>
    <t>18:42:20</t>
  </si>
  <si>
    <t>00:21:21</t>
  </si>
  <si>
    <t>OID2338</t>
  </si>
  <si>
    <t>22:07:35</t>
  </si>
  <si>
    <t>03:39:43</t>
  </si>
  <si>
    <t>OID9816</t>
  </si>
  <si>
    <t>07:28:42</t>
  </si>
  <si>
    <t>12:34:57</t>
  </si>
  <si>
    <t>CID113</t>
  </si>
  <si>
    <t>Brendan</t>
  </si>
  <si>
    <t>Kelly</t>
  </si>
  <si>
    <t>brendan.kelly@rediffmail.com</t>
  </si>
  <si>
    <t>688 Donald Oval Suite 089, Shepardport, CA 50844</t>
  </si>
  <si>
    <t>OID1586</t>
  </si>
  <si>
    <t>14:01:51</t>
  </si>
  <si>
    <t>23:41:13</t>
  </si>
  <si>
    <t>OID9630</t>
  </si>
  <si>
    <t>20:50:23</t>
  </si>
  <si>
    <t>01:51:44</t>
  </si>
  <si>
    <t>CID102</t>
  </si>
  <si>
    <t>Jessica</t>
  </si>
  <si>
    <t>Ruiz</t>
  </si>
  <si>
    <t>jessica.ruiz@rediffmail.com</t>
  </si>
  <si>
    <t>02370 Laura Station Suite 309, Brandonville, DE 18875</t>
  </si>
  <si>
    <t>OID8034</t>
  </si>
  <si>
    <t>08:30:48</t>
  </si>
  <si>
    <t>01:26:28</t>
  </si>
  <si>
    <t>OID4815</t>
  </si>
  <si>
    <t>05:34:02</t>
  </si>
  <si>
    <t>15:11:50</t>
  </si>
  <si>
    <t>OID1898</t>
  </si>
  <si>
    <t>22:30:30</t>
  </si>
  <si>
    <t>23:12:23</t>
  </si>
  <si>
    <t>OID7454</t>
  </si>
  <si>
    <t>06:13:30</t>
  </si>
  <si>
    <t>00:33:32</t>
  </si>
  <si>
    <t>CID117</t>
  </si>
  <si>
    <t>Hannah</t>
  </si>
  <si>
    <t>Gutierrez</t>
  </si>
  <si>
    <t>hannah.gutierrez@yahoo.com</t>
  </si>
  <si>
    <t>2420 David Manors, Jessicaland, CT 41698</t>
  </si>
  <si>
    <t>OID2597</t>
  </si>
  <si>
    <t>14:11:09</t>
  </si>
  <si>
    <t>00:33:26</t>
  </si>
  <si>
    <t>CID154</t>
  </si>
  <si>
    <t>Casey</t>
  </si>
  <si>
    <t>angela.casey@gmail.com</t>
  </si>
  <si>
    <t>089 Farley Terrace, Thomashaven, MT 56607</t>
  </si>
  <si>
    <t>OID6600</t>
  </si>
  <si>
    <t>22:46:20</t>
  </si>
  <si>
    <t>15:31:26</t>
  </si>
  <si>
    <t>OID3490</t>
  </si>
  <si>
    <t>03:47:08</t>
  </si>
  <si>
    <t>03:23:26</t>
  </si>
  <si>
    <t>OID5561</t>
  </si>
  <si>
    <t>07:21:30</t>
  </si>
  <si>
    <t>09:57:13</t>
  </si>
  <si>
    <t>OID8830</t>
  </si>
  <si>
    <t>16:49:20</t>
  </si>
  <si>
    <t>22:40:50</t>
  </si>
  <si>
    <t>OID9527</t>
  </si>
  <si>
    <t>16:59:25</t>
  </si>
  <si>
    <t>13:29:40</t>
  </si>
  <si>
    <t>OID1067</t>
  </si>
  <si>
    <t>06:15:44</t>
  </si>
  <si>
    <t>09:11:07</t>
  </si>
  <si>
    <t>OID2119</t>
  </si>
  <si>
    <t>17:29:54</t>
  </si>
  <si>
    <t>07:27:00</t>
  </si>
  <si>
    <t>OID5802</t>
  </si>
  <si>
    <t>05:25:01</t>
  </si>
  <si>
    <t>02:19:52</t>
  </si>
  <si>
    <t>OID4569</t>
  </si>
  <si>
    <t>00:49:15</t>
  </si>
  <si>
    <t>07:05:22</t>
  </si>
  <si>
    <t>OID1508</t>
  </si>
  <si>
    <t>10:13:34</t>
  </si>
  <si>
    <t>00:06:39</t>
  </si>
  <si>
    <t>OID3969</t>
  </si>
  <si>
    <t>22:48:36</t>
  </si>
  <si>
    <t>11:30:05</t>
  </si>
  <si>
    <t>OID8974</t>
  </si>
  <si>
    <t>03:37:20</t>
  </si>
  <si>
    <t>08:01:11</t>
  </si>
  <si>
    <t>OID6987</t>
  </si>
  <si>
    <t>23:47:53</t>
  </si>
  <si>
    <t>00:49:45</t>
  </si>
  <si>
    <t>OID5834</t>
  </si>
  <si>
    <t>15:54:45</t>
  </si>
  <si>
    <t>19:22:50</t>
  </si>
  <si>
    <t>OID3980</t>
  </si>
  <si>
    <t>21:10:06</t>
  </si>
  <si>
    <t>08:42:57</t>
  </si>
  <si>
    <t>OID9700</t>
  </si>
  <si>
    <t>17:39:16</t>
  </si>
  <si>
    <t>05:28:25</t>
  </si>
  <si>
    <t>OID1135</t>
  </si>
  <si>
    <t>21:59:14</t>
  </si>
  <si>
    <t>00:34:58</t>
  </si>
  <si>
    <t>OID9451</t>
  </si>
  <si>
    <t>21:47:08</t>
  </si>
  <si>
    <t>12:42:34</t>
  </si>
  <si>
    <t>OID4659</t>
  </si>
  <si>
    <t>00:57:26</t>
  </si>
  <si>
    <t>23:16:52</t>
  </si>
  <si>
    <t>CID141</t>
  </si>
  <si>
    <t>Megan</t>
  </si>
  <si>
    <t>Hunt</t>
  </si>
  <si>
    <t>megan.hunt@rediffmail.com</t>
  </si>
  <si>
    <t>03765 Velazquez Knoll Suite 478, Richardshire, UT 17200</t>
  </si>
  <si>
    <t>OID7205</t>
  </si>
  <si>
    <t>21:16:04</t>
  </si>
  <si>
    <t>10:41:25</t>
  </si>
  <si>
    <t>OID9735</t>
  </si>
  <si>
    <t>20:03:28</t>
  </si>
  <si>
    <t>11:16:12</t>
  </si>
  <si>
    <t>CID122</t>
  </si>
  <si>
    <t>Jared</t>
  </si>
  <si>
    <t>Horn</t>
  </si>
  <si>
    <t>jared.horn@outlook.com</t>
  </si>
  <si>
    <t>43325 Barbara Tunnel, Port James, LA 16246</t>
  </si>
  <si>
    <t>OID3358</t>
  </si>
  <si>
    <t>15:38:50</t>
  </si>
  <si>
    <t>12:50:53</t>
  </si>
  <si>
    <t>OID4719</t>
  </si>
  <si>
    <t>03:13:28</t>
  </si>
  <si>
    <t>07:58:28</t>
  </si>
  <si>
    <t>OID8203</t>
  </si>
  <si>
    <t>12:54:20</t>
  </si>
  <si>
    <t>17:32:38</t>
  </si>
  <si>
    <t>CID131</t>
  </si>
  <si>
    <t>Veronica</t>
  </si>
  <si>
    <t>veronica.lopez@gmail.com</t>
  </si>
  <si>
    <t>660 Karen Station Apt. 887, Allenside, ID 03170</t>
  </si>
  <si>
    <t>OID2353</t>
  </si>
  <si>
    <t>15:59:36</t>
  </si>
  <si>
    <t>07:38:19</t>
  </si>
  <si>
    <t>OID5255</t>
  </si>
  <si>
    <t>19:52:34</t>
  </si>
  <si>
    <t>07:40:09</t>
  </si>
  <si>
    <t>CID157</t>
  </si>
  <si>
    <t>Benson</t>
  </si>
  <si>
    <t>sarah.benson@outlook.com</t>
  </si>
  <si>
    <t>5399 Hayes Well, West Pennystad, IL 93798</t>
  </si>
  <si>
    <t>OID7946</t>
  </si>
  <si>
    <t>20:27:13</t>
  </si>
  <si>
    <t>22:27:12</t>
  </si>
  <si>
    <t>OID1159</t>
  </si>
  <si>
    <t>04:24:31</t>
  </si>
  <si>
    <t>06:44:34</t>
  </si>
  <si>
    <t>OID5186</t>
  </si>
  <si>
    <t>05:26:44</t>
  </si>
  <si>
    <t>06:17:48</t>
  </si>
  <si>
    <t>OID7156</t>
  </si>
  <si>
    <t>13:33:00</t>
  </si>
  <si>
    <t>16:40:47</t>
  </si>
  <si>
    <t>OID3574</t>
  </si>
  <si>
    <t>22:42:24</t>
  </si>
  <si>
    <t>19:19:52</t>
  </si>
  <si>
    <t>OID1477</t>
  </si>
  <si>
    <t>07:28:15</t>
  </si>
  <si>
    <t>12:59:43</t>
  </si>
  <si>
    <t>OID2944</t>
  </si>
  <si>
    <t>05:37:56</t>
  </si>
  <si>
    <t>15:40:22</t>
  </si>
  <si>
    <t>OID5130</t>
  </si>
  <si>
    <t>20:10:43</t>
  </si>
  <si>
    <t>08:44:22</t>
  </si>
  <si>
    <t>OID7754</t>
  </si>
  <si>
    <t>12:34:36</t>
  </si>
  <si>
    <t>10:14:17</t>
  </si>
  <si>
    <t>OID1246</t>
  </si>
  <si>
    <t>05:06:18</t>
  </si>
  <si>
    <t>20:00:01</t>
  </si>
  <si>
    <t>OID8680</t>
  </si>
  <si>
    <t>14:47:52</t>
  </si>
  <si>
    <t>17:06:11</t>
  </si>
  <si>
    <t>OID7102</t>
  </si>
  <si>
    <t>20:27:42</t>
  </si>
  <si>
    <t>10:15:00</t>
  </si>
  <si>
    <t>OID7555</t>
  </si>
  <si>
    <t>13:24:08</t>
  </si>
  <si>
    <t>07:39:38</t>
  </si>
  <si>
    <t>OID3165</t>
  </si>
  <si>
    <t>09:58:35</t>
  </si>
  <si>
    <t>14:02:18</t>
  </si>
  <si>
    <t>OID9628</t>
  </si>
  <si>
    <t>06:20:30</t>
  </si>
  <si>
    <t>20:45:00</t>
  </si>
  <si>
    <t>OID9782</t>
  </si>
  <si>
    <t>17:53:01</t>
  </si>
  <si>
    <t>05:26:03</t>
  </si>
  <si>
    <t>OID7302</t>
  </si>
  <si>
    <t>03:43:05</t>
  </si>
  <si>
    <t>17:57:56</t>
  </si>
  <si>
    <t>OID4580</t>
  </si>
  <si>
    <t>02:56:56</t>
  </si>
  <si>
    <t>11:28:09</t>
  </si>
  <si>
    <t>OID7954</t>
  </si>
  <si>
    <t>04:29:06</t>
  </si>
  <si>
    <t>22:44:53</t>
  </si>
  <si>
    <t>OID6246</t>
  </si>
  <si>
    <t>10:04:49</t>
  </si>
  <si>
    <t>22:07:13</t>
  </si>
  <si>
    <t>OID5671</t>
  </si>
  <si>
    <t>23:44:50</t>
  </si>
  <si>
    <t>04:23:25</t>
  </si>
  <si>
    <t>OID3145</t>
  </si>
  <si>
    <t>17:40:16</t>
  </si>
  <si>
    <t>19:38:50</t>
  </si>
  <si>
    <t>OID8575</t>
  </si>
  <si>
    <t>09:51:24</t>
  </si>
  <si>
    <t>00:10:27</t>
  </si>
  <si>
    <t>OID7910</t>
  </si>
  <si>
    <t>05:56:42</t>
  </si>
  <si>
    <t>03:42:23</t>
  </si>
  <si>
    <t>OID1179</t>
  </si>
  <si>
    <t>06:33:59</t>
  </si>
  <si>
    <t>13:29:05</t>
  </si>
  <si>
    <t>OID1041</t>
  </si>
  <si>
    <t>01:23:40</t>
  </si>
  <si>
    <t>19:01:55</t>
  </si>
  <si>
    <t>OID1693</t>
  </si>
  <si>
    <t>18:29:39</t>
  </si>
  <si>
    <t>02:01:44</t>
  </si>
  <si>
    <t>OID8609</t>
  </si>
  <si>
    <t>13:33:06</t>
  </si>
  <si>
    <t>04:01:49</t>
  </si>
  <si>
    <t>OID9578</t>
  </si>
  <si>
    <t>15:56:55</t>
  </si>
  <si>
    <t>18:16:24</t>
  </si>
  <si>
    <t>OID5985</t>
  </si>
  <si>
    <t>14:57:23</t>
  </si>
  <si>
    <t>09:49:51</t>
  </si>
  <si>
    <t>OID2571</t>
  </si>
  <si>
    <t>19:33:36</t>
  </si>
  <si>
    <t>06:30:50</t>
  </si>
  <si>
    <t>OID6045</t>
  </si>
  <si>
    <t>17:53:46</t>
  </si>
  <si>
    <t>18:13:08</t>
  </si>
  <si>
    <t>OID1336</t>
  </si>
  <si>
    <t>13:40:58</t>
  </si>
  <si>
    <t>02:14:28</t>
  </si>
  <si>
    <t>OID7117</t>
  </si>
  <si>
    <t>04:49:20</t>
  </si>
  <si>
    <t>16:13:35</t>
  </si>
  <si>
    <t>OID3749</t>
  </si>
  <si>
    <t>16:34:44</t>
  </si>
  <si>
    <t>16:28:56</t>
  </si>
  <si>
    <t>OID7008</t>
  </si>
  <si>
    <t>04:12:20</t>
  </si>
  <si>
    <t>01:46:13</t>
  </si>
  <si>
    <t>OID8913</t>
  </si>
  <si>
    <t>20:53:04</t>
  </si>
  <si>
    <t>00:48:16</t>
  </si>
  <si>
    <t>CID164</t>
  </si>
  <si>
    <t>Lane</t>
  </si>
  <si>
    <t>lauren.lane@gmail.com</t>
  </si>
  <si>
    <t>56985 Sergio Extensions, Port Albert, CO 02898</t>
  </si>
  <si>
    <t>OID1597</t>
  </si>
  <si>
    <t>05:27:44</t>
  </si>
  <si>
    <t>21:00:17</t>
  </si>
  <si>
    <t>OID4412</t>
  </si>
  <si>
    <t>06:35:14</t>
  </si>
  <si>
    <t>23:36:21</t>
  </si>
  <si>
    <t>OID3900</t>
  </si>
  <si>
    <t>20:14:30</t>
  </si>
  <si>
    <t>12:31:00</t>
  </si>
  <si>
    <t>OID9756</t>
  </si>
  <si>
    <t>06:46:07</t>
  </si>
  <si>
    <t>19:17:45</t>
  </si>
  <si>
    <t>CID151</t>
  </si>
  <si>
    <t>Richmond</t>
  </si>
  <si>
    <t>william.richmond@outlook.com</t>
  </si>
  <si>
    <t>4021 Brown Orchard Apt. 026, Christinahaven, OK 18499</t>
  </si>
  <si>
    <t>OID8307</t>
  </si>
  <si>
    <t>23:19:47</t>
  </si>
  <si>
    <t>16:06:37</t>
  </si>
  <si>
    <t>OID5575</t>
  </si>
  <si>
    <t>12:50:48</t>
  </si>
  <si>
    <t>19:56:33</t>
  </si>
  <si>
    <t>OID5883</t>
  </si>
  <si>
    <t>21:08:26</t>
  </si>
  <si>
    <t>09:20:03</t>
  </si>
  <si>
    <t>OID6340</t>
  </si>
  <si>
    <t>10:50:30</t>
  </si>
  <si>
    <t>16:59:14</t>
  </si>
  <si>
    <t>OID2501</t>
  </si>
  <si>
    <t>11:53:55</t>
  </si>
  <si>
    <t>00:56:01</t>
  </si>
  <si>
    <t>OID6973</t>
  </si>
  <si>
    <t>04:03:12</t>
  </si>
  <si>
    <t>13:27:06</t>
  </si>
  <si>
    <t>OID6597</t>
  </si>
  <si>
    <t>19:44:28</t>
  </si>
  <si>
    <t>02:51:48</t>
  </si>
  <si>
    <t>OID4840</t>
  </si>
  <si>
    <t>12:38:37</t>
  </si>
  <si>
    <t>19:14:57</t>
  </si>
  <si>
    <t>OID5389</t>
  </si>
  <si>
    <t>14:52:37</t>
  </si>
  <si>
    <t>09:59:33</t>
  </si>
  <si>
    <t>OID8649</t>
  </si>
  <si>
    <t>08:43:40</t>
  </si>
  <si>
    <t>05:13:28</t>
  </si>
  <si>
    <t>OID2779</t>
  </si>
  <si>
    <t>03:11:02</t>
  </si>
  <si>
    <t>19:39:57</t>
  </si>
  <si>
    <t>OID4185</t>
  </si>
  <si>
    <t>17:17:44</t>
  </si>
  <si>
    <t>11:45:52</t>
  </si>
  <si>
    <t>OID1243</t>
  </si>
  <si>
    <t>17:27:56</t>
  </si>
  <si>
    <t>05:22:25</t>
  </si>
  <si>
    <t>OID4147</t>
  </si>
  <si>
    <t>03:23:04</t>
  </si>
  <si>
    <t>05:02:16</t>
  </si>
  <si>
    <t>OID3681</t>
  </si>
  <si>
    <t>08:45:23</t>
  </si>
  <si>
    <t>15:13:07</t>
  </si>
  <si>
    <t>OID5229</t>
  </si>
  <si>
    <t>08:36:31</t>
  </si>
  <si>
    <t>19:33:15</t>
  </si>
  <si>
    <t>OID9990</t>
  </si>
  <si>
    <t>21:53:54</t>
  </si>
  <si>
    <t>23:00:06</t>
  </si>
  <si>
    <t>OID1756</t>
  </si>
  <si>
    <t>10:58:30</t>
  </si>
  <si>
    <t>13:36:46</t>
  </si>
  <si>
    <t>OID1866</t>
  </si>
  <si>
    <t>05:53:55</t>
  </si>
  <si>
    <t>02:00:46</t>
  </si>
  <si>
    <t>OID2619</t>
  </si>
  <si>
    <t>11:51:15</t>
  </si>
  <si>
    <t>10:20:47</t>
  </si>
  <si>
    <t>OID2505</t>
  </si>
  <si>
    <t>12:37:13</t>
  </si>
  <si>
    <t>14:41:40</t>
  </si>
  <si>
    <t>OID7850</t>
  </si>
  <si>
    <t>14:59:43</t>
  </si>
  <si>
    <t>06:29:31</t>
  </si>
  <si>
    <t>OID1966</t>
  </si>
  <si>
    <t>14:04:30</t>
  </si>
  <si>
    <t>02:17:23</t>
  </si>
  <si>
    <t>OID3837</t>
  </si>
  <si>
    <t>19:09:08</t>
  </si>
  <si>
    <t>23:23:19</t>
  </si>
  <si>
    <t>OID9187</t>
  </si>
  <si>
    <t>23:47:36</t>
  </si>
  <si>
    <t>04:39:51</t>
  </si>
  <si>
    <t>OID3760</t>
  </si>
  <si>
    <t>09:05:02</t>
  </si>
  <si>
    <t>05:31:50</t>
  </si>
  <si>
    <t>OID7065</t>
  </si>
  <si>
    <t>09:15:42</t>
  </si>
  <si>
    <t>09:33:25</t>
  </si>
  <si>
    <t>OID6906</t>
  </si>
  <si>
    <t>16:29:18</t>
  </si>
  <si>
    <t>19:58:19</t>
  </si>
  <si>
    <t>OID7996</t>
  </si>
  <si>
    <t>17:23:49</t>
  </si>
  <si>
    <t>OID9247</t>
  </si>
  <si>
    <t>06:51:49</t>
  </si>
  <si>
    <t>08:40:53</t>
  </si>
  <si>
    <t>OID7303</t>
  </si>
  <si>
    <t>23:40:03</t>
  </si>
  <si>
    <t>09:33:08</t>
  </si>
  <si>
    <t>OID2173</t>
  </si>
  <si>
    <t>00:41:18</t>
  </si>
  <si>
    <t>09:19:40</t>
  </si>
  <si>
    <t>OID5367</t>
  </si>
  <si>
    <t>23:27:24</t>
  </si>
  <si>
    <t>06:00:22</t>
  </si>
  <si>
    <t>OID9748</t>
  </si>
  <si>
    <t>02:46:27</t>
  </si>
  <si>
    <t>06:40:47</t>
  </si>
  <si>
    <t>OID6469</t>
  </si>
  <si>
    <t>06:59:53</t>
  </si>
  <si>
    <t>21:07:49</t>
  </si>
  <si>
    <t>OID1013</t>
  </si>
  <si>
    <t>20:28:31</t>
  </si>
  <si>
    <t>22:26:18</t>
  </si>
  <si>
    <t>OID1219</t>
  </si>
  <si>
    <t>13:39:02</t>
  </si>
  <si>
    <t>06:39:28</t>
  </si>
  <si>
    <t>OID9988</t>
  </si>
  <si>
    <t>09:27:52</t>
  </si>
  <si>
    <t>20:53:18</t>
  </si>
  <si>
    <t>OID1669</t>
  </si>
  <si>
    <t>04:59:13</t>
  </si>
  <si>
    <t>16:22:11</t>
  </si>
  <si>
    <t>OID7329</t>
  </si>
  <si>
    <t>01:19:42</t>
  </si>
  <si>
    <t>01:52:14</t>
  </si>
  <si>
    <t>OID2873</t>
  </si>
  <si>
    <t>05:54:36</t>
  </si>
  <si>
    <t>17:18:51</t>
  </si>
  <si>
    <t>OID4932</t>
  </si>
  <si>
    <t>06:50:14</t>
  </si>
  <si>
    <t>13:55:34</t>
  </si>
  <si>
    <t>OID4169</t>
  </si>
  <si>
    <t>11:52:12</t>
  </si>
  <si>
    <t>23:25:32</t>
  </si>
  <si>
    <t>OID6945</t>
  </si>
  <si>
    <t>19:37:21</t>
  </si>
  <si>
    <t>03:13:08</t>
  </si>
  <si>
    <t>OID6794</t>
  </si>
  <si>
    <t>15:34:31</t>
  </si>
  <si>
    <t>10:35:02</t>
  </si>
  <si>
    <t>OID2412</t>
  </si>
  <si>
    <t>14:35:45</t>
  </si>
  <si>
    <t>07:09:27</t>
  </si>
  <si>
    <t>CID114</t>
  </si>
  <si>
    <t>Crane</t>
  </si>
  <si>
    <t>lauren.crane@yahoo.com</t>
  </si>
  <si>
    <t>30313 Reyes Parkways Suite 392, Port Bradley, SC 24078</t>
  </si>
  <si>
    <t>OID8162</t>
  </si>
  <si>
    <t>07:24:54</t>
  </si>
  <si>
    <t>03:15:28</t>
  </si>
  <si>
    <t>OID8860</t>
  </si>
  <si>
    <t>06:00:55</t>
  </si>
  <si>
    <t>22:23:18</t>
  </si>
  <si>
    <t>OID2523</t>
  </si>
  <si>
    <t>05:46:53</t>
  </si>
  <si>
    <t>01:30:58</t>
  </si>
  <si>
    <t>OID7382</t>
  </si>
  <si>
    <t>08:34:53</t>
  </si>
  <si>
    <t>13:26:32</t>
  </si>
  <si>
    <t>OID7593</t>
  </si>
  <si>
    <t>15:18:11</t>
  </si>
  <si>
    <t>23:05:05</t>
  </si>
  <si>
    <t>OID9980</t>
  </si>
  <si>
    <t>11:00:03</t>
  </si>
  <si>
    <t>15:17:48</t>
  </si>
  <si>
    <t>OID2440</t>
  </si>
  <si>
    <t>08:26:50</t>
  </si>
  <si>
    <t>19:28:55</t>
  </si>
  <si>
    <t>OID7256</t>
  </si>
  <si>
    <t>00:24:43</t>
  </si>
  <si>
    <t>08:45:35</t>
  </si>
  <si>
    <t>OID6854</t>
  </si>
  <si>
    <t>10:05:03</t>
  </si>
  <si>
    <t>10:06:44</t>
  </si>
  <si>
    <t>OID9600</t>
  </si>
  <si>
    <t>04:19:31</t>
  </si>
  <si>
    <t>17:52:11</t>
  </si>
  <si>
    <t>OID3186</t>
  </si>
  <si>
    <t>17:14:37</t>
  </si>
  <si>
    <t>12:54:21</t>
  </si>
  <si>
    <t>OID1420</t>
  </si>
  <si>
    <t>18:45:41</t>
  </si>
  <si>
    <t>21:20:42</t>
  </si>
  <si>
    <t>OID4436</t>
  </si>
  <si>
    <t>23:43:28</t>
  </si>
  <si>
    <t>12:35:16</t>
  </si>
  <si>
    <t>OID6410</t>
  </si>
  <si>
    <t>06:38:04</t>
  </si>
  <si>
    <t>08:13:41</t>
  </si>
  <si>
    <t>OID4538</t>
  </si>
  <si>
    <t>12:27:25</t>
  </si>
  <si>
    <t>23:59:41</t>
  </si>
  <si>
    <t>OID8225</t>
  </si>
  <si>
    <t>10:41:43</t>
  </si>
  <si>
    <t>19:20:26</t>
  </si>
  <si>
    <t>OID2099</t>
  </si>
  <si>
    <t>09:19:53</t>
  </si>
  <si>
    <t>14:30:24</t>
  </si>
  <si>
    <t>OID9222</t>
  </si>
  <si>
    <t>11:38:36</t>
  </si>
  <si>
    <t>21:12:03</t>
  </si>
  <si>
    <t>OID3523</t>
  </si>
  <si>
    <t>10:33:52</t>
  </si>
  <si>
    <t>11:21:30</t>
  </si>
  <si>
    <t>OID3834</t>
  </si>
  <si>
    <t>22:42:39</t>
  </si>
  <si>
    <t>23:12:16</t>
  </si>
  <si>
    <t>OID9975</t>
  </si>
  <si>
    <t>09:31:29</t>
  </si>
  <si>
    <t>07:20:39</t>
  </si>
  <si>
    <t>OID6893</t>
  </si>
  <si>
    <t>09:19:46</t>
  </si>
  <si>
    <t>02:07:12</t>
  </si>
  <si>
    <t>OID8192</t>
  </si>
  <si>
    <t>21:14:38</t>
  </si>
  <si>
    <t>OID7904</t>
  </si>
  <si>
    <t>15:58:53</t>
  </si>
  <si>
    <t>14:14:53</t>
  </si>
  <si>
    <t>OID5999</t>
  </si>
  <si>
    <t>17:44:01</t>
  </si>
  <si>
    <t>16:03:33</t>
  </si>
  <si>
    <t>OID7409</t>
  </si>
  <si>
    <t>02:54:23</t>
  </si>
  <si>
    <t>18:15:03</t>
  </si>
  <si>
    <t>OID8708</t>
  </si>
  <si>
    <t>07:05:11</t>
  </si>
  <si>
    <t>OID5745</t>
  </si>
  <si>
    <t>02:16:10</t>
  </si>
  <si>
    <t>06:31:20</t>
  </si>
  <si>
    <t>OID9178</t>
  </si>
  <si>
    <t>18:34:02</t>
  </si>
  <si>
    <t>13:27:30</t>
  </si>
  <si>
    <t>OID2529</t>
  </si>
  <si>
    <t>14:35:39</t>
  </si>
  <si>
    <t>17:37:51</t>
  </si>
  <si>
    <t>OID3125</t>
  </si>
  <si>
    <t>02:52:20</t>
  </si>
  <si>
    <t>04:02:49</t>
  </si>
  <si>
    <t>OID4011</t>
  </si>
  <si>
    <t>10:33:07</t>
  </si>
  <si>
    <t>06:32:27</t>
  </si>
  <si>
    <t>OID1592</t>
  </si>
  <si>
    <t>01:25:50</t>
  </si>
  <si>
    <t>18:04:09</t>
  </si>
  <si>
    <t>OID7667</t>
  </si>
  <si>
    <t>20:10:30</t>
  </si>
  <si>
    <t>15:08:52</t>
  </si>
  <si>
    <t>OID5182</t>
  </si>
  <si>
    <t>03:46:35</t>
  </si>
  <si>
    <t>11:20:17</t>
  </si>
  <si>
    <t>OID1833</t>
  </si>
  <si>
    <t>00:31:47</t>
  </si>
  <si>
    <t>11:06:01</t>
  </si>
  <si>
    <t>OID5190</t>
  </si>
  <si>
    <t>04:04:19</t>
  </si>
  <si>
    <t>00:48:55</t>
  </si>
  <si>
    <t>CID110</t>
  </si>
  <si>
    <t>Katie</t>
  </si>
  <si>
    <t>katie.hicks@rediffmail.com</t>
  </si>
  <si>
    <t>848 William Port, New Marilyn, SD 58000</t>
  </si>
  <si>
    <t>OID4399</t>
  </si>
  <si>
    <t>07:13:46</t>
  </si>
  <si>
    <t>09:05:57</t>
  </si>
  <si>
    <t>OID8104</t>
  </si>
  <si>
    <t>21:07:18</t>
  </si>
  <si>
    <t>00:38:35</t>
  </si>
  <si>
    <t>CID196</t>
  </si>
  <si>
    <t>Regina</t>
  </si>
  <si>
    <t>Hawkins</t>
  </si>
  <si>
    <t>regina.hawkins@rediffmail.com</t>
  </si>
  <si>
    <t>096 Santos Neck Apt. 937, Benjaminmouth, FL 61454</t>
  </si>
  <si>
    <t>OID1054</t>
  </si>
  <si>
    <t>13:31:33</t>
  </si>
  <si>
    <t>02:03:42</t>
  </si>
  <si>
    <t>OID7828</t>
  </si>
  <si>
    <t>00:57:10</t>
  </si>
  <si>
    <t>03:55:32</t>
  </si>
  <si>
    <t>OID5598</t>
  </si>
  <si>
    <t>00:07:15</t>
  </si>
  <si>
    <t>06:30:27</t>
  </si>
  <si>
    <t>OID7417</t>
  </si>
  <si>
    <t>08:47:14</t>
  </si>
  <si>
    <t>19:25:43</t>
  </si>
  <si>
    <t>OID8004</t>
  </si>
  <si>
    <t>12:05:04</t>
  </si>
  <si>
    <t>18:05:47</t>
  </si>
  <si>
    <t>OID7287</t>
  </si>
  <si>
    <t>05:45:27</t>
  </si>
  <si>
    <t>16:20:46</t>
  </si>
  <si>
    <t>CID177</t>
  </si>
  <si>
    <t>Rachel</t>
  </si>
  <si>
    <t>rachel.lopez@outlook.com</t>
  </si>
  <si>
    <t>90435 Bonnie Points Suite 886, Jenniferfurt, WV 20187</t>
  </si>
  <si>
    <t>OID3637</t>
  </si>
  <si>
    <t>18:27:35</t>
  </si>
  <si>
    <t>15:09:01</t>
  </si>
  <si>
    <t>OID2097</t>
  </si>
  <si>
    <t>08:19:07</t>
  </si>
  <si>
    <t>03:55:26</t>
  </si>
  <si>
    <t>OID3388</t>
  </si>
  <si>
    <t>01:16:23</t>
  </si>
  <si>
    <t>21:24:42</t>
  </si>
  <si>
    <t>OID1114</t>
  </si>
  <si>
    <t>07:59:11</t>
  </si>
  <si>
    <t>05:33:08</t>
  </si>
  <si>
    <t>OID3556</t>
  </si>
  <si>
    <t>02:05:06</t>
  </si>
  <si>
    <t>02:03:44</t>
  </si>
  <si>
    <t>OID9404</t>
  </si>
  <si>
    <t>08:18:15</t>
  </si>
  <si>
    <t>08:36:13</t>
  </si>
  <si>
    <t>OID4552</t>
  </si>
  <si>
    <t>12:10:36</t>
  </si>
  <si>
    <t>23:31:23</t>
  </si>
  <si>
    <t>OID8486</t>
  </si>
  <si>
    <t>00:38:36</t>
  </si>
  <si>
    <t>20:13:27</t>
  </si>
  <si>
    <t>OID4240</t>
  </si>
  <si>
    <t>02:46:16</t>
  </si>
  <si>
    <t>09:28:52</t>
  </si>
  <si>
    <t>OID3727</t>
  </si>
  <si>
    <t>07:58:32</t>
  </si>
  <si>
    <t>OID8955</t>
  </si>
  <si>
    <t>05:37:55</t>
  </si>
  <si>
    <t>12:11:43</t>
  </si>
  <si>
    <t>OID1744</t>
  </si>
  <si>
    <t>01:03:02</t>
  </si>
  <si>
    <t>08:40:48</t>
  </si>
  <si>
    <t>OID5831</t>
  </si>
  <si>
    <t>18:12:36</t>
  </si>
  <si>
    <t>04:54:21</t>
  </si>
  <si>
    <t>OID2842</t>
  </si>
  <si>
    <t>15:52:52</t>
  </si>
  <si>
    <t>22:30:31</t>
  </si>
  <si>
    <t>OID1661</t>
  </si>
  <si>
    <t>11:10:43</t>
  </si>
  <si>
    <t>14:43:30</t>
  </si>
  <si>
    <t>OID9123</t>
  </si>
  <si>
    <t>10:50:23</t>
  </si>
  <si>
    <t>10:39:52</t>
  </si>
  <si>
    <t>OID3981</t>
  </si>
  <si>
    <t>12:04:15</t>
  </si>
  <si>
    <t>05:18:08</t>
  </si>
  <si>
    <t>OID6634</t>
  </si>
  <si>
    <t>02:36:45</t>
  </si>
  <si>
    <t>14:57:01</t>
  </si>
  <si>
    <t>CID106</t>
  </si>
  <si>
    <t>Scott</t>
  </si>
  <si>
    <t>scott.jones@yahoo.com</t>
  </si>
  <si>
    <t>086 Kristin Manor Apt. 829, Marissabury, CT 12152</t>
  </si>
  <si>
    <t>OID9069</t>
  </si>
  <si>
    <t>02:29:46</t>
  </si>
  <si>
    <t>13:28:57</t>
  </si>
  <si>
    <t>OID6802</t>
  </si>
  <si>
    <t>03:00:01</t>
  </si>
  <si>
    <t>06:03:03</t>
  </si>
  <si>
    <t>OID4442</t>
  </si>
  <si>
    <t>01:12:34</t>
  </si>
  <si>
    <t>10:01:43</t>
  </si>
  <si>
    <t>OID4995</t>
  </si>
  <si>
    <t>16:46:34</t>
  </si>
  <si>
    <t>04:45:34</t>
  </si>
  <si>
    <t>OID7650</t>
  </si>
  <si>
    <t>12:40:06</t>
  </si>
  <si>
    <t>03:46:12</t>
  </si>
  <si>
    <t>OID5555</t>
  </si>
  <si>
    <t>21:41:18</t>
  </si>
  <si>
    <t>21:10:12</t>
  </si>
  <si>
    <t>OID1769</t>
  </si>
  <si>
    <t>18:51:12</t>
  </si>
  <si>
    <t>01:58:20</t>
  </si>
  <si>
    <t>OID2189</t>
  </si>
  <si>
    <t>16:35:28</t>
  </si>
  <si>
    <t>07:06:38</t>
  </si>
  <si>
    <t>OID9035</t>
  </si>
  <si>
    <t>15:11:02</t>
  </si>
  <si>
    <t>14:16:59</t>
  </si>
  <si>
    <t>OID4219</t>
  </si>
  <si>
    <t>08:03:37</t>
  </si>
  <si>
    <t>13:50:58</t>
  </si>
  <si>
    <t>OID1694</t>
  </si>
  <si>
    <t>04:43:46</t>
  </si>
  <si>
    <t>01:46:40</t>
  </si>
  <si>
    <t>OID7495</t>
  </si>
  <si>
    <t>21:09:31</t>
  </si>
  <si>
    <t>06:09:19</t>
  </si>
  <si>
    <t>OID1080</t>
  </si>
  <si>
    <t>01:04:28</t>
  </si>
  <si>
    <t>16:40:55</t>
  </si>
  <si>
    <t>OID4539</t>
  </si>
  <si>
    <t>15:06:18</t>
  </si>
  <si>
    <t>03:50:06</t>
  </si>
  <si>
    <t>OID8093</t>
  </si>
  <si>
    <t>15:43:42</t>
  </si>
  <si>
    <t>15:41:25</t>
  </si>
  <si>
    <t>OID1707</t>
  </si>
  <si>
    <t>21:05:38</t>
  </si>
  <si>
    <t>17:28:07</t>
  </si>
  <si>
    <t>OID5703</t>
  </si>
  <si>
    <t>16:01:40</t>
  </si>
  <si>
    <t>02:24:54</t>
  </si>
  <si>
    <t>OID7457</t>
  </si>
  <si>
    <t>13:25:17</t>
  </si>
  <si>
    <t>13:52:42</t>
  </si>
  <si>
    <t>CID197</t>
  </si>
  <si>
    <t>Jacobs</t>
  </si>
  <si>
    <t>gary.jacobs@gmail.com</t>
  </si>
  <si>
    <t>USNV Williams, FPO AP 23197</t>
  </si>
  <si>
    <t>OID4784</t>
  </si>
  <si>
    <t>07:19:13</t>
  </si>
  <si>
    <t>04:47:20</t>
  </si>
  <si>
    <t>OID1726</t>
  </si>
  <si>
    <t>11:30:19</t>
  </si>
  <si>
    <t>02:44:11</t>
  </si>
  <si>
    <t>OID1073</t>
  </si>
  <si>
    <t>03:51:26</t>
  </si>
  <si>
    <t>12:59:30</t>
  </si>
  <si>
    <t>OID7443</t>
  </si>
  <si>
    <t>15:44:41</t>
  </si>
  <si>
    <t>03:08:53</t>
  </si>
  <si>
    <t>OID1025</t>
  </si>
  <si>
    <t>02:29:08</t>
  </si>
  <si>
    <t>01:57:29</t>
  </si>
  <si>
    <t>OID8826</t>
  </si>
  <si>
    <t>04:40:06</t>
  </si>
  <si>
    <t>02:03:57</t>
  </si>
  <si>
    <t>OID6254</t>
  </si>
  <si>
    <t>01:51:31</t>
  </si>
  <si>
    <t>05:04:36</t>
  </si>
  <si>
    <t>OID7518</t>
  </si>
  <si>
    <t>11:55:04</t>
  </si>
  <si>
    <t>05:45:33</t>
  </si>
  <si>
    <t>OID4491</t>
  </si>
  <si>
    <t>16:42:26</t>
  </si>
  <si>
    <t>08:22:44</t>
  </si>
  <si>
    <t>CID146</t>
  </si>
  <si>
    <t>Janice</t>
  </si>
  <si>
    <t>Gordon</t>
  </si>
  <si>
    <t>janice.gordon@yahoo.com</t>
  </si>
  <si>
    <t>5812 Evelyn Mountains Suite 845, Ortiztown, MN 86166</t>
  </si>
  <si>
    <t>OID8288</t>
  </si>
  <si>
    <t>02:55:29</t>
  </si>
  <si>
    <t>04:21:49</t>
  </si>
  <si>
    <t>OID6504</t>
  </si>
  <si>
    <t>12:05:41</t>
  </si>
  <si>
    <t>04:38:50</t>
  </si>
  <si>
    <t>OID2595</t>
  </si>
  <si>
    <t>03:10:32</t>
  </si>
  <si>
    <t>11:44:11</t>
  </si>
  <si>
    <t>OID9478</t>
  </si>
  <si>
    <t>17:54:41</t>
  </si>
  <si>
    <t>08:42:42</t>
  </si>
  <si>
    <t>OID1169</t>
  </si>
  <si>
    <t>07:11:33</t>
  </si>
  <si>
    <t>03:38:41</t>
  </si>
  <si>
    <t>OID6775</t>
  </si>
  <si>
    <t>06:54:03</t>
  </si>
  <si>
    <t>01:13:09</t>
  </si>
  <si>
    <t>OID2383</t>
  </si>
  <si>
    <t>04:44:42</t>
  </si>
  <si>
    <t>02:15:04</t>
  </si>
  <si>
    <t>CID167</t>
  </si>
  <si>
    <t>Diana</t>
  </si>
  <si>
    <t>French</t>
  </si>
  <si>
    <t>diana.french@outlook.com</t>
  </si>
  <si>
    <t>163 Jeffrey Drive, South Mary, NH 23999</t>
  </si>
  <si>
    <t>OID3750</t>
  </si>
  <si>
    <t>04:44:04</t>
  </si>
  <si>
    <t>21:00:20</t>
  </si>
  <si>
    <t>OID4837</t>
  </si>
  <si>
    <t>22:42:38</t>
  </si>
  <si>
    <t>12:41:59</t>
  </si>
  <si>
    <t>OID6975</t>
  </si>
  <si>
    <t>18:23:17</t>
  </si>
  <si>
    <t>19:23:44</t>
  </si>
  <si>
    <t>OID1869</t>
  </si>
  <si>
    <t>12:14:10</t>
  </si>
  <si>
    <t>03:34:04</t>
  </si>
  <si>
    <t>OID3921</t>
  </si>
  <si>
    <t>04:53:45</t>
  </si>
  <si>
    <t>05:48:22</t>
  </si>
  <si>
    <t>OID4056</t>
  </si>
  <si>
    <t>10:23:23</t>
  </si>
  <si>
    <t>21:18:46</t>
  </si>
  <si>
    <t>OID4907</t>
  </si>
  <si>
    <t>20:13:44</t>
  </si>
  <si>
    <t>09:06:18</t>
  </si>
  <si>
    <t>OID9684</t>
  </si>
  <si>
    <t>12:43:07</t>
  </si>
  <si>
    <t>05:09:35</t>
  </si>
  <si>
    <t>OID2044</t>
  </si>
  <si>
    <t>22:16:48</t>
  </si>
  <si>
    <t>16:09:18</t>
  </si>
  <si>
    <t>OID6436</t>
  </si>
  <si>
    <t>13:00:52</t>
  </si>
  <si>
    <t>00:18:32</t>
  </si>
  <si>
    <t>OID9374</t>
  </si>
  <si>
    <t>15:33:07</t>
  </si>
  <si>
    <t>15:51:15</t>
  </si>
  <si>
    <t>OID2767</t>
  </si>
  <si>
    <t>16:58:37</t>
  </si>
  <si>
    <t>01:05:53</t>
  </si>
  <si>
    <t>OID8981</t>
  </si>
  <si>
    <t>15:06:44</t>
  </si>
  <si>
    <t>14:31:29</t>
  </si>
  <si>
    <t>OID2246</t>
  </si>
  <si>
    <t>05:36:29</t>
  </si>
  <si>
    <t>07:21:52</t>
  </si>
  <si>
    <t>OID1779</t>
  </si>
  <si>
    <t>12:50:57</t>
  </si>
  <si>
    <t>01:24:34</t>
  </si>
  <si>
    <t>OID2005</t>
  </si>
  <si>
    <t>12:10:00</t>
  </si>
  <si>
    <t>09:31:36</t>
  </si>
  <si>
    <t>OID6485</t>
  </si>
  <si>
    <t>13:21:50</t>
  </si>
  <si>
    <t>18:29:46</t>
  </si>
  <si>
    <t>OID6319</t>
  </si>
  <si>
    <t>09:32:58</t>
  </si>
  <si>
    <t>OID9461</t>
  </si>
  <si>
    <t>14:34:14</t>
  </si>
  <si>
    <t>17:45:57</t>
  </si>
  <si>
    <t>OID4522</t>
  </si>
  <si>
    <t>00:44:05</t>
  </si>
  <si>
    <t>19:29:03</t>
  </si>
  <si>
    <t>OID9862</t>
  </si>
  <si>
    <t>05:02:45</t>
  </si>
  <si>
    <t>14:00:57</t>
  </si>
  <si>
    <t>OID6361</t>
  </si>
  <si>
    <t>16:28:38</t>
  </si>
  <si>
    <t>01:06:14</t>
  </si>
  <si>
    <t>OID7238</t>
  </si>
  <si>
    <t>08:22:36</t>
  </si>
  <si>
    <t>07:46:17</t>
  </si>
  <si>
    <t>OID8446</t>
  </si>
  <si>
    <t>02:53:11</t>
  </si>
  <si>
    <t>03:53:13</t>
  </si>
  <si>
    <t>OID9459</t>
  </si>
  <si>
    <t>08:17:07</t>
  </si>
  <si>
    <t>07:01:18</t>
  </si>
  <si>
    <t>OID6433</t>
  </si>
  <si>
    <t>01:02:33</t>
  </si>
  <si>
    <t>03:31:58</t>
  </si>
  <si>
    <t>OID3128</t>
  </si>
  <si>
    <t>22:17:42</t>
  </si>
  <si>
    <t>09:42:50</t>
  </si>
  <si>
    <t>OID8972</t>
  </si>
  <si>
    <t>07:36:32</t>
  </si>
  <si>
    <t>09:34:23</t>
  </si>
  <si>
    <t>OID5970</t>
  </si>
  <si>
    <t>07:39:59</t>
  </si>
  <si>
    <t>04:52:06</t>
  </si>
  <si>
    <t>OID3491</t>
  </si>
  <si>
    <t>18:04:56</t>
  </si>
  <si>
    <t>06:42:40</t>
  </si>
  <si>
    <t>OID6651</t>
  </si>
  <si>
    <t>03:18:41</t>
  </si>
  <si>
    <t>01:31:23</t>
  </si>
  <si>
    <t>OID2861</t>
  </si>
  <si>
    <t>20:38:05</t>
  </si>
  <si>
    <t>02:58:16</t>
  </si>
  <si>
    <t>OID3302</t>
  </si>
  <si>
    <t>08:32:59</t>
  </si>
  <si>
    <t>03:32:40</t>
  </si>
  <si>
    <t>OID9922</t>
  </si>
  <si>
    <t>12:42:28</t>
  </si>
  <si>
    <t>16:13:49</t>
  </si>
  <si>
    <t>OID4613</t>
  </si>
  <si>
    <t>10:24:01</t>
  </si>
  <si>
    <t>06:25:35</t>
  </si>
  <si>
    <t>OID7483</t>
  </si>
  <si>
    <t>12:19:38</t>
  </si>
  <si>
    <t>00:24:54</t>
  </si>
  <si>
    <t>OID7418</t>
  </si>
  <si>
    <t>01:15:18</t>
  </si>
  <si>
    <t>16:11:48</t>
  </si>
  <si>
    <t>OID3361</t>
  </si>
  <si>
    <t>09:50:05</t>
  </si>
  <si>
    <t>23:38:57</t>
  </si>
  <si>
    <t>OID7475</t>
  </si>
  <si>
    <t>08:30:03</t>
  </si>
  <si>
    <t>17:07:47</t>
  </si>
  <si>
    <t>OID6847</t>
  </si>
  <si>
    <t>17:02:09</t>
  </si>
  <si>
    <t>05:55:32</t>
  </si>
  <si>
    <t>Q1) Count of distinct Customer</t>
  </si>
  <si>
    <t>Q2) Count of distinct Products</t>
  </si>
  <si>
    <t>Q3) Create a new column, Days to deliver and fill it with number of days it took for delivery</t>
  </si>
  <si>
    <t>Q4) Create a new column Amount by using Price and Quantity</t>
  </si>
  <si>
    <t>Q5) Create a new column for Amount_with_Del_Chrg considering Delivery Charge as well</t>
  </si>
  <si>
    <t xml:space="preserve">Q6) Create a new column Discount_Percent and use Coupon_Code to Extract it. </t>
  </si>
  <si>
    <t>FLAT8 implies 8% discount, FLAT10 implies 10% discount. FLAT15 implies 15% discount, FLAT20 implies 20% discount, DEL0 implies No Delivery charge would be applied</t>
  </si>
  <si>
    <t>Q7) Compute final amount by using Amount_with_Del_Chrg and Discount_Percent</t>
  </si>
  <si>
    <t>Q8) Generate a Column Full_name by utilising FirstName and Last Name</t>
  </si>
  <si>
    <t>Q9) Create new columns - Fname, Lname by extracting First_Name and Last_name from the Full_Name column enerated in Q8</t>
  </si>
  <si>
    <t>Q10) Create a new column - MobileNum by Extracting Contact details excluding the +1-</t>
  </si>
  <si>
    <t xml:space="preserve">Other Ques </t>
  </si>
  <si>
    <t>Q11) Create a new column Order_Day and fill it with values like Monday, Tueesday… Sunday based on Order Day</t>
  </si>
  <si>
    <t>Q12) Find Count of Orders on weekdays and weekends</t>
  </si>
  <si>
    <t>Q13) Create a new column Late_Delivery and populate it with values - Late, InTime by checking if the delivery was late than the Estimated date</t>
  </si>
  <si>
    <t xml:space="preserve">Q14) Extract user_name and domain name from email. </t>
  </si>
  <si>
    <t>Q15) Count Users having Email on google, rediff, yahoo and outlook</t>
  </si>
  <si>
    <t>Q16) Find peak order hour (top 5 hours at which most orders were placed</t>
  </si>
  <si>
    <t>Pivot Table and Charts based questions</t>
  </si>
  <si>
    <t>Q1) Create a pivot table for representing city wise sum of amount and sum of discounted amount and represent it on a bar chart.</t>
  </si>
  <si>
    <t xml:space="preserve">Q2) Create a pivot table representing Top 5 product with highest sales. Use city as slicer in pivot table. Also create a bar chart for the same. </t>
  </si>
  <si>
    <t>Q3) Find month wise count of orders, percentage contribition of orders out of total orders in a pivot table. Represent it on a pie chart.</t>
  </si>
  <si>
    <t>Q4) Represent month wise total amount and total discounted amount on a line chart</t>
  </si>
  <si>
    <t>Q5) Represent top 7 customers with highiest sales on a bar chart</t>
  </si>
  <si>
    <t>Q6) Represent city wise total sales and total discounted sales on a scatter chart</t>
  </si>
  <si>
    <t>Q7) Create a pivot table to represent count of different disocunt coupons and free delivery coupons. Represent it on a donut chart</t>
  </si>
  <si>
    <t>Contact</t>
  </si>
  <si>
    <t>Days to Deliver</t>
  </si>
  <si>
    <t>Order_Hour</t>
  </si>
  <si>
    <t>Amount</t>
  </si>
  <si>
    <t>Amount with Del Charg</t>
  </si>
  <si>
    <t>Discount_Percent</t>
  </si>
  <si>
    <t>Discounted_Amt</t>
  </si>
  <si>
    <t>Final Amount</t>
  </si>
  <si>
    <t>Order_Day</t>
  </si>
  <si>
    <t>Is_Weekend</t>
  </si>
  <si>
    <t>User_Name</t>
  </si>
  <si>
    <t>Domain</t>
  </si>
  <si>
    <t>Full_Name</t>
  </si>
  <si>
    <t>Fname</t>
  </si>
  <si>
    <t>Lname</t>
  </si>
  <si>
    <t>Delivery_Status</t>
  </si>
  <si>
    <t>Mobile_Num</t>
  </si>
  <si>
    <t>+1-1907565656</t>
  </si>
  <si>
    <t>+1-1365605012</t>
  </si>
  <si>
    <t>+1-2802179041</t>
  </si>
  <si>
    <t>+1-3002859425</t>
  </si>
  <si>
    <t>+1-9124531645</t>
  </si>
  <si>
    <t>+1-7905460592</t>
  </si>
  <si>
    <t>+1-3107089317</t>
  </si>
  <si>
    <t>+1-3285345844</t>
  </si>
  <si>
    <t>+1-2319684657</t>
  </si>
  <si>
    <t>+1-5905919798</t>
  </si>
  <si>
    <t>+1-9963860522</t>
  </si>
  <si>
    <t>+1-5606891385</t>
  </si>
  <si>
    <t>+1-6714373636</t>
  </si>
  <si>
    <t>+1-8198368752</t>
  </si>
  <si>
    <t>+1-8489851865</t>
  </si>
  <si>
    <t>+1-5568786605</t>
  </si>
  <si>
    <t>+1-6252923866</t>
  </si>
  <si>
    <t>+1-4578999201</t>
  </si>
  <si>
    <t>+1-1658053570</t>
  </si>
  <si>
    <t>+1-4479326362</t>
  </si>
  <si>
    <t>+1-1246272495</t>
  </si>
  <si>
    <t>+1-5064601873</t>
  </si>
  <si>
    <t>+1-1469233281</t>
  </si>
  <si>
    <t>+1-7655568476</t>
  </si>
  <si>
    <t>+1-9776413933</t>
  </si>
  <si>
    <t>+1-8519428947</t>
  </si>
  <si>
    <t>+1-3888567280</t>
  </si>
  <si>
    <t>+1-9821167404</t>
  </si>
  <si>
    <t>+1-7008964043</t>
  </si>
  <si>
    <t>+1-1038695332</t>
  </si>
  <si>
    <t>+1-7107895267</t>
  </si>
  <si>
    <t>+1-2526461514</t>
  </si>
  <si>
    <t>+1-4487383562</t>
  </si>
  <si>
    <t>+1-9917480357</t>
  </si>
  <si>
    <t>+1-6141690387</t>
  </si>
  <si>
    <t>+1-5303083048</t>
  </si>
  <si>
    <t>+1-8704573867</t>
  </si>
  <si>
    <t>+1-2117150366</t>
  </si>
  <si>
    <t>+1-6998200211</t>
  </si>
  <si>
    <t>+1-8764365941</t>
  </si>
  <si>
    <t>+1-7022495342</t>
  </si>
  <si>
    <t>+1-5404481937</t>
  </si>
  <si>
    <t>+1-9196003695</t>
  </si>
  <si>
    <t>+1-2777942517</t>
  </si>
  <si>
    <t>+1-2067928085</t>
  </si>
  <si>
    <t>+1-7005863307</t>
  </si>
  <si>
    <t>+1-2572134812</t>
  </si>
  <si>
    <t>+1-3050841099</t>
  </si>
  <si>
    <t>+1-3616584899</t>
  </si>
  <si>
    <t>+1-2200374051</t>
  </si>
  <si>
    <t>+1-5768125472</t>
  </si>
  <si>
    <t>+1-1616387654</t>
  </si>
  <si>
    <t>+1-1986732848</t>
  </si>
  <si>
    <t>+1-2980921203</t>
  </si>
  <si>
    <t>+1-2983785246</t>
  </si>
  <si>
    <t>+1-2967363272</t>
  </si>
  <si>
    <t>+1-2752645856</t>
  </si>
  <si>
    <t>+1-4550884506</t>
  </si>
  <si>
    <t>+1-3315856459</t>
  </si>
  <si>
    <t>+1-2600607313</t>
  </si>
  <si>
    <t>+1-1286744838</t>
  </si>
  <si>
    <t>+1-7115252196</t>
  </si>
  <si>
    <t>+1-3033704901</t>
  </si>
  <si>
    <t>+1-9262665568</t>
  </si>
  <si>
    <t>+1-7183764787</t>
  </si>
  <si>
    <t>+1-5986536783</t>
  </si>
  <si>
    <t>+1-2819338490</t>
  </si>
  <si>
    <t>+1-4979763480</t>
  </si>
  <si>
    <t>+1-7319729780</t>
  </si>
  <si>
    <t>+1-5206547982</t>
  </si>
  <si>
    <t>+1-1790366660</t>
  </si>
  <si>
    <t>+1-8387920274</t>
  </si>
  <si>
    <t>+1-6457583969</t>
  </si>
  <si>
    <t>+1-9580212304</t>
  </si>
  <si>
    <t>+1-6447192638</t>
  </si>
  <si>
    <t>+1-8227219371</t>
  </si>
  <si>
    <t>+1-9437992706</t>
  </si>
  <si>
    <t>+1-6925604471</t>
  </si>
  <si>
    <t>+1-8150421336</t>
  </si>
  <si>
    <t>+1-3399780631</t>
  </si>
  <si>
    <t>+1-3474873299</t>
  </si>
  <si>
    <t>+1-6874958767</t>
  </si>
  <si>
    <t>+1-8650119639</t>
  </si>
  <si>
    <t>+1-3794080609</t>
  </si>
  <si>
    <t>+1-9861161831</t>
  </si>
  <si>
    <t>+1-6915583410</t>
  </si>
  <si>
    <t>+1-2418130991</t>
  </si>
  <si>
    <t>+1-9913869822</t>
  </si>
  <si>
    <t>+1-9296010082</t>
  </si>
  <si>
    <t>+1-2795865294</t>
  </si>
  <si>
    <t>+1-9146404053</t>
  </si>
  <si>
    <t>+1-5823971509</t>
  </si>
  <si>
    <t>+1-6463820710</t>
  </si>
  <si>
    <t>+1-5678668617</t>
  </si>
  <si>
    <t>+1-6151618322</t>
  </si>
  <si>
    <t>+1-5390841769</t>
  </si>
  <si>
    <t>+1-6478016791</t>
  </si>
  <si>
    <t>+1-5557057825</t>
  </si>
  <si>
    <t>+1-9718011628</t>
  </si>
  <si>
    <t>+1-8786631337</t>
  </si>
  <si>
    <t>Ans1)</t>
  </si>
  <si>
    <t>Count of Unique Customers</t>
  </si>
  <si>
    <t>Ans2)</t>
  </si>
  <si>
    <t>Count of Distinct Products</t>
  </si>
  <si>
    <t>Unique Products</t>
  </si>
  <si>
    <t>Ans3)</t>
  </si>
  <si>
    <t>Solved in Solutions Sheet</t>
  </si>
  <si>
    <t>VALUE(DATEDIF(K2,S2,"D"))</t>
  </si>
  <si>
    <t>Ans4)</t>
  </si>
  <si>
    <t>N2*O2</t>
  </si>
  <si>
    <t>Ans5)</t>
  </si>
  <si>
    <t>Amt_with_del_Chrg</t>
  </si>
  <si>
    <t>W2+R2</t>
  </si>
  <si>
    <t>Ans6)</t>
  </si>
  <si>
    <t>IFERROR(NUMBERVALUE(RIGHT(P2,LEN(P2)-SEARCH("T",P2,1))),0)</t>
  </si>
  <si>
    <t>Ans7)</t>
  </si>
  <si>
    <t>Discounted Amount</t>
  </si>
  <si>
    <t>W2-(W2*Y2)/100</t>
  </si>
  <si>
    <t>IF(P2="DEL0", Z2, Z2+ R2)</t>
  </si>
  <si>
    <t>Ans8)</t>
  </si>
  <si>
    <t>Full Name</t>
  </si>
  <si>
    <t>B2 &amp; " " &amp; C2</t>
  </si>
  <si>
    <t>Ans9)</t>
  </si>
  <si>
    <t>LEFT(AF2,SEARCH(" ",AF2,1)-1)</t>
  </si>
  <si>
    <t>RIGHT(AF2,LEN(AF2)-SEARCH(" ",AF2,1))</t>
  </si>
  <si>
    <t>Ans10)</t>
  </si>
  <si>
    <t>Mobile Number</t>
  </si>
  <si>
    <t>NUMBERVALUE(RIGHT(H2,LEN(H2)-SEARCH("-",H2)))</t>
  </si>
  <si>
    <t>Ans11)</t>
  </si>
  <si>
    <t>Order Day</t>
  </si>
  <si>
    <t>TEXT(K2,"dddd")</t>
  </si>
  <si>
    <t>Ans12)</t>
  </si>
  <si>
    <t>IF(OR(AB2="Saturday",AB2="Sunday"),"Weekend","Weekday")</t>
  </si>
  <si>
    <t>Weekday</t>
  </si>
  <si>
    <t>Weekend</t>
  </si>
  <si>
    <t>Ans13)</t>
  </si>
  <si>
    <t>Delivery Status</t>
  </si>
  <si>
    <t>IF(Q2&gt;U2, "Before Time", IF(Q2=U2,"InTime","Late"))</t>
  </si>
  <si>
    <t>Ans14)</t>
  </si>
  <si>
    <t>User Name</t>
  </si>
  <si>
    <t>LEFT(G2,SEARCH("@",G2,1)-1)</t>
  </si>
  <si>
    <t>MID(G2, SEARCH("@",G2,1)+1,  SEARCH(".",G2,SEARCH(".",G2,1)+1) - SEARCH("@",G2,1)-1)</t>
  </si>
  <si>
    <t>Ans15)</t>
  </si>
  <si>
    <t>gmail</t>
  </si>
  <si>
    <t>rediffmail</t>
  </si>
  <si>
    <t>yahoo</t>
  </si>
  <si>
    <t>outlook</t>
  </si>
  <si>
    <t>Ans16)</t>
  </si>
  <si>
    <t>Order Hour</t>
  </si>
  <si>
    <t>HOUR(L2)</t>
  </si>
  <si>
    <t>Top 5 Order Hour</t>
  </si>
  <si>
    <t>Row Labels</t>
  </si>
  <si>
    <t>Count of Order_Hour</t>
  </si>
  <si>
    <t>Grand Total</t>
  </si>
  <si>
    <t>Ans1</t>
  </si>
  <si>
    <t>Sum of Amount</t>
  </si>
  <si>
    <t>Sum of Discounted_Amt</t>
  </si>
  <si>
    <t>Sum of Final Amount</t>
  </si>
  <si>
    <t>Order_Date - Month</t>
  </si>
  <si>
    <t>Count of Order_ID</t>
  </si>
  <si>
    <t>Percentage_Contribution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</si>
  <si>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</si>
  <si>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</si>
  <si>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</si>
  <si>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</si>
  <si>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</si>
  <si>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</si>
  <si>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</si>
  <si>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</si>
  <si>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</si>
  <si>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</si>
  <si>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</si>
  <si>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</si>
  <si>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Jodi Whitney</t>
  </si>
  <si>
    <t>Lauren Crane</t>
  </si>
  <si>
    <t>Mark Summers</t>
  </si>
  <si>
    <t>Mary Knight</t>
  </si>
  <si>
    <t>Jessica Ruiz</t>
  </si>
  <si>
    <t>Lauren Long</t>
  </si>
  <si>
    <t>Angela Evans</t>
  </si>
  <si>
    <t>Sales</t>
  </si>
  <si>
    <t>Dis_Sales</t>
  </si>
  <si>
    <t>Count of Coupon_Code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</si>
</sst>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2" numFmtId="164" xfId="0" applyFont="1" applyNumberFormat="1"/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ont="1">
      <alignment horizontal="left"/>
    </xf>
    <xf borderId="2" fillId="3" fontId="2" numFmtId="0" xfId="0" applyBorder="1" applyFont="1"/>
    <xf borderId="5" fillId="4" fontId="1" numFmtId="0" xfId="0" applyBorder="1" applyFill="1" applyFont="1"/>
    <xf borderId="5" fillId="5" fontId="2" numFmtId="0" xfId="0" applyAlignment="1" applyBorder="1" applyFill="1" applyFont="1">
      <alignment horizontal="left"/>
    </xf>
    <xf borderId="2" fillId="6" fontId="2" numFmtId="0" xfId="0" applyBorder="1" applyFill="1" applyFont="1"/>
    <xf borderId="5" fillId="7" fontId="1" numFmtId="0" xfId="0" applyBorder="1" applyFill="1" applyFont="1"/>
    <xf borderId="5" fillId="5" fontId="2" numFmtId="0" xfId="0" applyBorder="1" applyFont="1"/>
    <xf borderId="6" fillId="3" fontId="1" numFmtId="0" xfId="0" applyAlignment="1" applyBorder="1" applyFont="1">
      <alignment horizontal="center" vertical="top"/>
    </xf>
    <xf borderId="6" fillId="3" fontId="1" numFmtId="0" xfId="0" applyAlignment="1" applyBorder="1" applyFont="1">
      <alignment horizontal="center" shrinkToFit="0" vertical="top" wrapText="1"/>
    </xf>
    <xf borderId="5" fillId="3" fontId="1" numFmtId="0" xfId="0" applyAlignment="1" applyBorder="1" applyFont="1">
      <alignment horizontal="center" vertical="top"/>
    </xf>
    <xf borderId="5" fillId="3" fontId="1" numFmtId="0" xfId="0" applyBorder="1" applyFont="1"/>
    <xf borderId="0" fillId="0" fontId="4" numFmtId="0" xfId="0" applyFont="1"/>
    <xf borderId="0" fillId="0" fontId="1" numFmtId="0" xfId="0" applyFont="1"/>
    <xf borderId="2" fillId="8" fontId="2" numFmtId="0" xfId="0" applyAlignment="1" applyBorder="1" applyFill="1" applyFont="1">
      <alignment horizontal="center"/>
    </xf>
    <xf borderId="2" fillId="8" fontId="2" numFmtId="0" xfId="0" applyAlignment="1" applyBorder="1" applyFont="1">
      <alignment horizontal="left"/>
    </xf>
    <xf borderId="5" fillId="8" fontId="2" numFmtId="0" xfId="0" applyBorder="1" applyFont="1"/>
    <xf borderId="2" fillId="2" fontId="2" numFmtId="0" xfId="0" applyAlignment="1" applyBorder="1" applyFont="1">
      <alignment horizontal="center"/>
    </xf>
    <xf borderId="5" fillId="2" fontId="2" numFmtId="0" xfId="0" applyBorder="1" applyFont="1"/>
    <xf borderId="0" fillId="0" fontId="2" numFmtId="0" xfId="0" applyAlignment="1" applyFont="1">
      <alignment horizontal="left"/>
    </xf>
    <xf borderId="5" fillId="9" fontId="1" numFmtId="0" xfId="0" applyBorder="1" applyFill="1" applyFont="1"/>
    <xf borderId="0" fillId="0" fontId="2" numFmtId="164" xfId="0" applyAlignment="1" applyFont="1" applyNumberFormat="1">
      <alignment horizontal="left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Amount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Answers!$B$99:$B$107</c:f>
            </c:strRef>
          </c:cat>
          <c:val>
            <c:numRef>
              <c:f>Answers!$C$99:$C$107</c:f>
              <c:numCache/>
            </c:numRef>
          </c:val>
        </c:ser>
        <c:ser>
          <c:idx val="1"/>
          <c:order val="1"/>
          <c:tx>
            <c:v>Sum of Discounted_Amt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Answers!$B$99:$B$107</c:f>
            </c:strRef>
          </c:cat>
          <c:val>
            <c:numRef>
              <c:f>Answers!$D$99:$D$107</c:f>
              <c:numCache/>
            </c:numRef>
          </c:val>
        </c:ser>
        <c:axId val="1937269419"/>
        <c:axId val="1620163675"/>
      </c:barChart>
      <c:catAx>
        <c:axId val="1937269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0163675"/>
      </c:catAx>
      <c:valAx>
        <c:axId val="1620163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726941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Answers!$B$119:$B$124</c:f>
            </c:strRef>
          </c:cat>
          <c:val>
            <c:numRef>
              <c:f>Answers!$C$119:$C$124</c:f>
              <c:numCache/>
            </c:numRef>
          </c:val>
        </c:ser>
        <c:axId val="1620167238"/>
        <c:axId val="652952353"/>
      </c:barChart>
      <c:catAx>
        <c:axId val="1620167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2952353"/>
      </c:catAx>
      <c:valAx>
        <c:axId val="652952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016723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Answers!$C$137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Pt>
            <c:idx val="9"/>
            <c:spPr>
              <a:solidFill>
                <a:schemeClr val="accent4"/>
              </a:solidFill>
            </c:spPr>
          </c:dPt>
          <c:dPt>
            <c:idx val="10"/>
            <c:spPr>
              <a:solidFill>
                <a:schemeClr val="accent5"/>
              </a:solidFill>
            </c:spPr>
          </c:dPt>
          <c:dPt>
            <c:idx val="11"/>
            <c:spPr>
              <a:solidFill>
                <a:schemeClr val="accent6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Answers!$B$138:$B$150</c:f>
            </c:strRef>
          </c:cat>
          <c:val>
            <c:numRef>
              <c:f>Answers!$C$138:$C$150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Sum of Amount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Answers!$B$157:$B$169</c:f>
            </c:strRef>
          </c:cat>
          <c:val>
            <c:numRef>
              <c:f>Answers!$C$157:$C$169</c:f>
              <c:numCache/>
            </c:numRef>
          </c:val>
          <c:smooth val="0"/>
        </c:ser>
        <c:ser>
          <c:idx val="1"/>
          <c:order val="1"/>
          <c:tx>
            <c:v>Sum of Discounted_Amt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Answers!$B$157:$B$169</c:f>
            </c:strRef>
          </c:cat>
          <c:val>
            <c:numRef>
              <c:f>Answers!$D$157:$D$169</c:f>
              <c:numCache/>
            </c:numRef>
          </c:val>
          <c:smooth val="0"/>
        </c:ser>
        <c:axId val="1160557818"/>
        <c:axId val="1314846982"/>
      </c:lineChart>
      <c:catAx>
        <c:axId val="1160557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14846982"/>
      </c:catAx>
      <c:valAx>
        <c:axId val="1314846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055781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Answers!$B$177:$B$184</c:f>
            </c:strRef>
          </c:cat>
          <c:val>
            <c:numRef>
              <c:f>Answers!$C$177:$C$184</c:f>
              <c:numCache/>
            </c:numRef>
          </c:val>
        </c:ser>
        <c:overlap val="100"/>
        <c:axId val="1547802449"/>
        <c:axId val="588382387"/>
      </c:barChart>
      <c:catAx>
        <c:axId val="1547802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8382387"/>
      </c:catAx>
      <c:valAx>
        <c:axId val="588382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780244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City wise Sales and Dis_sales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Sales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Answers!$F$194:$F$201</c:f>
            </c:numRef>
          </c:xVal>
          <c:yVal>
            <c:numRef>
              <c:f>Answers!$G$194:$G$201</c:f>
              <c:numCache/>
            </c:numRef>
          </c:yVal>
        </c:ser>
        <c:ser>
          <c:idx val="1"/>
          <c:order val="1"/>
          <c:tx>
            <c:v>Dis_Sales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Answers!$F$194:$F$201</c:f>
            </c:numRef>
          </c:xVal>
          <c:yVal>
            <c:numRef>
              <c:f>Answers!$H$194:$H$201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238217"/>
        <c:axId val="1194271977"/>
      </c:scatterChart>
      <c:valAx>
        <c:axId val="5122382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4271977"/>
      </c:valAx>
      <c:valAx>
        <c:axId val="1194271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223821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Discount Coupons Count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Answers!$C$209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Answers!$B$210:$B$215</c:f>
            </c:strRef>
          </c:cat>
          <c:val>
            <c:numRef>
              <c:f>Answers!$C$210:$C$215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514350</xdr:colOff>
      <xdr:row>96</xdr:row>
      <xdr:rowOff>28575</xdr:rowOff>
    </xdr:from>
    <xdr:ext cx="4343400" cy="3057525"/>
    <xdr:graphicFrame>
      <xdr:nvGraphicFramePr>
        <xdr:cNvPr id="28279508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514350</xdr:colOff>
      <xdr:row>115</xdr:row>
      <xdr:rowOff>171450</xdr:rowOff>
    </xdr:from>
    <xdr:ext cx="3648075" cy="2143125"/>
    <xdr:graphicFrame>
      <xdr:nvGraphicFramePr>
        <xdr:cNvPr id="138879219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95250</xdr:colOff>
      <xdr:row>135</xdr:row>
      <xdr:rowOff>85725</xdr:rowOff>
    </xdr:from>
    <xdr:ext cx="4371975" cy="2695575"/>
    <xdr:graphicFrame>
      <xdr:nvGraphicFramePr>
        <xdr:cNvPr id="100281433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514350</xdr:colOff>
      <xdr:row>154</xdr:row>
      <xdr:rowOff>123825</xdr:rowOff>
    </xdr:from>
    <xdr:ext cx="4343400" cy="2695575"/>
    <xdr:graphicFrame>
      <xdr:nvGraphicFramePr>
        <xdr:cNvPr id="31354950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304800</xdr:colOff>
      <xdr:row>173</xdr:row>
      <xdr:rowOff>47625</xdr:rowOff>
    </xdr:from>
    <xdr:ext cx="4229100" cy="2419350"/>
    <xdr:graphicFrame>
      <xdr:nvGraphicFramePr>
        <xdr:cNvPr id="158221377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381000</xdr:colOff>
      <xdr:row>188</xdr:row>
      <xdr:rowOff>66675</xdr:rowOff>
    </xdr:from>
    <xdr:ext cx="4343400" cy="2695575"/>
    <xdr:graphicFrame>
      <xdr:nvGraphicFramePr>
        <xdr:cNvPr id="5380274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1181100</xdr:colOff>
      <xdr:row>206</xdr:row>
      <xdr:rowOff>38100</xdr:rowOff>
    </xdr:from>
    <xdr:ext cx="3543300" cy="2257425"/>
    <xdr:graphicFrame>
      <xdr:nvGraphicFramePr>
        <xdr:cNvPr id="218557312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J501" sheet="Solutions"/>
  </cacheSource>
  <cacheFields>
    <cacheField name="Customer_ID" numFmtId="0">
      <sharedItems>
        <s v="CID186"/>
        <s v="CID150"/>
        <s v="CID115"/>
        <s v="CID149"/>
        <s v="CID159"/>
        <s v="CID198"/>
        <s v="CID152"/>
        <s v="CID130"/>
        <s v="CID101"/>
        <s v="CID105"/>
        <s v="CID172"/>
        <s v="CID178"/>
        <s v="CID176"/>
        <s v="CID148"/>
        <s v="CID137"/>
        <s v="CID147"/>
        <s v="CID128"/>
        <s v="CID168"/>
        <s v="CID179"/>
        <s v="CID163"/>
        <s v="CID182"/>
        <s v="CID158"/>
        <s v="CID193"/>
        <s v="CID166"/>
        <s v="CID191"/>
        <s v="CID108"/>
        <s v="CID161"/>
        <s v="CID190"/>
        <s v="CID120"/>
        <s v="CID155"/>
        <s v="CID121"/>
        <s v="CID133"/>
        <s v="CID169"/>
        <s v="CID132"/>
        <s v="CID180"/>
        <s v="CID184"/>
        <s v="CID187"/>
        <s v="CID181"/>
        <s v="CID116"/>
        <s v="CID135"/>
        <s v="CID165"/>
        <s v="CID126"/>
        <s v="CID111"/>
        <s v="CID129"/>
        <s v="CID199"/>
        <s v="CID134"/>
        <s v="CID136"/>
        <s v="CID153"/>
        <s v="CID100"/>
        <s v="CID195"/>
        <s v="CID175"/>
        <s v="CID103"/>
        <s v="CID192"/>
        <s v="CID174"/>
        <s v="CID145"/>
        <s v="CID144"/>
        <s v="CID125"/>
        <s v="CID139"/>
        <s v="CID118"/>
        <s v="CID140"/>
        <s v="CID123"/>
        <s v="CID183"/>
        <s v="CID143"/>
        <s v="CID156"/>
        <s v="CID170"/>
        <s v="CID107"/>
        <s v="CID185"/>
        <s v="CID194"/>
        <s v="CID188"/>
        <s v="CID112"/>
        <s v="CID124"/>
        <s v="CID160"/>
        <s v="CID171"/>
        <s v="CID173"/>
        <s v="CID119"/>
        <s v="CID109"/>
        <s v="CID127"/>
        <s v="CID189"/>
        <s v="CID162"/>
        <s v="CID104"/>
        <s v="CID138"/>
        <s v="CID142"/>
        <s v="CID113"/>
        <s v="CID102"/>
        <s v="CID117"/>
        <s v="CID154"/>
        <s v="CID141"/>
        <s v="CID122"/>
        <s v="CID131"/>
        <s v="CID157"/>
        <s v="CID164"/>
        <s v="CID151"/>
        <s v="CID114"/>
        <s v="CID110"/>
        <s v="CID196"/>
        <s v="CID177"/>
        <s v="CID106"/>
        <s v="CID197"/>
        <s v="CID146"/>
        <s v="CID167"/>
      </sharedItems>
    </cacheField>
    <cacheField name="First_Name" numFmtId="0">
      <sharedItems>
        <s v="Anne"/>
        <s v="Anthony"/>
        <s v="Karl"/>
        <s v="Angela"/>
        <s v="Christine"/>
        <s v="David"/>
        <s v="Marcus"/>
        <s v="Debra"/>
        <s v="Bobby"/>
        <s v="Joseph"/>
        <s v="Kara"/>
        <s v="Amy"/>
        <s v="Joshua"/>
        <s v="Erin"/>
        <s v="Gina"/>
        <s v="Mallory"/>
        <s v="Traci"/>
        <s v="Deborah"/>
        <s v="Christian"/>
        <s v="Mark"/>
        <s v="John"/>
        <s v="Ashley"/>
        <s v="Taylor"/>
        <s v="Lauren"/>
        <s v="Teresa"/>
        <s v="Heather"/>
        <s v="Valerie"/>
        <s v="Jenny"/>
        <s v="Courtney"/>
        <s v="Julie"/>
        <s v="Donna"/>
        <s v="Robert"/>
        <s v="Timothy"/>
        <s v="Thomas"/>
        <s v="Aaron"/>
        <s v="Jason"/>
        <s v="Alexandra"/>
        <s v="Amanda"/>
        <s v="Mary"/>
        <s v="Brian"/>
        <s v="Rebecca"/>
        <s v="Lori"/>
        <s v="Brittany"/>
        <s v="Mitchell"/>
        <s v="Sharon"/>
        <s v="Sarah"/>
        <s v="Katherine"/>
        <s v="Brandon"/>
        <s v="Jodi"/>
        <s v="William"/>
        <s v="Kelli"/>
        <s v="Beth"/>
        <s v="Christy"/>
        <s v="Troy"/>
        <s v="Kim"/>
        <s v="Gregory"/>
        <s v="Bruce"/>
        <s v="Lisa"/>
        <s v="Melissa"/>
        <s v="Barbara"/>
        <s v="Kristina"/>
        <s v="Lindsey"/>
        <s v="Edward"/>
        <s v="James"/>
        <s v="Leslie"/>
        <s v="Susan"/>
        <s v="Rachael"/>
        <s v="Natasha"/>
        <s v="Gary"/>
        <s v="Mike"/>
        <s v="Brendan"/>
        <s v="Jessica"/>
        <s v="Hannah"/>
        <s v="Megan"/>
        <s v="Jared"/>
        <s v="Veronica"/>
        <s v="Katie"/>
        <s v="Regina"/>
        <s v="Rachel"/>
        <s v="Scott"/>
        <s v="Janice"/>
        <s v="Diana"/>
      </sharedItems>
    </cacheField>
    <cacheField name="Last_Name" numFmtId="0">
      <sharedItems>
        <s v="Oconnell"/>
        <s v="Thomas"/>
        <s v="Gallagher"/>
        <s v="Horne"/>
        <s v="West"/>
        <s v="Delacruz"/>
        <s v="Valenzuela"/>
        <s v="Rodriguez"/>
        <s v="Forbes"/>
        <s v="Stewart"/>
        <s v="Brennan"/>
        <s v="Reid"/>
        <s v="Campbell"/>
        <s v="Miller"/>
        <s v="Moreno"/>
        <s v="Mitchell"/>
        <s v="Jones"/>
        <s v="Bates"/>
        <s v="Clayton"/>
        <s v="Henderson"/>
        <s v="Herrera"/>
        <s v="Evans"/>
        <s v="Rose"/>
        <s v="Davis"/>
        <s v="Long"/>
        <s v="Harvey"/>
        <s v="Schneider"/>
        <s v="Carr"/>
        <s v="Estrada"/>
        <s v="Parker"/>
        <s v="Meyer"/>
        <s v="Oneill"/>
        <s v="Castillo"/>
        <s v="Hicks"/>
        <s v="Andersen"/>
        <s v="Thompson"/>
        <s v="Lopez"/>
        <s v="Smith"/>
        <s v="Ramirez"/>
        <s v="Howard"/>
        <s v="Knight"/>
        <s v="Rogers"/>
        <s v="Kennedy"/>
        <s v="Figueroa"/>
        <s v="Cook"/>
        <s v="Hayes"/>
        <s v="Butler"/>
        <s v="Weber"/>
        <s v="Nguyen"/>
        <s v="Cruz"/>
        <s v="Whitney"/>
        <s v="Romero"/>
        <s v="Mann"/>
        <s v="Gaines"/>
        <s v="Ellis"/>
        <s v="Mason"/>
        <s v="Chang"/>
        <s v="Gomez"/>
        <s v="Blevins"/>
        <s v="Lee"/>
        <s v="Allen"/>
        <s v="Levy"/>
        <s v="Fuller"/>
        <s v="Haynes"/>
        <s v="Byrd"/>
        <s v="Black"/>
        <s v="Brown"/>
        <s v="Montgomery"/>
        <s v="Griffin"/>
        <s v="Robinson"/>
        <s v="Michael"/>
        <s v="Aguilar"/>
        <s v="Summers"/>
        <s v="Huff"/>
        <s v="Carter"/>
        <s v="Owens"/>
        <s v="Kelly"/>
        <s v="Ruiz"/>
        <s v="Gutierrez"/>
        <s v="Casey"/>
        <s v="Hunt"/>
        <s v="Horn"/>
        <s v="Benson"/>
        <s v="Lane"/>
        <s v="Richmond"/>
        <s v="Crane"/>
        <s v="Hawkins"/>
        <s v="Jacobs"/>
        <s v="Gordon"/>
        <s v="French"/>
      </sharedItems>
    </cacheField>
    <cacheField name="Age" numFmtId="0">
      <sharedItems containsSemiMixedTypes="0" containsString="0" containsNumber="1" containsInteger="1">
        <n v="37.0"/>
        <n v="53.0"/>
        <n v="60.0"/>
        <n v="49.0"/>
        <n v="26.0"/>
        <n v="39.0"/>
        <n v="48.0"/>
        <n v="20.0"/>
        <n v="30.0"/>
        <n v="25.0"/>
        <n v="44.0"/>
        <n v="24.0"/>
        <n v="46.0"/>
        <n v="36.0"/>
        <n v="42.0"/>
        <n v="34.0"/>
        <n v="23.0"/>
        <n v="33.0"/>
        <n v="64.0"/>
        <n v="52.0"/>
        <n v="54.0"/>
        <n v="45.0"/>
        <n v="29.0"/>
        <n v="70.0"/>
        <n v="32.0"/>
        <n v="31.0"/>
        <n v="50.0"/>
        <n v="47.0"/>
        <n v="40.0"/>
        <n v="28.0"/>
        <n v="69.0"/>
        <n v="63.0"/>
        <n v="18.0"/>
        <n v="68.0"/>
        <n v="57.0"/>
        <n v="51.0"/>
        <n v="35.0"/>
        <n v="21.0"/>
        <n v="38.0"/>
        <n v="65.0"/>
        <n v="43.0"/>
        <n v="27.0"/>
        <n v="55.0"/>
        <n v="59.0"/>
        <n v="19.0"/>
        <n v="62.0"/>
      </sharedItems>
    </cacheField>
    <cacheField name="Gender" numFmtId="0">
      <sharedItems>
        <s v="Male"/>
        <s v="Female"/>
        <s v="Other"/>
      </sharedItems>
    </cacheField>
    <cacheField name="City" numFmtId="0">
      <sharedItems>
        <s v="Phoenix"/>
        <s v="Houston"/>
        <s v="New York"/>
        <s v="Los Angeles"/>
        <s v="Miami"/>
        <s v="Chicago"/>
        <s v="San Francisco"/>
        <s v="Dallas"/>
      </sharedItems>
    </cacheField>
    <cacheField name="Email" numFmtId="0">
      <sharedItems>
        <s v="anne.oconnell@outlook.com"/>
        <s v="anthony.thomas@rediffmail.com"/>
        <s v="karl.gallagher@rediffmail.com"/>
        <s v="angela.horne@outlook.com"/>
        <s v="christine.west@gmail.com"/>
        <s v="david.delacruz@rediffmail.com"/>
        <s v="marcus.valenzuela@yahoo.com"/>
        <s v="debra.rodriguez@rediffmail.com"/>
        <s v="bobby.forbes@gmail.com"/>
        <s v="joseph.stewart@yahoo.com"/>
        <s v="kara.brennan@outlook.com"/>
        <s v="amy.reid@rediffmail.com"/>
        <s v="joshua.campbell@gmail.com"/>
        <s v="erin.miller@gmail.com"/>
        <s v="gina.moreno@rediffmail.com"/>
        <s v="mallory.mitchell@yahoo.com"/>
        <s v="traci.jones@yahoo.com"/>
        <s v="deborah.bates@yahoo.com"/>
        <s v="christian.clayton@yahoo.com"/>
        <s v="mark.henderson@yahoo.com"/>
        <s v="john.herrera@outlook.com"/>
        <s v="angela.evans@outlook.com"/>
        <s v="ashley.rose@gmail.com"/>
        <s v="taylor.davis@yahoo.com"/>
        <s v="lauren.long@gmail.com"/>
        <s v="teresa.harvey@gmail.com"/>
        <s v="heather.schneider@outlook.com"/>
        <s v="valerie.carr@rediffmail.com"/>
        <s v="jenny.estrada@yahoo.com"/>
        <s v="courtney.parker@yahoo.com"/>
        <s v="julie.meyer@yahoo.com"/>
        <s v="donna.oneill@yahoo.com"/>
        <s v="robert.castillo@gmail.com"/>
        <s v="timothy.hicks@gmail.com"/>
        <s v="thomas.andersen@yahoo.com"/>
        <s v="aaron.thompson@gmail.com"/>
        <s v="jason.lopez@outlook.com"/>
        <s v="alexandra.smith@rediffmail.com"/>
        <s v="john.ramirez@outlook.com"/>
        <s v="amanda.howard@outlook.com"/>
        <s v="mary.knight@yahoo.com"/>
        <s v="marcus.rogers@outlook.com"/>
        <s v="brian.kennedy@outlook.com"/>
        <s v="rebecca.figueroa@outlook.com"/>
        <s v="lori.cook@rediffmail.com"/>
        <s v="debra.hayes@yahoo.com"/>
        <s v="brittany.stewart@gmail.com"/>
        <s v="mitchell.parker@yahoo.com"/>
        <s v="sharon.thompson@yahoo.com"/>
        <s v="sarah.butler@rediffmail.com"/>
        <s v="katherine.weber@outlook.com"/>
        <s v="jason.nguyen@yahoo.com"/>
        <s v="brandon.cruz@gmail.com"/>
        <s v="jodi.whitney@yahoo.com"/>
        <s v="ashley.romero@yahoo.com"/>
        <s v="william.mann@yahoo.com"/>
        <s v="kelli.smith@rediffmail.com"/>
        <s v="joseph.gaines@outlook.com"/>
        <s v="amy.ellis@gmail.com"/>
        <s v="beth.mason@outlook.com"/>
        <s v="christy.chang@outlook.com"/>
        <s v="troy.gomez@outlook.com"/>
        <s v="kim.blevins@outlook.com"/>
        <s v="gregory.lee@rediffmail.com"/>
        <s v="bruce.allen@rediffmail.com"/>
        <s v="lisa.miller@gmail.com"/>
        <s v="melissa.levy@rediffmail.com"/>
        <s v="barbara.fuller@rediffmail.com"/>
        <s v="kristina.haynes@yahoo.com"/>
        <s v="lindsey.byrd@rediffmail.com"/>
        <s v="edward.black@gmail.com"/>
        <s v="james.brown@yahoo.com"/>
        <s v="leslie.montgomery@gmail.com"/>
        <s v="susan.thompson@outlook.com"/>
        <s v="amy.griffin@rediffmail.com"/>
        <s v="rachael.robinson@rediffmail.com"/>
        <s v="natasha.michael@gmail.com"/>
        <s v="christine.aguilar@gmail.com"/>
        <s v="mark.summers@outlook.com"/>
        <s v="gary.huff@gmail.com"/>
        <s v="mike.carter@rediffmail.com"/>
        <s v="thomas.owens@outlook.com"/>
        <s v="brendan.kelly@rediffmail.com"/>
        <s v="jessica.ruiz@rediffmail.com"/>
        <s v="hannah.gutierrez@yahoo.com"/>
        <s v="angela.casey@gmail.com"/>
        <s v="megan.hunt@rediffmail.com"/>
        <s v="jared.horn@outlook.com"/>
        <s v="veronica.lopez@gmail.com"/>
        <s v="sarah.benson@outlook.com"/>
        <s v="lauren.lane@gmail.com"/>
        <s v="william.richmond@outlook.com"/>
        <s v="lauren.crane@yahoo.com"/>
        <s v="katie.hicks@rediffmail.com"/>
        <s v="regina.hawkins@rediffmail.com"/>
        <s v="rachel.lopez@outlook.com"/>
        <s v="scott.jones@yahoo.com"/>
        <s v="gary.jacobs@gmail.com"/>
        <s v="janice.gordon@yahoo.com"/>
        <s v="diana.french@outlook.com"/>
      </sharedItems>
    </cacheField>
    <cacheField name="Contact" numFmtId="0">
      <sharedItems>
        <s v="+1-1907565656"/>
        <s v="+1-1365605012"/>
        <s v="+1-2802179041"/>
        <s v="+1-3002859425"/>
        <s v="+1-9124531645"/>
        <s v="+1-7905460592"/>
        <s v="+1-3107089317"/>
        <s v="+1-3285345844"/>
        <s v="+1-2319684657"/>
        <s v="+1-5905919798"/>
        <s v="+1-9963860522"/>
        <s v="+1-5606891385"/>
        <s v="+1-6714373636"/>
        <s v="+1-8198368752"/>
        <s v="+1-8489851865"/>
        <s v="+1-5568786605"/>
        <s v="+1-6252923866"/>
        <s v="+1-4578999201"/>
        <s v="+1-1658053570"/>
        <s v="+1-4479326362"/>
        <s v="+1-1246272495"/>
        <s v="+1-5064601873"/>
        <s v="+1-1469233281"/>
        <s v="+1-7655568476"/>
        <s v="+1-9776413933"/>
        <s v="+1-8519428947"/>
        <s v="+1-3888567280"/>
        <s v="+1-9821167404"/>
        <s v="+1-7008964043"/>
        <s v="+1-1038695332"/>
        <s v="+1-7107895267"/>
        <s v="+1-2526461514"/>
        <s v="+1-4487383562"/>
        <s v="+1-9917480357"/>
        <s v="+1-6141690387"/>
        <s v="+1-5303083048"/>
        <s v="+1-8704573867"/>
        <s v="+1-2117150366"/>
        <s v="+1-6998200211"/>
        <s v="+1-8764365941"/>
        <s v="+1-7022495342"/>
        <s v="+1-5404481937"/>
        <s v="+1-9196003695"/>
        <s v="+1-2777942517"/>
        <s v="+1-2067928085"/>
        <s v="+1-7005863307"/>
        <s v="+1-2572134812"/>
        <s v="+1-3050841099"/>
        <s v="+1-3616584899"/>
        <s v="+1-2200374051"/>
        <s v="+1-5768125472"/>
        <s v="+1-1616387654"/>
        <s v="+1-1986732848"/>
        <s v="+1-2980921203"/>
        <s v="+1-2983785246"/>
        <s v="+1-2967363272"/>
        <s v="+1-2752645856"/>
        <s v="+1-4550884506"/>
        <s v="+1-3315856459"/>
        <s v="+1-2600607313"/>
        <s v="+1-1286744838"/>
        <s v="+1-7115252196"/>
        <s v="+1-3033704901"/>
        <s v="+1-9262665568"/>
        <s v="+1-7183764787"/>
        <s v="+1-5986536783"/>
        <s v="+1-2819338490"/>
        <s v="+1-4979763480"/>
        <s v="+1-7319729780"/>
        <s v="+1-5206547982"/>
        <s v="+1-1790366660"/>
        <s v="+1-8387920274"/>
        <s v="+1-6457583969"/>
        <s v="+1-9580212304"/>
        <s v="+1-6447192638"/>
        <s v="+1-8227219371"/>
        <s v="+1-9437992706"/>
        <s v="+1-6925604471"/>
        <s v="+1-8150421336"/>
        <s v="+1-3399780631"/>
        <s v="+1-3474873299"/>
        <s v="+1-6874958767"/>
        <s v="+1-8650119639"/>
        <s v="+1-3794080609"/>
        <s v="+1-9861161831"/>
        <s v="+1-6915583410"/>
        <s v="+1-2418130991"/>
        <s v="+1-9913869822"/>
        <s v="+1-9296010082"/>
        <s v="+1-2795865294"/>
        <s v="+1-9146404053"/>
        <s v="+1-5823971509"/>
        <s v="+1-6463820710"/>
        <s v="+1-5678668617"/>
        <s v="+1-6151618322"/>
        <s v="+1-5390841769"/>
        <s v="+1-6478016791"/>
        <s v="+1-5557057825"/>
        <s v="+1-9718011628"/>
        <s v="+1-8786631337"/>
      </sharedItems>
    </cacheField>
    <cacheField name="Address" numFmtId="0">
      <sharedItems>
        <s v="2850 Matthew Ford, North Yolandachester, FL 67488"/>
        <s v="931 Christopher Ways Suite 833, North Michelle, IN 53484"/>
        <s v="5016 Snow Mountains Apt. 063, New Seanport, WY 41492"/>
        <s v="USNV Mueller, FPO AP 54648"/>
        <s v="Unit 1433 Box 0246, DPO AP 94952"/>
        <s v="USNS Ray, FPO AE 20238"/>
        <s v="694 Graham Prairie Apt. 887, Jimenezfurt, MI 33044"/>
        <s v="Unit 5964 Box 0721, DPO AP 01840"/>
        <s v="3079 John Parkway Suite 961, Port Kristaview, MT 91019"/>
        <s v="4082 Wang Terrace Suite 040, Victorialand, ME 41532"/>
        <s v="2174 Thomas Avenue, Maciasborough, NJ 41465"/>
        <s v="6262 Simpson Village, North Danielle, RI 76074"/>
        <s v="70426 Lindsey Overpass Apt. 030, Jessicafurt, AR 46269"/>
        <s v="65972 Peterson Route, Port Andrewfurt, SD 32892"/>
        <s v="USS Murray, FPO AP 66559"/>
        <s v="710 Anthony Wall Suite 137, East Davidstad, NV 61494"/>
        <s v="4016 Ryan Passage, Collinsside, PA 88777"/>
        <s v="278 Kathy Estate, Saraville, OH 77292"/>
        <s v="065 Madison Way, Smithstad, CT 68011"/>
        <s v="90155 Hines Spring, North Theresafurt, ME 31920"/>
        <s v="61263 Jacob Isle, Amandatown, TN 34321"/>
        <s v="16031 David Mountain Suite 431, Susanborough, PA 01910"/>
        <s v="424 Nichols Curve Suite 177, Lake Brianview, TX 17289"/>
        <s v="USCGC Simmons, FPO AA 60167"/>
        <s v="258 Michael Brooks Suite 363, Arnoldview, PA 49438"/>
        <s v="02669 Kirk Squares, Davisville, VA 51272"/>
        <s v="57940 Susan Creek Apt. 541, Port Aliciamouth, OR 90221"/>
        <s v="981 Emily Stream, South Brianna, CO 98063"/>
        <s v="792 Carlos Islands, West David, CT 16522"/>
        <s v="087 Jacqueline Rue Apt. 694, East Tasha, SC 04859"/>
        <s v="17381 Smith Ramp Suite 398, Courtneyville, AL 17756"/>
        <s v="464 Carolyn Crest Suite 738, Lake Isaiah, CA 66153"/>
        <s v="7143 Brandon Skyway Suite 899, Tylerton, IA 21756"/>
        <s v="140 Tracy Fields, Lake Cynthiaton, TX 57190"/>
        <s v="480 Summers Lock Suite 819, Sarahborough, IA 59863"/>
        <s v="PSC 0550, Box 2737, APO AE 75772"/>
        <s v="934 Levine View, Brentport, NE 38210"/>
        <s v="48611 Clark Village, West Anne, GA 92865"/>
        <s v="02797 Martin Landing, South Michelle, VT 98781"/>
        <s v="56908 Sydney Park Suite 632, West Anthonyport, NC 15954"/>
        <s v="907 Kimberly Hill, Murrayfort, NH 88384"/>
        <s v="06912 Brown Pine Apt. 763, Teresamouth, HI 24377"/>
        <s v="25126 Nancy Fort Suite 568, Alexandrachester, AZ 44823"/>
        <s v="3959 Bell Dale, North Jacob, LA 07934"/>
        <s v="86837 Bell Meadows, North Jasonshire, UT 51354"/>
        <s v="4601 Miller Lock, Williamsbury, IA 10943"/>
        <s v="6250 David Loaf Suite 561, North Pamelaberg, WV 63652"/>
        <s v="PSC 3316, Box 9303, APO AE 29513"/>
        <s v="598 Jasmine Harbor, Turnerberg, SD 02371"/>
        <s v="14131 Edwin Shore Apt. 190, Deniseberg, MD 90905"/>
        <s v="04887 Kimberly Union Apt. 645, Port Laura, IL 97219"/>
        <s v="7112 Travis Glens Suite 790, Crystalland, WV 38373"/>
        <s v="9296 Villanueva Branch, East Kevin, CO 93912"/>
        <s v="72876 Lara Key Suite 383, Gutierrezton, OR 71683"/>
        <s v="547 Kerry Expressway, Lake Amanda, AR 20321"/>
        <s v="849 Tran Wells, New Lindsayville, WI 22669"/>
        <s v="788 Kristina Lane, Montoyaside, VA 90756"/>
        <s v="37549 Pope Isle Apt. 202, Tylerborough, MO 60042"/>
        <s v="217 Scott Ville, Christophermouth, NH 83776"/>
        <s v="58998 Sherry Haven, East Richard, FL 90775"/>
        <s v="4647 Hannah Centers, Rhodesburgh, NH 89363"/>
        <s v="7510 Jose Knolls, Candicechester, LA 62815"/>
        <s v="089 Rice Shoal Suite 491, Juarezmouth, MI 88715"/>
        <s v="619 Parker Turnpike Apt. 025, West Brucehaven, ID 48437"/>
        <s v="2417 Brown Ford, West Timothyside, RI 45629"/>
        <s v="89748 Campbell Drive, South Tannerland, WI 13143"/>
        <s v="3303 Kennedy Springs Suite 830, East Amybury, MI 95595"/>
        <s v="134 Mcintosh Unions Suite 574, Lake Laura, DE 96577"/>
        <s v="18295 Thomas River, Kochville, NH 80868"/>
        <s v="USCGC Harper, FPO AA 38349"/>
        <s v="5879 Susan Via Apt. 886, Sandovalbury, WV 61449"/>
        <s v="221 Frey Crossing Suite 192, South Taylorland, HI 72875"/>
        <s v="135 Teresa Oval Apt. 825, East Katherineport, WY 13714"/>
        <s v="47821 William Station, East Ashleymouth, FL 20562"/>
        <s v="07350 Aaron Meadow Suite 138, Kiaraberg, AL 79545"/>
        <s v="0889 Brady Points, Port Meganhaven, NM 26553"/>
        <s v="78992 Justin Estates Suite 226, Floresberg, NM 40797"/>
        <s v="3284 Martin Neck, Lopezville, NY 69154"/>
        <s v="08413 Lynch Parkway, Calderonstad, NV 32697"/>
        <s v="58608 Alexander Terrace, South Bryan, SC 85541"/>
        <s v="3971 Ortiz Fields, Lake Jackfort, IA 97132"/>
        <s v="43920 Shaffer Valley Suite 531, South Jerry, MD 67120"/>
        <s v="688 Donald Oval Suite 089, Shepardport, CA 50844"/>
        <s v="02370 Laura Station Suite 309, Brandonville, DE 18875"/>
        <s v="2420 David Manors, Jessicaland, CT 41698"/>
        <s v="089 Farley Terrace, Thomashaven, MT 56607"/>
        <s v="03765 Velazquez Knoll Suite 478, Richardshire, UT 17200"/>
        <s v="43325 Barbara Tunnel, Port James, LA 16246"/>
        <s v="660 Karen Station Apt. 887, Allenside, ID 03170"/>
        <s v="5399 Hayes Well, West Pennystad, IL 93798"/>
        <s v="56985 Sergio Extensions, Port Albert, CO 02898"/>
        <s v="4021 Brown Orchard Apt. 026, Christinahaven, OK 18499"/>
        <s v="30313 Reyes Parkways Suite 392, Port Bradley, SC 24078"/>
        <s v="848 William Port, New Marilyn, SD 58000"/>
        <s v="096 Santos Neck Apt. 937, Benjaminmouth, FL 61454"/>
        <s v="90435 Bonnie Points Suite 886, Jenniferfurt, WV 20187"/>
        <s v="086 Kristin Manor Apt. 829, Marissabury, CT 12152"/>
        <s v="USNV Williams, FPO AP 23197"/>
        <s v="5812 Evelyn Mountains Suite 845, Ortiztown, MN 86166"/>
        <s v="163 Jeffrey Drive, South Mary, NH 23999"/>
      </sharedItems>
    </cacheField>
    <cacheField name="Order_ID" numFmtId="0">
      <sharedItems>
        <s v="OID2497"/>
        <s v="OID7056"/>
        <s v="OID7502"/>
        <s v="OID7077"/>
        <s v="OID2793"/>
        <s v="OID1483"/>
        <s v="OID4105"/>
        <s v="OID4372"/>
        <s v="OID3528"/>
        <s v="OID9634"/>
        <s v="OID1905"/>
        <s v="OID3136"/>
        <s v="OID6886"/>
        <s v="OID3509"/>
        <s v="OID3689"/>
        <s v="OID1911"/>
        <s v="OID6520"/>
        <s v="OID6123"/>
        <s v="OID1699"/>
        <s v="OID3792"/>
        <s v="OID7663"/>
        <s v="OID7609"/>
        <s v="OID8875"/>
        <s v="OID4032"/>
        <s v="OID9964"/>
        <s v="OID2121"/>
        <s v="OID4710"/>
        <s v="OID4295"/>
        <s v="OID2817"/>
        <s v="OID4643"/>
        <s v="OID4558"/>
        <s v="OID9577"/>
        <s v="OID5502"/>
        <s v="OID6974"/>
        <s v="OID2701"/>
        <s v="OID4432"/>
        <s v="OID3502"/>
        <s v="OID4411"/>
        <s v="OID6304"/>
        <s v="OID5126"/>
        <s v="OID8577"/>
        <s v="OID7688"/>
        <s v="OID4670"/>
        <s v="OID3319"/>
        <s v="OID6911"/>
        <s v="OID8494"/>
        <s v="OID6898"/>
        <s v="OID7606"/>
        <s v="OID6503"/>
        <s v="OID3616"/>
        <s v="OID2170"/>
        <s v="OID1956"/>
        <s v="OID8620"/>
        <s v="OID4770"/>
        <s v="OID9880"/>
        <s v="OID2152"/>
        <s v="OID2991"/>
        <s v="OID5607"/>
        <s v="OID8169"/>
        <s v="OID5832"/>
        <s v="OID7806"/>
        <s v="OID4875"/>
        <s v="OID4070"/>
        <s v="OID7679"/>
        <s v="OID3097"/>
        <s v="OID8869"/>
        <s v="OID2686"/>
        <s v="OID1046"/>
        <s v="OID8953"/>
        <s v="OID1157"/>
        <s v="OID7358"/>
        <s v="OID7453"/>
        <s v="OID1573"/>
        <s v="OID5696"/>
        <s v="OID3467"/>
        <s v="OID8542"/>
        <s v="OID1520"/>
        <s v="OID2157"/>
        <s v="OID6374"/>
        <s v="OID6555"/>
        <s v="OID5850"/>
        <s v="OID8041"/>
        <s v="OID5605"/>
        <s v="OID8388"/>
        <s v="OID5787"/>
        <s v="OID3140"/>
        <s v="OID6771"/>
        <s v="OID8988"/>
        <s v="OID9398"/>
        <s v="OID9822"/>
        <s v="OID1269"/>
        <s v="OID9915"/>
        <s v="OID3348"/>
        <s v="OID8431"/>
        <s v="OID6943"/>
        <s v="OID6229"/>
        <s v="OID6912"/>
        <s v="OID5081"/>
        <s v="OID5610"/>
        <s v="OID7759"/>
        <s v="OID4481"/>
        <s v="OID6749"/>
        <s v="OID8681"/>
        <s v="OID9693"/>
        <s v="OID3607"/>
        <s v="OID9743"/>
        <s v="OID7866"/>
        <s v="OID1137"/>
        <s v="OID4685"/>
        <s v="OID9584"/>
        <s v="OID1686"/>
        <s v="OID5272"/>
        <s v="OID7359"/>
        <s v="OID3570"/>
        <s v="OID2519"/>
        <s v="OID1134"/>
        <s v="OID8270"/>
        <s v="OID9515"/>
        <s v="OID6608"/>
        <s v="OID3035"/>
        <s v="OID4548"/>
        <s v="OID5978"/>
        <s v="OID6297"/>
        <s v="OID5108"/>
        <s v="OID4599"/>
        <s v="OID1418"/>
        <s v="OID1411"/>
        <s v="OID8692"/>
        <s v="OID4402"/>
        <s v="OID1309"/>
        <s v="OID2746"/>
        <s v="OID9360"/>
        <s v="OID6453"/>
        <s v="OID9745"/>
        <s v="OID4081"/>
        <s v="OID3967"/>
        <s v="OID9112"/>
        <s v="OID8628"/>
        <s v="OID5996"/>
        <s v="OID5210"/>
        <s v="OID4415"/>
        <s v="OID6716"/>
        <s v="OID9804"/>
        <s v="OID9798"/>
        <s v="OID4965"/>
        <s v="OID3209"/>
        <s v="OID6103"/>
        <s v="OID4368"/>
        <s v="OID1692"/>
        <s v="OID9808"/>
        <s v="OID3568"/>
        <s v="OID3469"/>
        <s v="OID6217"/>
        <s v="OID9257"/>
        <s v="OID7258"/>
        <s v="OID8380"/>
        <s v="OID9224"/>
        <s v="OID4506"/>
        <s v="OID7689"/>
        <s v="OID8699"/>
        <s v="OID1317"/>
        <s v="OID2429"/>
        <s v="OID4514"/>
        <s v="OID6237"/>
        <s v="OID6752"/>
        <s v="OID7059"/>
        <s v="OID6264"/>
        <s v="OID5366"/>
        <s v="OID1663"/>
        <s v="OID7664"/>
        <s v="OID4364"/>
        <s v="OID1153"/>
        <s v="OID5700"/>
        <s v="OID1706"/>
        <s v="OID6420"/>
        <s v="OID2659"/>
        <s v="OID5326"/>
        <s v="OID4465"/>
        <s v="OID9324"/>
        <s v="OID9267"/>
        <s v="OID5402"/>
        <s v="OID8716"/>
        <s v="OID4014"/>
        <s v="OID8569"/>
        <s v="OID6330"/>
        <s v="OID6607"/>
        <s v="OID4892"/>
        <s v="OID9692"/>
        <s v="OID4746"/>
        <s v="OID6057"/>
        <s v="OID3134"/>
        <s v="OID7980"/>
        <s v="OID7432"/>
        <s v="OID9465"/>
        <s v="OID9872"/>
        <s v="OID6856"/>
        <s v="OID1826"/>
        <s v="OID3421"/>
        <s v="OID6869"/>
        <s v="OID6635"/>
        <s v="OID8295"/>
        <s v="OID4642"/>
        <s v="OID7380"/>
        <s v="OID1086"/>
        <s v="OID6936"/>
        <s v="OID2938"/>
        <s v="OID8074"/>
        <s v="OID1076"/>
        <s v="OID8347"/>
        <s v="OID6373"/>
        <s v="OID5913"/>
        <s v="OID2941"/>
        <s v="OID9627"/>
        <s v="OID9705"/>
        <s v="OID7486"/>
        <s v="OID4560"/>
        <s v="OID1379"/>
        <s v="OID8114"/>
        <s v="OID9805"/>
        <s v="OID7003"/>
        <s v="OID5372"/>
        <s v="OID4097"/>
        <s v="OID7090"/>
        <s v="OID8741"/>
        <s v="OID6002"/>
        <s v="OID8585"/>
        <s v="OID6767"/>
        <s v="OID4369"/>
        <s v="OID5283"/>
        <s v="OID2949"/>
        <s v="OID1071"/>
        <s v="OID7412"/>
        <s v="OID6541"/>
        <s v="OID3550"/>
        <s v="OID7812"/>
        <s v="OID4101"/>
        <s v="OID2704"/>
        <s v="OID3902"/>
        <s v="OID6097"/>
        <s v="OID2270"/>
        <s v="OID4575"/>
        <s v="OID2338"/>
        <s v="OID9816"/>
        <s v="OID1586"/>
        <s v="OID9630"/>
        <s v="OID8034"/>
        <s v="OID4815"/>
        <s v="OID1898"/>
        <s v="OID7454"/>
        <s v="OID2597"/>
        <s v="OID6600"/>
        <s v="OID3490"/>
        <s v="OID5561"/>
        <s v="OID8830"/>
        <s v="OID9527"/>
        <s v="OID1067"/>
        <s v="OID2119"/>
        <s v="OID5802"/>
        <s v="OID4569"/>
        <s v="OID1508"/>
        <s v="OID3969"/>
        <s v="OID8974"/>
        <s v="OID6987"/>
        <s v="OID5834"/>
        <s v="OID3980"/>
        <s v="OID9700"/>
        <s v="OID1135"/>
        <s v="OID9451"/>
        <s v="OID4659"/>
        <s v="OID7205"/>
        <s v="OID9735"/>
        <s v="OID3358"/>
        <s v="OID4719"/>
        <s v="OID8203"/>
        <s v="OID2353"/>
        <s v="OID5255"/>
        <s v="OID7946"/>
        <s v="OID1159"/>
        <s v="OID5186"/>
        <s v="OID7156"/>
        <s v="OID3574"/>
        <s v="OID1477"/>
        <s v="OID2944"/>
        <s v="OID5130"/>
        <s v="OID7754"/>
        <s v="OID1246"/>
        <s v="OID8680"/>
        <s v="OID7102"/>
        <s v="OID7555"/>
        <s v="OID3165"/>
        <s v="OID9628"/>
        <s v="OID9782"/>
        <s v="OID7302"/>
        <s v="OID4580"/>
        <s v="OID7954"/>
        <s v="OID6246"/>
        <s v="OID5671"/>
        <s v="OID3145"/>
        <s v="OID8575"/>
        <s v="OID7910"/>
        <s v="OID1179"/>
        <s v="OID1041"/>
        <s v="OID1693"/>
        <s v="OID8609"/>
        <s v="OID9578"/>
        <s v="OID5985"/>
        <s v="OID2571"/>
        <s v="OID6045"/>
        <s v="OID1336"/>
        <s v="OID7117"/>
        <s v="OID3749"/>
        <s v="OID7008"/>
        <s v="OID8913"/>
        <s v="OID1597"/>
        <s v="OID4412"/>
        <s v="OID3900"/>
        <s v="OID9756"/>
        <s v="OID8307"/>
        <s v="OID5575"/>
        <s v="OID5883"/>
        <s v="OID6340"/>
        <s v="OID2501"/>
        <s v="OID6973"/>
        <s v="OID6597"/>
        <s v="OID4840"/>
        <s v="OID5389"/>
        <s v="OID8649"/>
        <s v="OID2779"/>
        <s v="OID4185"/>
        <s v="OID1243"/>
        <s v="OID4147"/>
        <s v="OID3681"/>
        <s v="OID5229"/>
        <s v="OID9990"/>
        <s v="OID1756"/>
        <s v="OID1866"/>
        <s v="OID2619"/>
        <s v="OID2505"/>
        <s v="OID7850"/>
        <s v="OID1966"/>
        <s v="OID3837"/>
        <s v="OID9187"/>
        <s v="OID3760"/>
        <s v="OID7065"/>
        <s v="OID6906"/>
        <s v="OID7996"/>
        <s v="OID9247"/>
        <s v="OID7303"/>
        <s v="OID2173"/>
        <s v="OID5367"/>
        <s v="OID9748"/>
        <s v="OID6469"/>
        <s v="OID1013"/>
        <s v="OID1219"/>
        <s v="OID9988"/>
        <s v="OID1669"/>
        <s v="OID7329"/>
        <s v="OID2873"/>
        <s v="OID4932"/>
        <s v="OID4169"/>
        <s v="OID6945"/>
        <s v="OID6794"/>
        <s v="OID2412"/>
        <s v="OID8162"/>
        <s v="OID8860"/>
        <s v="OID2523"/>
        <s v="OID7382"/>
        <s v="OID7593"/>
        <s v="OID9980"/>
        <s v="OID2440"/>
        <s v="OID7256"/>
        <s v="OID6854"/>
        <s v="OID9600"/>
        <s v="OID3186"/>
        <s v="OID1420"/>
        <s v="OID4436"/>
        <s v="OID6410"/>
        <s v="OID4538"/>
        <s v="OID8225"/>
        <s v="OID2099"/>
        <s v="OID9222"/>
        <s v="OID3523"/>
        <s v="OID3834"/>
        <s v="OID9975"/>
        <s v="OID6893"/>
        <s v="OID8192"/>
        <s v="OID7904"/>
        <s v="OID5999"/>
        <s v="OID7409"/>
        <s v="OID8708"/>
        <s v="OID5745"/>
        <s v="OID9178"/>
        <s v="OID2529"/>
        <s v="OID3125"/>
        <s v="OID4011"/>
        <s v="OID1592"/>
        <s v="OID7667"/>
        <s v="OID5182"/>
        <s v="OID1833"/>
        <s v="OID5190"/>
        <s v="OID4399"/>
        <s v="OID8104"/>
        <s v="OID1054"/>
        <s v="OID7828"/>
        <s v="OID5598"/>
        <s v="OID7417"/>
        <s v="OID8004"/>
        <s v="OID7287"/>
        <s v="OID3637"/>
        <s v="OID2097"/>
        <s v="OID3388"/>
        <s v="OID1114"/>
        <s v="OID3556"/>
        <s v="OID9404"/>
        <s v="OID4552"/>
        <s v="OID8486"/>
        <s v="OID4240"/>
        <s v="OID3727"/>
        <s v="OID8955"/>
        <s v="OID1744"/>
        <s v="OID5831"/>
        <s v="OID2842"/>
        <s v="OID1661"/>
        <s v="OID9123"/>
        <s v="OID3981"/>
        <s v="OID6634"/>
        <s v="OID9069"/>
        <s v="OID6802"/>
        <s v="OID4442"/>
        <s v="OID4995"/>
        <s v="OID7650"/>
        <s v="OID5555"/>
        <s v="OID1769"/>
        <s v="OID2189"/>
        <s v="OID9035"/>
        <s v="OID4219"/>
        <s v="OID1694"/>
        <s v="OID7495"/>
        <s v="OID1080"/>
        <s v="OID4539"/>
        <s v="OID8093"/>
        <s v="OID1707"/>
        <s v="OID5703"/>
        <s v="OID7457"/>
        <s v="OID4784"/>
        <s v="OID1726"/>
        <s v="OID1073"/>
        <s v="OID7443"/>
        <s v="OID1025"/>
        <s v="OID8826"/>
        <s v="OID6254"/>
        <s v="OID7518"/>
        <s v="OID4491"/>
        <s v="OID8288"/>
        <s v="OID6504"/>
        <s v="OID2595"/>
        <s v="OID9478"/>
        <s v="OID1169"/>
        <s v="OID6775"/>
        <s v="OID2383"/>
        <s v="OID3750"/>
        <s v="OID4837"/>
        <s v="OID6975"/>
        <s v="OID1869"/>
        <s v="OID3921"/>
        <s v="OID4056"/>
        <s v="OID4907"/>
        <s v="OID9684"/>
        <s v="OID2044"/>
        <s v="OID6436"/>
        <s v="OID9374"/>
        <s v="OID2767"/>
        <s v="OID8981"/>
        <s v="OID2246"/>
        <s v="OID1779"/>
        <s v="OID2005"/>
        <s v="OID6485"/>
        <s v="OID6319"/>
        <s v="OID9461"/>
        <s v="OID4522"/>
        <s v="OID9862"/>
        <s v="OID6361"/>
        <s v="OID7238"/>
        <s v="OID8446"/>
        <s v="OID9459"/>
        <s v="OID6433"/>
        <s v="OID3128"/>
        <s v="OID8972"/>
        <s v="OID5970"/>
        <s v="OID3491"/>
        <s v="OID6651"/>
        <s v="OID2861"/>
        <s v="OID3302"/>
        <s v="OID9922"/>
        <s v="OID4613"/>
        <s v="OID7483"/>
        <s v="OID7418"/>
        <s v="OID3361"/>
        <s v="OID7475"/>
        <s v="OID6847"/>
      </sharedItems>
    </cacheField>
    <cacheField name="Order_Date" numFmtId="164">
      <sharedItems containsSemiMixedTypes="0" containsDate="1" containsString="0">
        <d v="2024-03-07T00:00:00Z"/>
        <d v="2024-03-27T00:00:00Z"/>
        <d v="2024-02-20T00:00:00Z"/>
        <d v="2024-05-14T00:00:00Z"/>
        <d v="2024-04-09T00:00:00Z"/>
        <d v="2024-09-08T00:00:00Z"/>
        <d v="2025-01-05T00:00:00Z"/>
        <d v="2024-06-16T00:00:00Z"/>
        <d v="2023-04-24T00:00:00Z"/>
        <d v="2023-12-22T00:00:00Z"/>
        <d v="2024-10-23T00:00:00Z"/>
        <d v="2024-07-25T00:00:00Z"/>
        <d v="2023-03-12T00:00:00Z"/>
        <d v="2023-12-07T00:00:00Z"/>
        <d v="2024-03-26T00:00:00Z"/>
        <d v="2023-06-02T00:00:00Z"/>
        <d v="2023-02-09T00:00:00Z"/>
        <d v="2024-09-07T00:00:00Z"/>
        <d v="2025-01-08T00:00:00Z"/>
        <d v="2024-09-21T00:00:00Z"/>
        <d v="2024-08-16T00:00:00Z"/>
        <d v="2024-03-01T00:00:00Z"/>
        <d v="2023-07-18T00:00:00Z"/>
        <d v="2023-09-25T00:00:00Z"/>
        <d v="2023-08-08T00:00:00Z"/>
        <d v="2023-07-31T00:00:00Z"/>
        <d v="2023-05-20T00:00:00Z"/>
        <d v="2023-09-16T00:00:00Z"/>
        <d v="2023-03-02T00:00:00Z"/>
        <d v="2023-10-25T00:00:00Z"/>
        <d v="2024-04-07T00:00:00Z"/>
        <d v="2023-04-23T00:00:00Z"/>
        <d v="2024-09-13T00:00:00Z"/>
        <d v="2024-04-25T00:00:00Z"/>
        <d v="2023-08-30T00:00:00Z"/>
        <d v="2023-11-14T00:00:00Z"/>
        <d v="2023-11-12T00:00:00Z"/>
        <d v="2023-09-24T00:00:00Z"/>
        <d v="2024-12-30T00:00:00Z"/>
        <d v="2024-10-09T00:00:00Z"/>
        <d v="2024-09-22T00:00:00Z"/>
        <d v="2024-10-03T00:00:00Z"/>
        <d v="2023-08-13T00:00:00Z"/>
        <d v="2023-04-04T00:00:00Z"/>
        <d v="2024-02-14T00:00:00Z"/>
        <d v="2024-01-22T00:00:00Z"/>
        <d v="2023-05-08T00:00:00Z"/>
        <d v="2024-11-24T00:00:00Z"/>
        <d v="2024-09-10T00:00:00Z"/>
        <d v="2024-03-14T00:00:00Z"/>
        <d v="2023-08-07T00:00:00Z"/>
        <d v="2024-01-21T00:00:00Z"/>
        <d v="2024-11-03T00:00:00Z"/>
        <d v="2023-10-30T00:00:00Z"/>
        <d v="2023-08-11T00:00:00Z"/>
        <d v="2023-10-14T00:00:00Z"/>
        <d v="2024-12-29T00:00:00Z"/>
        <d v="2023-02-15T00:00:00Z"/>
        <d v="2024-05-23T00:00:00Z"/>
        <d v="2023-03-17T00:00:00Z"/>
        <d v="2025-01-23T00:00:00Z"/>
        <d v="2024-12-03T00:00:00Z"/>
        <d v="2024-02-24T00:00:00Z"/>
        <d v="2024-07-30T00:00:00Z"/>
        <d v="2024-06-08T00:00:00Z"/>
        <d v="2024-01-31T00:00:00Z"/>
        <d v="2023-12-17T00:00:00Z"/>
        <d v="2024-10-21T00:00:00Z"/>
        <d v="2024-10-02T00:00:00Z"/>
        <d v="2024-07-22T00:00:00Z"/>
        <d v="2024-03-04T00:00:00Z"/>
        <d v="2023-07-25T00:00:00Z"/>
        <d v="2024-12-24T00:00:00Z"/>
        <d v="2023-04-25T00:00:00Z"/>
        <d v="2025-01-26T00:00:00Z"/>
        <d v="2024-05-31T00:00:00Z"/>
        <d v="2025-01-18T00:00:00Z"/>
        <d v="2024-08-21T00:00:00Z"/>
        <d v="2024-11-29T00:00:00Z"/>
        <d v="2024-08-01T00:00:00Z"/>
        <d v="2023-11-22T00:00:00Z"/>
        <d v="2024-10-30T00:00:00Z"/>
        <d v="2023-10-28T00:00:00Z"/>
        <d v="2023-05-30T00:00:00Z"/>
        <d v="2024-09-20T00:00:00Z"/>
        <d v="2024-01-16T00:00:00Z"/>
        <d v="2024-07-31T00:00:00Z"/>
        <d v="2024-07-15T00:00:00Z"/>
        <d v="2023-07-11T00:00:00Z"/>
        <d v="2023-09-14T00:00:00Z"/>
        <d v="2025-01-16T00:00:00Z"/>
        <d v="2024-01-30T00:00:00Z"/>
        <d v="2023-10-04T00:00:00Z"/>
        <d v="2024-12-10T00:00:00Z"/>
        <d v="2023-08-27T00:00:00Z"/>
        <d v="2024-07-11T00:00:00Z"/>
        <d v="2023-07-06T00:00:00Z"/>
        <d v="2024-08-26T00:00:00Z"/>
        <d v="2024-05-20T00:00:00Z"/>
        <d v="2024-05-15T00:00:00Z"/>
        <d v="2023-04-05T00:00:00Z"/>
        <d v="2023-03-20T00:00:00Z"/>
        <d v="2024-04-24T00:00:00Z"/>
        <d v="2024-04-15T00:00:00Z"/>
        <d v="2023-12-16T00:00:00Z"/>
        <d v="2023-07-24T00:00:00Z"/>
        <d v="2023-08-18T00:00:00Z"/>
        <d v="2023-04-07T00:00:00Z"/>
        <d v="2023-06-29T00:00:00Z"/>
        <d v="2023-03-18T00:00:00Z"/>
        <d v="2024-07-26T00:00:00Z"/>
        <d v="2024-02-13T00:00:00Z"/>
        <d v="2023-09-17T00:00:00Z"/>
        <d v="2025-01-10T00:00:00Z"/>
        <d v="2024-06-07T00:00:00Z"/>
        <d v="2024-11-02T00:00:00Z"/>
        <d v="2024-10-24T00:00:00Z"/>
        <d v="2025-02-01T00:00:00Z"/>
        <d v="2023-06-17T00:00:00Z"/>
        <d v="2023-12-21T00:00:00Z"/>
        <d v="2023-02-22T00:00:00Z"/>
        <d v="2025-01-06T00:00:00Z"/>
        <d v="2023-10-27T00:00:00Z"/>
        <d v="2023-11-19T00:00:00Z"/>
        <d v="2024-02-09T00:00:00Z"/>
        <d v="2023-07-01T00:00:00Z"/>
        <d v="2023-12-23T00:00:00Z"/>
        <d v="2024-09-02T00:00:00Z"/>
        <d v="2024-11-13T00:00:00Z"/>
        <d v="2024-10-11T00:00:00Z"/>
        <d v="2023-09-30T00:00:00Z"/>
        <d v="2025-01-20T00:00:00Z"/>
        <d v="2024-10-16T00:00:00Z"/>
        <d v="2023-02-26T00:00:00Z"/>
        <d v="2023-03-04T00:00:00Z"/>
        <d v="2023-11-21T00:00:00Z"/>
        <d v="2023-10-01T00:00:00Z"/>
        <d v="2024-02-08T00:00:00Z"/>
        <d v="2023-07-22T00:00:00Z"/>
        <d v="2024-10-19T00:00:00Z"/>
        <d v="2023-12-31T00:00:00Z"/>
        <d v="2024-07-09T00:00:00Z"/>
        <d v="2023-06-12T00:00:00Z"/>
        <d v="2024-11-14T00:00:00Z"/>
        <d v="2023-04-29T00:00:00Z"/>
        <d v="2024-08-25T00:00:00Z"/>
        <d v="2024-08-31T00:00:00Z"/>
        <d v="2023-02-24T00:00:00Z"/>
        <d v="2023-10-08T00:00:00Z"/>
        <d v="2024-08-09T00:00:00Z"/>
        <d v="2024-09-15T00:00:00Z"/>
        <d v="2023-07-13T00:00:00Z"/>
        <d v="2024-10-26T00:00:00Z"/>
        <d v="2024-09-26T00:00:00Z"/>
        <d v="2023-05-05T00:00:00Z"/>
        <d v="2024-01-27T00:00:00Z"/>
        <d v="2024-08-04T00:00:00Z"/>
        <d v="2024-10-15T00:00:00Z"/>
        <d v="2024-07-05T00:00:00Z"/>
        <d v="2023-03-25T00:00:00Z"/>
        <d v="2024-06-14T00:00:00Z"/>
        <d v="2024-02-21T00:00:00Z"/>
        <d v="2023-06-18T00:00:00Z"/>
        <d v="2024-12-25T00:00:00Z"/>
        <d v="2024-06-12T00:00:00Z"/>
        <d v="2023-06-22T00:00:00Z"/>
        <d v="2023-05-14T00:00:00Z"/>
        <d v="2023-05-23T00:00:00Z"/>
        <d v="2023-04-20T00:00:00Z"/>
        <d v="2023-10-09T00:00:00Z"/>
        <d v="2023-11-11T00:00:00Z"/>
        <d v="2023-11-23T00:00:00Z"/>
        <d v="2024-08-19T00:00:00Z"/>
        <d v="2024-07-08T00:00:00Z"/>
        <d v="2023-05-07T00:00:00Z"/>
        <d v="2024-01-29T00:00:00Z"/>
        <d v="2023-05-28T00:00:00Z"/>
        <d v="2023-12-25T00:00:00Z"/>
        <d v="2023-03-16T00:00:00Z"/>
        <d v="2024-02-17T00:00:00Z"/>
        <d v="2024-02-27T00:00:00Z"/>
        <d v="2024-09-14T00:00:00Z"/>
        <d v="2023-07-05T00:00:00Z"/>
        <d v="2023-12-11T00:00:00Z"/>
        <d v="2024-10-13T00:00:00Z"/>
        <d v="2024-09-06T00:00:00Z"/>
        <d v="2024-04-26T00:00:00Z"/>
        <d v="2023-06-28T00:00:00Z"/>
        <d v="2023-10-18T00:00:00Z"/>
        <d v="2023-08-24T00:00:00Z"/>
        <d v="2023-12-13T00:00:00Z"/>
        <d v="2023-07-10T00:00:00Z"/>
        <d v="2024-04-10T00:00:00Z"/>
        <d v="2024-02-26T00:00:00Z"/>
        <d v="2023-11-27T00:00:00Z"/>
        <d v="2024-04-08T00:00:00Z"/>
        <d v="2023-07-02T00:00:00Z"/>
        <d v="2024-11-20T00:00:00Z"/>
        <d v="2024-05-05T00:00:00Z"/>
        <d v="2024-06-27T00:00:00Z"/>
        <d v="2023-02-11T00:00:00Z"/>
        <d v="2024-06-10T00:00:00Z"/>
        <d v="2024-11-12T00:00:00Z"/>
        <d v="2024-04-04T00:00:00Z"/>
        <d v="2024-08-27T00:00:00Z"/>
        <d v="2024-04-01T00:00:00Z"/>
        <d v="2023-11-03T00:00:00Z"/>
        <d v="2025-01-11T00:00:00Z"/>
        <d v="2025-01-02T00:00:00Z"/>
        <d v="2024-08-08T00:00:00Z"/>
        <d v="2024-04-11T00:00:00Z"/>
        <d v="2023-09-19T00:00:00Z"/>
        <d v="2023-04-10T00:00:00Z"/>
        <d v="2024-06-11T00:00:00Z"/>
        <d v="2024-09-12T00:00:00Z"/>
        <d v="2023-03-11T00:00:00Z"/>
        <d v="2025-01-15T00:00:00Z"/>
        <d v="2024-03-15T00:00:00Z"/>
        <d v="2024-02-29T00:00:00Z"/>
        <d v="2023-06-06T00:00:00Z"/>
        <d v="2024-05-16T00:00:00Z"/>
        <d v="2023-03-27T00:00:00Z"/>
        <d v="2024-02-10T00:00:00Z"/>
        <d v="2024-05-10T00:00:00Z"/>
        <d v="2023-04-01T00:00:00Z"/>
        <d v="2023-10-02T00:00:00Z"/>
        <d v="2024-08-18T00:00:00Z"/>
        <d v="2023-06-13T00:00:00Z"/>
        <d v="2023-05-03T00:00:00Z"/>
        <d v="2025-01-19T00:00:00Z"/>
        <d v="2023-06-15T00:00:00Z"/>
        <d v="2023-04-08T00:00:00Z"/>
        <d v="2023-05-12T00:00:00Z"/>
        <d v="2024-05-02T00:00:00Z"/>
        <d v="2024-08-23T00:00:00Z"/>
        <d v="2023-08-19T00:00:00Z"/>
        <d v="2023-06-27T00:00:00Z"/>
        <d v="2024-09-28T00:00:00Z"/>
        <d v="2023-12-19T00:00:00Z"/>
        <d v="2023-10-07T00:00:00Z"/>
        <d v="2024-02-02T00:00:00Z"/>
        <d v="2023-12-12T00:00:00Z"/>
        <d v="2025-01-14T00:00:00Z"/>
        <d v="2023-05-18T00:00:00Z"/>
        <d v="2023-02-16T00:00:00Z"/>
        <d v="2024-08-11T00:00:00Z"/>
        <d v="2023-02-19T00:00:00Z"/>
        <d v="2025-01-27T00:00:00Z"/>
        <d v="2024-04-18T00:00:00Z"/>
        <d v="2023-08-05T00:00:00Z"/>
        <d v="2023-10-12T00:00:00Z"/>
        <d v="2023-08-09T00:00:00Z"/>
        <d v="2024-12-11T00:00:00Z"/>
        <d v="2024-07-06T00:00:00Z"/>
        <d v="2024-07-28T00:00:00Z"/>
        <d v="2023-06-30T00:00:00Z"/>
        <d v="2024-05-08T00:00:00Z"/>
        <d v="2023-09-26T00:00:00Z"/>
        <d v="2024-10-08T00:00:00Z"/>
        <d v="2024-04-02T00:00:00Z"/>
        <d v="2024-04-06T00:00:00Z"/>
        <d v="2024-11-27T00:00:00Z"/>
        <d v="2023-12-29T00:00:00Z"/>
        <d v="2023-07-15T00:00:00Z"/>
        <d v="2024-12-01T00:00:00Z"/>
        <d v="2023-08-10T00:00:00Z"/>
        <d v="2025-01-25T00:00:00Z"/>
        <d v="2024-05-11T00:00:00Z"/>
        <d v="2024-01-12T00:00:00Z"/>
        <d v="2025-01-09T00:00:00Z"/>
        <d v="2023-06-08T00:00:00Z"/>
        <d v="2023-04-12T00:00:00Z"/>
        <d v="2024-04-05T00:00:00Z"/>
        <d v="2024-07-23T00:00:00Z"/>
        <d v="2023-09-18T00:00:00Z"/>
        <d v="2023-09-21T00:00:00Z"/>
        <d v="2023-02-25T00:00:00Z"/>
        <d v="2024-07-01T00:00:00Z"/>
        <d v="2024-11-04T00:00:00Z"/>
        <d v="2024-09-18T00:00:00Z"/>
        <d v="2023-05-13T00:00:00Z"/>
        <d v="2023-03-22T00:00:00Z"/>
        <d v="2025-01-21T00:00:00Z"/>
        <d v="2023-02-21T00:00:00Z"/>
        <d v="2024-05-09T00:00:00Z"/>
        <d v="2023-10-26T00:00:00Z"/>
        <d v="2024-06-30T00:00:00Z"/>
        <d v="2023-02-18T00:00:00Z"/>
        <d v="2024-07-12T00:00:00Z"/>
        <d v="2023-03-21T00:00:00Z"/>
        <d v="2024-11-26T00:00:00Z"/>
        <d v="2024-06-03T00:00:00Z"/>
        <d v="2023-11-17T00:00:00Z"/>
        <d v="2023-11-08T00:00:00Z"/>
        <d v="2023-12-10T00:00:00Z"/>
        <d v="2023-11-13T00:00:00Z"/>
        <d v="2023-12-04T00:00:00Z"/>
        <d v="2024-04-22T00:00:00Z"/>
        <d v="2024-06-26T00:00:00Z"/>
        <d v="2023-07-09T00:00:00Z"/>
        <d v="2024-01-11T00:00:00Z"/>
        <d v="2024-03-10T00:00:00Z"/>
        <d v="2023-06-14T00:00:00Z"/>
        <d v="2023-09-03T00:00:00Z"/>
        <d v="2024-12-31T00:00:00Z"/>
        <d v="2024-02-18T00:00:00Z"/>
        <d v="2024-02-22T00:00:00Z"/>
        <d v="2024-01-04T00:00:00Z"/>
        <d v="2024-07-04T00:00:00Z"/>
        <d v="2024-12-20T00:00:00Z"/>
        <d v="2023-04-17T00:00:00Z"/>
        <d v="2024-02-05T00:00:00Z"/>
        <d v="2024-08-13T00:00:00Z"/>
        <d v="2024-06-28T00:00:00Z"/>
        <d v="2024-02-28T00:00:00Z"/>
        <d v="2024-06-06T00:00:00Z"/>
        <d v="2024-03-08T00:00:00Z"/>
        <d v="2024-02-11T00:00:00Z"/>
        <d v="2025-01-24T00:00:00Z"/>
        <d v="2024-04-17T00:00:00Z"/>
        <d v="2024-04-14T00:00:00Z"/>
        <d v="2023-10-17T00:00:00Z"/>
        <d v="2024-03-17T00:00:00Z"/>
        <d v="2025-01-04T00:00:00Z"/>
        <d v="2024-12-27T00:00:00Z"/>
        <d v="2023-12-09T00:00:00Z"/>
        <d v="2025-02-07T00:00:00Z"/>
        <d v="2024-10-22T00:00:00Z"/>
        <d v="2024-04-16T00:00:00Z"/>
        <d v="2023-09-09T00:00:00Z"/>
        <d v="2024-09-01T00:00:00Z"/>
        <d v="2024-01-19T00:00:00Z"/>
        <d v="2023-08-29T00:00:00Z"/>
        <d v="2024-12-02T00:00:00Z"/>
        <d v="2023-09-06T00:00:00Z"/>
        <d v="2024-03-28T00:00:00Z"/>
        <d v="2024-12-07T00:00:00Z"/>
        <d v="2024-09-04T00:00:00Z"/>
        <d v="2024-05-17T00:00:00Z"/>
        <d v="2024-12-12T00:00:00Z"/>
        <d v="2024-03-29T00:00:00Z"/>
        <d v="2024-10-06T00:00:00Z"/>
        <d v="2023-02-23T00:00:00Z"/>
        <d v="2023-03-30T00:00:00Z"/>
        <d v="2024-10-31T00:00:00Z"/>
        <d v="2023-06-10T00:00:00Z"/>
        <d v="2023-06-26T00:00:00Z"/>
        <d v="2024-04-28T00:00:00Z"/>
        <d v="2024-03-11T00:00:00Z"/>
        <d v="2024-08-24T00:00:00Z"/>
        <d v="2024-03-03T00:00:00Z"/>
        <d v="2024-03-02T00:00:00Z"/>
        <d v="2023-11-29T00:00:00Z"/>
        <d v="2024-03-22T00:00:00Z"/>
        <d v="2023-05-26T00:00:00Z"/>
        <d v="2023-12-30T00:00:00Z"/>
        <d v="2023-07-21T00:00:00Z"/>
        <d v="2024-03-05T00:00:00Z"/>
        <d v="2023-10-05T00:00:00Z"/>
        <d v="2024-10-25T00:00:00Z"/>
        <d v="2023-09-13T00:00:00Z"/>
        <d v="2023-04-16T00:00:00Z"/>
        <d v="2024-07-17T00:00:00Z"/>
        <d v="2024-03-30T00:00:00Z"/>
        <d v="2024-06-29T00:00:00Z"/>
      </sharedItems>
    </cacheField>
    <cacheField name="Order_Time" numFmtId="0">
      <sharedItems>
        <s v="18:16:33"/>
        <s v="01:46:33"/>
        <s v="07:31:36"/>
        <s v="18:29:21"/>
        <s v="03:23:21"/>
        <s v="16:55:06"/>
        <s v="09:47:21"/>
        <s v="19:27:45"/>
        <s v="12:07:00"/>
        <s v="13:46:47"/>
        <s v="17:21:43"/>
        <s v="15:09:49"/>
        <s v="22:42:51"/>
        <s v="14:52:54"/>
        <s v="01:19:56"/>
        <s v="04:13:27"/>
        <s v="23:53:21"/>
        <s v="19:16:28"/>
        <s v="11:48:17"/>
        <s v="06:34:00"/>
        <s v="04:06:55"/>
        <s v="10:38:12"/>
        <s v="20:47:13"/>
        <s v="08:09:52"/>
        <s v="19:13:06"/>
        <s v="06:04:50"/>
        <s v="17:44:17"/>
        <s v="18:58:15"/>
        <s v="12:22:52"/>
        <s v="00:40:20"/>
        <s v="21:19:14"/>
        <s v="10:35:41"/>
        <s v="13:50:14"/>
        <s v="01:48:02"/>
        <s v="14:37:48"/>
        <s v="05:01:37"/>
        <s v="12:35:46"/>
        <s v="23:34:14"/>
        <s v="04:09:40"/>
        <s v="04:03:43"/>
        <s v="00:47:19"/>
        <s v="12:37:23"/>
        <s v="17:27:33"/>
        <s v="01:59:03"/>
        <s v="21:46:52"/>
        <s v="18:49:59"/>
        <s v="22:08:17"/>
        <s v="19:20:51"/>
        <s v="00:57:17"/>
        <s v="04:25:34"/>
        <s v="07:52:23"/>
        <s v="15:34:34"/>
        <s v="01:45:28"/>
        <s v="12:30:02"/>
        <s v="04:32:42"/>
        <s v="14:13:38"/>
        <s v="02:09:48"/>
        <s v="16:10:50"/>
        <s v="09:43:27"/>
        <s v="02:34:25"/>
        <s v="02:46:19"/>
        <s v="18:25:37"/>
        <s v="19:18:19"/>
        <s v="09:15:50"/>
        <s v="02:51:35"/>
        <s v="20:59:40"/>
        <s v="17:00:22"/>
        <s v="22:51:56"/>
        <s v="12:19:34"/>
        <s v="15:26:04"/>
        <s v="19:49:32"/>
        <s v="21:08:59"/>
        <s v="05:40:38"/>
        <s v="17:56:01"/>
        <s v="23:34:28"/>
        <s v="03:04:26"/>
        <s v="04:27:04"/>
        <s v="23:24:39"/>
        <s v="18:54:33"/>
        <s v="10:55:08"/>
        <s v="19:40:45"/>
        <s v="02:08:49"/>
        <s v="01:05:15"/>
        <s v="04:27:02"/>
        <s v="15:22:10"/>
        <s v="19:45:13"/>
        <s v="01:09:33"/>
        <s v="07:05:58"/>
        <s v="07:48:29"/>
        <s v="12:17:34"/>
        <s v="19:02:37"/>
        <s v="03:34:35"/>
        <s v="17:05:21"/>
        <s v="23:41:08"/>
        <s v="04:48:30"/>
        <s v="17:09:49"/>
        <s v="07:51:16"/>
        <s v="21:43:03"/>
        <s v="07:53:58"/>
        <s v="01:16:21"/>
        <s v="02:43:38"/>
        <s v="13:25:18"/>
        <s v="18:32:14"/>
        <s v="21:12:50"/>
        <s v="17:19:09"/>
        <s v="15:04:45"/>
        <s v="18:15:56"/>
        <s v="00:17:47"/>
        <s v="01:46:15"/>
        <s v="09:44:25"/>
        <s v="20:32:03"/>
        <s v="12:57:10"/>
        <s v="14:16:13"/>
        <s v="05:44:11"/>
        <s v="19:28:31"/>
        <s v="06:22:42"/>
        <s v="03:53:04"/>
        <s v="13:06:48"/>
        <s v="10:28:03"/>
        <s v="22:11:06"/>
        <s v="14:00:52"/>
        <s v="07:11:09"/>
        <s v="12:09:51"/>
        <s v="10:51:20"/>
        <s v="23:40:15"/>
        <s v="01:24:01"/>
        <s v="11:34:01"/>
        <s v="02:04:13"/>
        <s v="22:18:21"/>
        <s v="08:18:11"/>
        <s v="10:44:36"/>
        <s v="17:09:22"/>
        <s v="07:07:24"/>
        <s v="07:27:27"/>
        <s v="00:30:57"/>
        <s v="20:10:38"/>
        <s v="14:57:06"/>
        <s v="10:20:44"/>
        <s v="14:09:23"/>
        <s v="10:48:56"/>
        <s v="10:33:35"/>
        <s v="22:34:39"/>
        <s v="19:56:54"/>
        <s v="19:28:23"/>
        <s v="09:43:17"/>
        <s v="06:49:56"/>
        <s v="00:43:57"/>
        <s v="15:45:08"/>
        <s v="03:06:30"/>
        <s v="13:02:42"/>
        <s v="10:25:49"/>
        <s v="04:33:43"/>
        <s v="15:45:02"/>
        <s v="18:37:45"/>
        <s v="20:25:23"/>
        <s v="10:35:10"/>
        <s v="21:35:45"/>
        <s v="16:54:11"/>
        <s v="10:04:46"/>
        <s v="02:22:40"/>
        <s v="21:52:14"/>
        <s v="08:31:11"/>
        <s v="20:48:48"/>
        <s v="18:41:53"/>
        <s v="05:35:11"/>
        <s v="11:01:20"/>
        <s v="08:29:32"/>
        <s v="02:56:50"/>
        <s v="11:18:01"/>
        <s v="03:11:30"/>
        <s v="04:35:15"/>
        <s v="08:45:48"/>
        <s v="09:39:48"/>
        <s v="19:48:44"/>
        <s v="18:18:32"/>
        <s v="16:59:55"/>
        <s v="13:40:51"/>
        <s v="08:11:19"/>
        <s v="02:27:18"/>
        <s v="05:33:41"/>
        <s v="18:14:45"/>
        <s v="03:08:05"/>
        <s v="21:06:59"/>
        <s v="14:49:31"/>
        <s v="19:40:44"/>
        <s v="16:25:28"/>
        <s v="05:57:45"/>
        <s v="13:16:36"/>
        <s v="07:44:52"/>
        <s v="12:51:15"/>
        <s v="22:55:27"/>
        <s v="01:31:08"/>
        <s v="15:02:28"/>
        <s v="06:54:02"/>
        <s v="08:20:59"/>
        <s v="14:00:27"/>
        <s v="15:26:43"/>
        <s v="22:25:26"/>
        <s v="00:02:50"/>
        <s v="22:46:23"/>
        <s v="08:00:47"/>
        <s v="09:33:35"/>
        <s v="00:13:11"/>
        <s v="20:01:38"/>
        <s v="06:33:55"/>
        <s v="19:46:32"/>
        <s v="20:47:44"/>
        <s v="14:37:23"/>
        <s v="00:08:51"/>
        <s v="09:31:27"/>
        <s v="09:46:43"/>
        <s v="21:17:39"/>
        <s v="12:28:28"/>
        <s v="03:29:39"/>
        <s v="18:27:23"/>
        <s v="14:41:09"/>
        <s v="11:50:19"/>
        <s v="10:24:24"/>
        <s v="23:35:16"/>
        <s v="04:53:37"/>
        <s v="21:25:23"/>
        <s v="18:03:08"/>
        <s v="02:55:39"/>
        <s v="23:25:51"/>
        <s v="05:28:12"/>
        <s v="16:44:13"/>
        <s v="17:52:44"/>
        <s v="22:31:31"/>
        <s v="18:43:17"/>
        <s v="09:55:21"/>
        <s v="06:47:14"/>
        <s v="22:41:22"/>
        <s v="08:35:05"/>
        <s v="06:30:57"/>
        <s v="09:01:24"/>
        <s v="10:38:44"/>
        <s v="08:44:39"/>
        <s v="10:10:51"/>
        <s v="06:46:28"/>
        <s v="22:27:32"/>
        <s v="18:42:20"/>
        <s v="22:07:35"/>
        <s v="07:28:42"/>
        <s v="14:01:51"/>
        <s v="20:50:23"/>
        <s v="08:30:48"/>
        <s v="05:34:02"/>
        <s v="22:30:30"/>
        <s v="06:13:30"/>
        <s v="14:11:09"/>
        <s v="22:46:20"/>
        <s v="03:47:08"/>
        <s v="07:21:30"/>
        <s v="16:49:20"/>
        <s v="16:59:25"/>
        <s v="06:15:44"/>
        <s v="17:29:54"/>
        <s v="05:25:01"/>
        <s v="00:49:15"/>
        <s v="10:13:34"/>
        <s v="22:48:36"/>
        <s v="03:37:20"/>
        <s v="23:47:53"/>
        <s v="15:54:45"/>
        <s v="21:10:06"/>
        <s v="17:39:16"/>
        <s v="21:59:14"/>
        <s v="21:47:08"/>
        <s v="00:57:26"/>
        <s v="21:16:04"/>
        <s v="20:03:28"/>
        <s v="15:38:50"/>
        <s v="03:13:28"/>
        <s v="12:54:20"/>
        <s v="15:59:36"/>
        <s v="19:52:34"/>
        <s v="20:27:13"/>
        <s v="04:24:31"/>
        <s v="05:26:44"/>
        <s v="13:33:00"/>
        <s v="22:42:24"/>
        <s v="07:28:15"/>
        <s v="05:37:56"/>
        <s v="20:10:43"/>
        <s v="12:34:36"/>
        <s v="05:06:18"/>
        <s v="14:47:52"/>
        <s v="20:27:42"/>
        <s v="13:24:08"/>
        <s v="09:58:35"/>
        <s v="06:20:30"/>
        <s v="17:53:01"/>
        <s v="03:43:05"/>
        <s v="02:56:56"/>
        <s v="04:29:06"/>
        <s v="10:04:49"/>
        <s v="23:44:50"/>
        <s v="17:40:16"/>
        <s v="09:51:24"/>
        <s v="05:56:42"/>
        <s v="06:33:59"/>
        <s v="01:23:40"/>
        <s v="18:29:39"/>
        <s v="13:33:06"/>
        <s v="15:56:55"/>
        <s v="14:57:23"/>
        <s v="19:33:36"/>
        <s v="17:53:46"/>
        <s v="13:40:58"/>
        <s v="04:49:20"/>
        <s v="16:34:44"/>
        <s v="04:12:20"/>
        <s v="20:53:04"/>
        <s v="05:27:44"/>
        <s v="06:35:14"/>
        <s v="20:14:30"/>
        <s v="06:46:07"/>
        <s v="23:19:47"/>
        <s v="12:50:48"/>
        <s v="21:08:26"/>
        <s v="10:50:30"/>
        <s v="11:53:55"/>
        <s v="04:03:12"/>
        <s v="19:44:28"/>
        <s v="12:38:37"/>
        <s v="14:52:37"/>
        <s v="08:43:40"/>
        <s v="03:11:02"/>
        <s v="17:17:44"/>
        <s v="17:27:56"/>
        <s v="03:23:04"/>
        <s v="08:45:23"/>
        <s v="08:36:31"/>
        <s v="21:53:54"/>
        <s v="10:58:30"/>
        <s v="05:53:55"/>
        <s v="11:51:15"/>
        <s v="12:37:13"/>
        <s v="14:59:43"/>
        <s v="14:04:30"/>
        <s v="19:09:08"/>
        <s v="23:47:36"/>
        <s v="09:05:02"/>
        <s v="09:15:42"/>
        <s v="16:29:18"/>
        <s v="17:23:49"/>
        <s v="06:51:49"/>
        <s v="23:40:03"/>
        <s v="00:41:18"/>
        <s v="23:27:24"/>
        <s v="02:46:27"/>
        <s v="06:59:53"/>
        <s v="20:28:31"/>
        <s v="13:39:02"/>
        <s v="09:27:52"/>
        <s v="04:59:13"/>
        <s v="01:19:42"/>
        <s v="05:54:36"/>
        <s v="06:50:14"/>
        <s v="11:52:12"/>
        <s v="19:37:21"/>
        <s v="15:34:31"/>
        <s v="14:35:45"/>
        <s v="07:24:54"/>
        <s v="06:00:55"/>
        <s v="05:46:53"/>
        <s v="08:34:53"/>
        <s v="15:18:11"/>
        <s v="11:00:03"/>
        <s v="08:26:50"/>
        <s v="00:24:43"/>
        <s v="10:05:03"/>
        <s v="04:19:31"/>
        <s v="17:14:37"/>
        <s v="18:45:41"/>
        <s v="23:43:28"/>
        <s v="06:38:04"/>
        <s v="12:27:25"/>
        <s v="10:41:43"/>
        <s v="09:19:53"/>
        <s v="11:38:36"/>
        <s v="10:33:52"/>
        <s v="22:42:39"/>
        <s v="09:31:29"/>
        <s v="09:19:46"/>
        <s v="21:14:38"/>
        <s v="15:58:53"/>
        <s v="17:44:01"/>
        <s v="02:54:23"/>
        <s v="07:05:11"/>
        <s v="02:16:10"/>
        <s v="18:34:02"/>
        <s v="14:35:39"/>
        <s v="02:52:20"/>
        <s v="10:33:07"/>
        <s v="01:25:50"/>
        <s v="20:10:30"/>
        <s v="03:46:35"/>
        <s v="00:31:47"/>
        <s v="04:04:19"/>
        <s v="07:13:46"/>
        <s v="21:07:18"/>
        <s v="13:31:33"/>
        <s v="00:57:10"/>
        <s v="00:07:15"/>
        <s v="08:47:14"/>
        <s v="12:05:04"/>
        <s v="05:45:27"/>
        <s v="18:27:35"/>
        <s v="08:19:07"/>
        <s v="01:16:23"/>
        <s v="07:59:11"/>
        <s v="02:05:06"/>
        <s v="08:18:15"/>
        <s v="12:10:36"/>
        <s v="00:38:36"/>
        <s v="02:46:16"/>
        <s v="05:37:55"/>
        <s v="01:03:02"/>
        <s v="18:12:36"/>
        <s v="15:52:52"/>
        <s v="11:10:43"/>
        <s v="10:50:23"/>
        <s v="12:04:15"/>
        <s v="02:36:45"/>
        <s v="02:29:46"/>
        <s v="03:00:01"/>
        <s v="01:12:34"/>
        <s v="16:46:34"/>
        <s v="12:40:06"/>
        <s v="21:41:18"/>
        <s v="18:51:12"/>
        <s v="16:35:28"/>
        <s v="15:11:02"/>
        <s v="08:03:37"/>
        <s v="04:43:46"/>
        <s v="21:09:31"/>
        <s v="01:04:28"/>
        <s v="15:06:18"/>
        <s v="15:43:42"/>
        <s v="21:05:38"/>
        <s v="16:01:40"/>
        <s v="13:25:17"/>
        <s v="07:19:13"/>
        <s v="11:30:19"/>
        <s v="03:51:26"/>
        <s v="15:44:41"/>
        <s v="02:29:08"/>
        <s v="04:40:06"/>
        <s v="01:51:31"/>
        <s v="11:55:04"/>
        <s v="16:42:26"/>
        <s v="02:55:29"/>
        <s v="12:05:41"/>
        <s v="03:10:32"/>
        <s v="17:54:41"/>
        <s v="07:11:33"/>
        <s v="06:54:03"/>
        <s v="04:44:42"/>
        <s v="04:44:04"/>
        <s v="22:42:38"/>
        <s v="18:23:17"/>
        <s v="12:14:10"/>
        <s v="04:53:45"/>
        <s v="10:23:23"/>
        <s v="20:13:44"/>
        <s v="12:43:07"/>
        <s v="22:16:48"/>
        <s v="13:00:52"/>
        <s v="15:33:07"/>
        <s v="16:58:37"/>
        <s v="15:06:44"/>
        <s v="05:36:29"/>
        <s v="12:50:57"/>
        <s v="12:10:00"/>
        <s v="13:21:50"/>
        <s v="14:34:14"/>
        <s v="00:44:05"/>
        <s v="05:02:45"/>
        <s v="16:28:38"/>
        <s v="08:22:36"/>
        <s v="02:53:11"/>
        <s v="08:17:07"/>
        <s v="01:02:33"/>
        <s v="22:17:42"/>
        <s v="07:36:32"/>
        <s v="07:39:59"/>
        <s v="18:04:56"/>
        <s v="03:18:41"/>
        <s v="20:38:05"/>
        <s v="08:32:59"/>
        <s v="12:42:28"/>
        <s v="10:24:01"/>
        <s v="12:19:38"/>
        <s v="01:15:18"/>
        <s v="09:50:05"/>
        <s v="08:30:03"/>
        <s v="17:02:09"/>
      </sharedItems>
    </cacheField>
    <cacheField name="Product_ID" numFmtId="0">
      <sharedItems>
        <s v="PID022"/>
        <s v="PID015"/>
        <s v="PID023"/>
        <s v="PID031"/>
        <s v="PID043"/>
        <s v="PID046"/>
        <s v="PID034"/>
        <s v="PID033"/>
        <s v="PID007"/>
        <s v="PID042"/>
        <s v="PID047"/>
        <s v="PID039"/>
        <s v="PID014"/>
        <s v="PID024"/>
        <s v="PID003"/>
        <s v="PID008"/>
        <s v="PID012"/>
        <s v="PID028"/>
        <s v="PID030"/>
        <s v="PID026"/>
        <s v="PID018"/>
        <s v="PID036"/>
        <s v="PID050"/>
        <s v="PID021"/>
        <s v="PID027"/>
        <s v="PID037"/>
        <s v="PID041"/>
        <s v="PID004"/>
        <s v="PID020"/>
        <s v="PID010"/>
        <s v="PID001"/>
        <s v="PID019"/>
        <s v="PID009"/>
        <s v="PID038"/>
        <s v="PID048"/>
        <s v="PID049"/>
        <s v="PID017"/>
        <s v="PID016"/>
        <s v="PID006"/>
        <s v="PID025"/>
        <s v="PID005"/>
        <s v="PID035"/>
        <s v="PID013"/>
        <s v="PID032"/>
        <s v="PID040"/>
        <s v="PID029"/>
        <s v="PID044"/>
        <s v="PID011"/>
        <s v="PID002"/>
        <s v="PID045"/>
      </sharedItems>
    </cacheField>
    <cacheField name="Price" numFmtId="0">
      <sharedItems containsSemiMixedTypes="0" containsString="0" containsNumber="1">
        <n v="308.88"/>
        <n v="166.28"/>
        <n v="202.54"/>
        <n v="405.0"/>
        <n v="330.11"/>
        <n v="363.64"/>
        <n v="275.44"/>
        <n v="48.45"/>
        <n v="257.06"/>
        <n v="175.93"/>
        <n v="190.1"/>
        <n v="220.27"/>
        <n v="272.51"/>
        <n v="104.18"/>
        <n v="20.7"/>
        <n v="461.07"/>
        <n v="132.97"/>
        <n v="126.19"/>
        <n v="282.63"/>
        <n v="128.14"/>
        <n v="62.42"/>
        <n v="157.64"/>
        <n v="158.53"/>
        <n v="129.75"/>
        <n v="481.48"/>
        <n v="77.84"/>
        <n v="372.62"/>
        <n v="496.59"/>
        <n v="431.44"/>
        <n v="44.5"/>
        <n v="369.03"/>
        <n v="286.07"/>
        <n v="87.09"/>
        <n v="421.7"/>
        <n v="136.3"/>
        <n v="441.03"/>
        <n v="425.59"/>
        <n v="133.62"/>
        <n v="477.52"/>
        <n v="403.03"/>
        <n v="445.81"/>
        <n v="433.62"/>
        <n v="235.63"/>
        <n v="424.82"/>
        <n v="110.95"/>
        <n v="381.73"/>
        <n v="20.0"/>
        <n v="292.15"/>
        <n v="107.47"/>
        <n v="33.49"/>
      </sharedItems>
    </cacheField>
    <cacheField name="Quantity" numFmtId="0">
      <sharedItems containsSemiMixedTypes="0" containsString="0" containsNumber="1" containsInteger="1">
        <n v="5.0"/>
        <n v="4.0"/>
        <n v="1.0"/>
        <n v="3.0"/>
        <n v="2.0"/>
      </sharedItems>
    </cacheField>
    <cacheField name="Coupon_Code" numFmtId="0">
      <sharedItems>
        <s v="FLAT8"/>
        <s v="FLAT15"/>
        <s v="DEL0"/>
        <s v="FLAT20"/>
        <s v="FLAT10"/>
      </sharedItems>
    </cacheField>
    <cacheField name="Estimated_Days_to_Deliver" numFmtId="0">
      <sharedItems containsSemiMixedTypes="0" containsString="0" containsNumber="1" containsInteger="1">
        <n v="4.0"/>
        <n v="7.0"/>
        <n v="3.0"/>
        <n v="6.0"/>
        <n v="2.0"/>
        <n v="5.0"/>
        <n v="1.0"/>
      </sharedItems>
    </cacheField>
    <cacheField name="Delivery_Charge" numFmtId="0">
      <sharedItems containsSemiMixedTypes="0" containsString="0" containsNumber="1" containsInteger="1">
        <n v="60.0"/>
        <n v="66.0"/>
        <n v="47.0"/>
        <n v="54.0"/>
        <n v="39.0"/>
        <n v="70.0"/>
        <n v="63.0"/>
        <n v="59.0"/>
        <n v="35.0"/>
        <n v="62.0"/>
        <n v="65.0"/>
        <n v="58.0"/>
        <n v="40.0"/>
        <n v="44.0"/>
        <n v="38.0"/>
        <n v="43.0"/>
        <n v="56.0"/>
        <n v="55.0"/>
        <n v="57.0"/>
        <n v="42.0"/>
        <n v="36.0"/>
        <n v="53.0"/>
        <n v="64.0"/>
        <n v="50.0"/>
        <n v="52.0"/>
        <n v="49.0"/>
        <n v="41.0"/>
        <n v="46.0"/>
        <n v="69.0"/>
        <n v="48.0"/>
        <n v="67.0"/>
        <n v="61.0"/>
        <n v="68.0"/>
        <n v="45.0"/>
        <n v="51.0"/>
        <n v="37.0"/>
      </sharedItems>
    </cacheField>
    <cacheField name="Delivery_Date" numFmtId="164">
      <sharedItems containsSemiMixedTypes="0" containsDate="1" containsString="0">
        <d v="2024-03-10T00:00:00Z"/>
        <d v="2024-03-30T00:00:00Z"/>
        <d v="2024-02-22T00:00:00Z"/>
        <d v="2024-05-18T00:00:00Z"/>
        <d v="2024-04-13T00:00:00Z"/>
        <d v="2024-09-12T00:00:00Z"/>
        <d v="2025-01-08T00:00:00Z"/>
        <d v="2024-06-21T00:00:00Z"/>
        <d v="2023-04-26T00:00:00Z"/>
        <d v="2023-12-27T00:00:00Z"/>
        <d v="2024-10-25T00:00:00Z"/>
        <d v="2024-07-26T00:00:00Z"/>
        <d v="2023-03-14T00:00:00Z"/>
        <d v="2023-12-10T00:00:00Z"/>
        <d v="2024-03-31T00:00:00Z"/>
        <d v="2023-06-03T00:00:00Z"/>
        <d v="2023-02-13T00:00:00Z"/>
        <d v="2024-09-10T00:00:00Z"/>
        <d v="2025-01-13T00:00:00Z"/>
        <d v="2024-09-26T00:00:00Z"/>
        <d v="2024-08-17T00:00:00Z"/>
        <d v="2024-03-05T00:00:00Z"/>
        <d v="2023-07-19T00:00:00Z"/>
        <d v="2023-09-29T00:00:00Z"/>
        <d v="2023-08-12T00:00:00Z"/>
        <d v="2023-08-04T00:00:00Z"/>
        <d v="2023-05-23T00:00:00Z"/>
        <d v="2023-09-20T00:00:00Z"/>
        <d v="2023-03-03T00:00:00Z"/>
        <d v="2023-10-30T00:00:00Z"/>
        <d v="2024-04-14T00:00:00Z"/>
        <d v="2023-04-30T00:00:00Z"/>
        <d v="2024-09-18T00:00:00Z"/>
        <d v="2024-05-02T00:00:00Z"/>
        <d v="2023-09-03T00:00:00Z"/>
        <d v="2023-11-16T00:00:00Z"/>
        <d v="2023-11-18T00:00:00Z"/>
        <d v="2023-09-27T00:00:00Z"/>
        <d v="2025-01-04T00:00:00Z"/>
        <d v="2024-10-10T00:00:00Z"/>
        <d v="2024-09-29T00:00:00Z"/>
        <d v="2023-08-14T00:00:00Z"/>
        <d v="2023-04-10T00:00:00Z"/>
        <d v="2024-02-19T00:00:00Z"/>
        <d v="2023-03-07T00:00:00Z"/>
        <d v="2024-01-27T00:00:00Z"/>
        <d v="2023-05-15T00:00:00Z"/>
        <d v="2024-11-30T00:00:00Z"/>
        <d v="2023-10-28T00:00:00Z"/>
        <d v="2024-03-17T00:00:00Z"/>
        <d v="2023-08-09T00:00:00Z"/>
        <d v="2024-11-10T00:00:00Z"/>
        <d v="2023-11-03T00:00:00Z"/>
        <d v="2023-08-16T00:00:00Z"/>
        <d v="2023-10-19T00:00:00Z"/>
        <d v="2025-01-05T00:00:00Z"/>
        <d v="2023-02-20T00:00:00Z"/>
        <d v="2024-05-27T00:00:00Z"/>
        <d v="2023-03-22T00:00:00Z"/>
        <d v="2025-01-27T00:00:00Z"/>
        <d v="2024-12-04T00:00:00Z"/>
        <d v="2024-02-29T00:00:00Z"/>
        <d v="2024-08-06T00:00:00Z"/>
        <d v="2024-06-15T00:00:00Z"/>
        <d v="2024-02-05T00:00:00Z"/>
        <d v="2023-12-20T00:00:00Z"/>
        <d v="2024-10-23T00:00:00Z"/>
        <d v="2024-10-04T00:00:00Z"/>
        <d v="2024-07-23T00:00:00Z"/>
        <d v="2024-03-09T00:00:00Z"/>
        <d v="2023-08-01T00:00:00Z"/>
        <d v="2024-12-25T00:00:00Z"/>
        <d v="2024-06-18T00:00:00Z"/>
        <d v="2023-04-29T00:00:00Z"/>
        <d v="2025-01-28T00:00:00Z"/>
        <d v="2023-05-12T00:00:00Z"/>
        <d v="2024-06-04T00:00:00Z"/>
        <d v="2025-01-21T00:00:00Z"/>
        <d v="2024-08-22T00:00:00Z"/>
        <d v="2024-02-07T00:00:00Z"/>
        <d v="2024-12-01T00:00:00Z"/>
        <d v="2024-08-08T00:00:00Z"/>
        <d v="2023-11-27T00:00:00Z"/>
        <d v="2024-11-02T00:00:00Z"/>
        <d v="2023-10-29T00:00:00Z"/>
        <d v="2024-09-23T00:00:00Z"/>
        <d v="2024-01-22T00:00:00Z"/>
        <d v="2024-07-22T00:00:00Z"/>
        <d v="2023-07-18T00:00:00Z"/>
        <d v="2023-09-17T00:00:00Z"/>
        <d v="2025-01-18T00:00:00Z"/>
        <d v="2024-01-31T00:00:00Z"/>
        <d v="2023-10-09T00:00:00Z"/>
        <d v="2024-12-12T00:00:00Z"/>
        <d v="2023-08-31T00:00:00Z"/>
        <d v="2024-07-12T00:00:00Z"/>
        <d v="2023-07-10T00:00:00Z"/>
        <d v="2024-08-28T00:00:00Z"/>
        <d v="2024-05-24T00:00:00Z"/>
        <d v="2024-05-22T00:00:00Z"/>
        <d v="2023-04-09T00:00:00Z"/>
        <d v="2023-03-25T00:00:00Z"/>
        <d v="2024-04-26T00:00:00Z"/>
        <d v="2025-01-10T00:00:00Z"/>
        <d v="2024-04-19T00:00:00Z"/>
        <d v="2024-04-18T00:00:00Z"/>
        <d v="2023-07-31T00:00:00Z"/>
        <d v="2023-08-21T00:00:00Z"/>
        <d v="2023-09-16T00:00:00Z"/>
        <d v="2023-06-30T00:00:00Z"/>
        <d v="2023-03-23T00:00:00Z"/>
        <d v="2024-07-30T00:00:00Z"/>
        <d v="2023-10-16T00:00:00Z"/>
        <d v="2025-01-17T00:00:00Z"/>
        <d v="2024-12-11T00:00:00Z"/>
        <d v="2024-06-09T00:00:00Z"/>
        <d v="2024-11-03T00:00:00Z"/>
        <d v="2024-10-29T00:00:00Z"/>
        <d v="2025-02-06T00:00:00Z"/>
        <d v="2023-06-20T00:00:00Z"/>
        <d v="2023-12-23T00:00:00Z"/>
        <d v="2023-02-27T00:00:00Z"/>
        <d v="2025-01-11T00:00:00Z"/>
        <d v="2023-11-22T00:00:00Z"/>
        <d v="2024-02-10T00:00:00Z"/>
        <d v="2023-07-04T00:00:00Z"/>
        <d v="2023-12-29T00:00:00Z"/>
        <d v="2024-09-06T00:00:00Z"/>
        <d v="2024-11-16T00:00:00Z"/>
        <d v="2024-10-12T00:00:00Z"/>
        <d v="2023-10-04T00:00:00Z"/>
        <d v="2025-01-23T00:00:00Z"/>
        <d v="2024-11-15T00:00:00Z"/>
        <d v="2023-03-01T00:00:00Z"/>
        <d v="2024-03-29T00:00:00Z"/>
        <d v="2023-03-06T00:00:00Z"/>
        <d v="2023-11-26T00:00:00Z"/>
        <d v="2023-10-07T00:00:00Z"/>
        <d v="2024-02-09T00:00:00Z"/>
        <d v="2023-07-25T00:00:00Z"/>
        <d v="2024-10-26T00:00:00Z"/>
        <d v="2024-01-05T00:00:00Z"/>
        <d v="2023-06-14T00:00:00Z"/>
        <d v="2024-11-17T00:00:00Z"/>
        <d v="2023-05-01T00:00:00Z"/>
        <d v="2024-09-01T00:00:00Z"/>
        <d v="2023-03-02T00:00:00Z"/>
        <d v="2023-10-15T00:00:00Z"/>
        <d v="2023-09-23T00:00:00Z"/>
        <d v="2024-08-11T00:00:00Z"/>
        <d v="2024-09-17T00:00:00Z"/>
        <d v="2023-07-22T00:00:00Z"/>
        <d v="2023-09-24T00:00:00Z"/>
        <d v="2023-07-20T00:00:00Z"/>
        <d v="2024-10-27T00:00:00Z"/>
        <d v="2024-08-27T00:00:00Z"/>
        <d v="2024-09-28T00:00:00Z"/>
        <d v="2023-05-11T00:00:00Z"/>
        <d v="2024-01-30T00:00:00Z"/>
        <d v="2024-08-10T00:00:00Z"/>
        <d v="2024-10-20T00:00:00Z"/>
        <d v="2024-07-07T00:00:00Z"/>
        <d v="2023-03-30T00:00:00Z"/>
        <d v="2023-07-29T00:00:00Z"/>
        <d v="2024-06-20T00:00:00Z"/>
        <d v="2024-02-25T00:00:00Z"/>
        <d v="2023-06-21T00:00:00Z"/>
        <d v="2024-12-27T00:00:00Z"/>
        <d v="2024-10-01T00:00:00Z"/>
        <d v="2023-06-27T00:00:00Z"/>
        <d v="2023-05-20T00:00:00Z"/>
        <d v="2023-05-25T00:00:00Z"/>
        <d v="2023-04-27T00:00:00Z"/>
        <d v="2023-10-14T00:00:00Z"/>
        <d v="2023-11-12T00:00:00Z"/>
        <d v="2023-12-24T00:00:00Z"/>
        <d v="2025-02-07T00:00:00Z"/>
        <d v="2023-05-05T00:00:00Z"/>
        <d v="2024-07-09T00:00:00Z"/>
        <d v="2023-06-08T00:00:00Z"/>
        <d v="2024-07-29T00:00:00Z"/>
        <d v="2023-09-05T00:00:00Z"/>
        <d v="2023-06-02T00:00:00Z"/>
        <d v="2023-12-26T00:00:00Z"/>
        <d v="2023-03-20T00:00:00Z"/>
        <d v="2023-04-28T00:00:00Z"/>
        <d v="2024-03-03T00:00:00Z"/>
        <d v="2024-09-15T00:00:00Z"/>
        <d v="2023-07-08T00:00:00Z"/>
        <d v="2023-12-16T00:00:00Z"/>
        <d v="2024-10-17T00:00:00Z"/>
        <d v="2024-09-09T00:00:00Z"/>
        <d v="2024-08-07T00:00:00Z"/>
        <d v="2024-04-30T00:00:00Z"/>
        <d v="2023-07-05T00:00:00Z"/>
        <d v="2023-09-22T00:00:00Z"/>
        <d v="2023-10-22T00:00:00Z"/>
        <d v="2024-09-21T00:00:00Z"/>
        <d v="2023-08-25T00:00:00Z"/>
        <d v="2024-07-19T00:00:00Z"/>
        <d v="2023-07-11T00:00:00Z"/>
        <d v="2023-11-24T00:00:00Z"/>
        <d v="2023-12-04T00:00:00Z"/>
        <d v="2023-07-07T00:00:00Z"/>
        <d v="2024-11-06T00:00:00Z"/>
        <d v="2024-11-22T00:00:00Z"/>
        <d v="2023-12-15T00:00:00Z"/>
        <d v="2023-07-17T00:00:00Z"/>
        <d v="2024-05-07T00:00:00Z"/>
        <d v="2024-07-02T00:00:00Z"/>
        <d v="2023-02-17T00:00:00Z"/>
        <d v="2024-06-14T00:00:00Z"/>
        <d v="2024-04-09T00:00:00Z"/>
        <d v="2024-06-30T00:00:00Z"/>
        <d v="2024-08-29T00:00:00Z"/>
        <d v="2024-04-02T00:00:00Z"/>
        <d v="2023-11-06T00:00:00Z"/>
        <d v="2024-06-17T00:00:00Z"/>
        <d v="2024-04-17T00:00:00Z"/>
        <d v="2024-02-14T00:00:00Z"/>
        <d v="2023-04-15T00:00:00Z"/>
        <d v="2023-03-16T00:00:00Z"/>
        <d v="2025-01-20T00:00:00Z"/>
        <d v="2024-03-21T00:00:00Z"/>
        <d v="2024-09-11T00:00:00Z"/>
        <d v="2024-04-12T00:00:00Z"/>
        <d v="2024-03-01T00:00:00Z"/>
        <d v="2023-06-13T00:00:00Z"/>
        <d v="2023-03-17T00:00:00Z"/>
        <d v="2023-04-01T00:00:00Z"/>
        <d v="2024-02-16T00:00:00Z"/>
        <d v="2024-11-07T00:00:00Z"/>
        <d v="2024-05-11T00:00:00Z"/>
        <d v="2023-04-06T00:00:00Z"/>
        <d v="2024-05-14T00:00:00Z"/>
        <d v="2023-09-19T00:00:00Z"/>
        <d v="2025-01-22T00:00:00Z"/>
        <d v="2023-10-03T00:00:00Z"/>
        <d v="2024-08-24T00:00:00Z"/>
        <d v="2023-05-06T00:00:00Z"/>
        <d v="2025-01-26T00:00:00Z"/>
        <d v="2023-06-22T00:00:00Z"/>
        <d v="2025-01-03T00:00:00Z"/>
        <d v="2023-04-13T00:00:00Z"/>
        <d v="2024-06-19T00:00:00Z"/>
        <d v="2023-05-13T00:00:00Z"/>
        <d v="2024-05-08T00:00:00Z"/>
        <d v="2023-11-09T00:00:00Z"/>
        <d v="2024-08-16T00:00:00Z"/>
        <d v="2024-10-06T00:00:00Z"/>
        <d v="2023-08-26T00:00:00Z"/>
        <d v="2023-06-29T00:00:00Z"/>
        <d v="2024-09-30T00:00:00Z"/>
        <d v="2023-10-08T00:00:00Z"/>
        <d v="2023-12-18T00:00:00Z"/>
        <d v="2024-11-24T00:00:00Z"/>
        <d v="2024-02-03T00:00:00Z"/>
        <d v="2024-08-14T00:00:00Z"/>
        <d v="2023-02-25T00:00:00Z"/>
        <d v="2025-02-01T00:00:00Z"/>
        <d v="2023-07-03T00:00:00Z"/>
        <d v="2023-08-13T00:00:00Z"/>
        <d v="2024-12-14T00:00:00Z"/>
        <d v="2024-12-31T00:00:00Z"/>
        <d v="2024-08-04T00:00:00Z"/>
        <d v="2023-07-02T00:00:00Z"/>
        <d v="2024-05-10T00:00:00Z"/>
        <d v="2023-09-21T00:00:00Z"/>
        <d v="2024-10-13T00:00:00Z"/>
        <d v="2024-04-07T00:00:00Z"/>
        <d v="2024-04-11T00:00:00Z"/>
        <d v="2024-12-03T00:00:00Z"/>
        <d v="2024-07-31T00:00:00Z"/>
        <d v="2024-01-03T00:00:00Z"/>
        <d v="2023-12-30T00:00:00Z"/>
        <d v="2025-01-29T00:00:00Z"/>
        <d v="2024-06-11T00:00:00Z"/>
        <d v="2023-09-18T00:00:00Z"/>
        <d v="2024-05-17T00:00:00Z"/>
        <d v="2023-02-14T00:00:00Z"/>
        <d v="2024-01-17T00:00:00Z"/>
        <d v="2024-04-10T00:00:00Z"/>
        <d v="2023-06-09T00:00:00Z"/>
        <d v="2023-04-17T00:00:00Z"/>
        <d v="2023-09-28T00:00:00Z"/>
        <d v="2024-04-16T00:00:00Z"/>
        <d v="2024-07-08T00:00:00Z"/>
        <d v="2023-05-16T00:00:00Z"/>
        <d v="2023-03-27T00:00:00Z"/>
        <d v="2023-02-24T00:00:00Z"/>
        <d v="2023-09-25T00:00:00Z"/>
        <d v="2024-07-06T00:00:00Z"/>
        <d v="2023-02-19T00:00:00Z"/>
        <d v="2024-07-14T00:00:00Z"/>
        <d v="2024-12-02T00:00:00Z"/>
        <d v="2024-05-12T00:00:00Z"/>
        <d v="2024-06-08T00:00:00Z"/>
        <d v="2023-11-21T00:00:00Z"/>
        <d v="2024-01-19T00:00:00Z"/>
        <d v="2023-11-10T00:00:00Z"/>
        <d v="2023-04-25T00:00:00Z"/>
        <d v="2023-12-17T00:00:00Z"/>
        <d v="2023-05-21T00:00:00Z"/>
        <d v="2023-11-15T00:00:00Z"/>
        <d v="2024-04-23T00:00:00Z"/>
        <d v="2024-06-28T00:00:00Z"/>
        <d v="2023-07-14T00:00:00Z"/>
        <d v="2024-04-22T00:00:00Z"/>
        <d v="2024-01-16T00:00:00Z"/>
        <d v="2024-03-13T00:00:00Z"/>
        <d v="2023-09-08T00:00:00Z"/>
        <d v="2024-02-26T00:00:00Z"/>
        <d v="2024-01-24T00:00:00Z"/>
        <d v="2024-02-24T00:00:00Z"/>
        <d v="2024-01-10T00:00:00Z"/>
        <d v="2024-07-05T00:00:00Z"/>
        <d v="2024-12-21T00:00:00Z"/>
        <d v="2023-04-21T00:00:00Z"/>
        <d v="2024-02-08T00:00:00Z"/>
        <d v="2024-06-13T00:00:00Z"/>
        <d v="2024-03-14T00:00:00Z"/>
        <d v="2024-02-12T00:00:00Z"/>
        <d v="2025-01-30T00:00:00Z"/>
        <d v="2024-04-24T00:00:00Z"/>
        <d v="2024-04-20T00:00:00Z"/>
        <d v="2023-09-26T00:00:00Z"/>
        <d v="2024-03-20T00:00:00Z"/>
        <d v="2025-01-06T00:00:00Z"/>
        <d v="2023-08-11T00:00:00Z"/>
        <d v="2024-12-29T00:00:00Z"/>
        <d v="2024-03-07T00:00:00Z"/>
        <d v="2023-12-12T00:00:00Z"/>
        <d v="2025-02-13T00:00:00Z"/>
        <d v="2024-10-24T00:00:00Z"/>
        <d v="2024-09-07T00:00:00Z"/>
        <d v="2024-12-26T00:00:00Z"/>
        <d v="2024-08-01T00:00:00Z"/>
        <d v="2024-04-21T00:00:00Z"/>
        <d v="2024-05-21T00:00:00Z"/>
        <d v="2024-06-12T00:00:00Z"/>
        <d v="2023-09-15T00:00:00Z"/>
        <d v="2024-09-05T00:00:00Z"/>
        <d v="2024-01-26T00:00:00Z"/>
        <d v="2023-08-10T00:00:00Z"/>
        <d v="2023-03-31T00:00:00Z"/>
        <d v="2025-02-02T00:00:00Z"/>
        <d v="2024-12-18T00:00:00Z"/>
        <d v="2023-08-15T00:00:00Z"/>
        <d v="2024-10-11T00:00:00Z"/>
        <d v="2024-04-03T00:00:00Z"/>
        <d v="2024-08-23T00:00:00Z"/>
        <d v="2023-11-29T00:00:00Z"/>
        <d v="2023-02-26T00:00:00Z"/>
        <d v="2023-06-15T00:00:00Z"/>
        <d v="2024-08-26T00:00:00Z"/>
        <d v="2024-05-05T00:00:00Z"/>
        <d v="2024-05-13T00:00:00Z"/>
        <d v="2024-06-10T00:00:00Z"/>
        <d v="2024-08-31T00:00:00Z"/>
        <d v="2024-03-06T00:00:00Z"/>
        <d v="2024-02-06T00:00:00Z"/>
        <d v="2023-12-01T00:00:00Z"/>
        <d v="2024-03-28T00:00:00Z"/>
        <d v="2023-05-30T00:00:00Z"/>
        <d v="2023-12-31T00:00:00Z"/>
        <d v="2024-12-10T00:00:00Z"/>
        <d v="2025-01-25T00:00:00Z"/>
        <d v="2024-11-01T00:00:00Z"/>
        <d v="2023-10-20T00:00:00Z"/>
        <d v="2023-07-01T00:00:00Z"/>
        <d v="2023-04-23T00:00:00Z"/>
        <d v="2024-04-06T00:00:00Z"/>
        <d v="2024-07-04T00:00:00Z"/>
      </sharedItems>
    </cacheField>
    <cacheField name="Delivery_Time" numFmtId="0">
      <sharedItems>
        <s v="08:51:31"/>
        <s v="18:46:26"/>
        <s v="14:29:50"/>
        <s v="07:00:32"/>
        <s v="22:10:58"/>
        <s v="11:25:50"/>
        <s v="20:10:50"/>
        <s v="12:36:32"/>
        <s v="23:05:41"/>
        <s v="19:57:06"/>
        <s v="08:00:35"/>
        <s v="22:54:40"/>
        <s v="13:19:45"/>
        <s v="15:16:54"/>
        <s v="21:47:03"/>
        <s v="11:25:46"/>
        <s v="12:55:59"/>
        <s v="03:46:23"/>
        <s v="10:08:54"/>
        <s v="14:05:20"/>
        <s v="13:39:21"/>
        <s v="13:23:35"/>
        <s v="16:23:04"/>
        <s v="00:57:21"/>
        <s v="04:38:19"/>
        <s v="20:36:00"/>
        <s v="09:53:18"/>
        <s v="02:21:23"/>
        <s v="08:01:21"/>
        <s v="20:26:25"/>
        <s v="17:27:57"/>
        <s v="09:28:47"/>
        <s v="08:49:03"/>
        <s v="09:55:32"/>
        <s v="09:09:46"/>
        <s v="14:14:46"/>
        <s v="00:00:51"/>
        <s v="16:46:20"/>
        <s v="01:56:00"/>
        <s v="18:12:43"/>
        <s v="11:25:58"/>
        <s v="09:02:09"/>
        <s v="15:28:39"/>
        <s v="12:37:05"/>
        <s v="16:09:29"/>
        <s v="00:31:21"/>
        <s v="06:23:07"/>
        <s v="07:23:46"/>
        <s v="09:51:58"/>
        <s v="00:47:31"/>
        <s v="17:14:10"/>
        <s v="01:12:58"/>
        <s v="07:09:53"/>
        <s v="07:53:31"/>
        <s v="08:48:02"/>
        <s v="16:08:19"/>
        <s v="03:08:52"/>
        <s v="15:21:29"/>
        <s v="00:00:42"/>
        <s v="13:09:47"/>
        <s v="20:00:32"/>
        <s v="15:52:25"/>
        <s v="02:44:55"/>
        <s v="09:05:06"/>
        <s v="05:56:26"/>
        <s v="23:33:51"/>
        <s v="12:18:47"/>
        <s v="07:24:20"/>
        <s v="10:04:54"/>
        <s v="08:17:58"/>
        <s v="22:41:33"/>
        <s v="10:39:08"/>
        <s v="05:38:59"/>
        <s v="15:52:42"/>
        <s v="02:05:20"/>
        <s v="16:05:07"/>
        <s v="07:38:34"/>
        <s v="01:07:36"/>
        <s v="16:14:09"/>
        <s v="10:56:05"/>
        <s v="20:24:13"/>
        <s v="15:38:07"/>
        <s v="13:48:26"/>
        <s v="09:07:52"/>
        <s v="13:15:51"/>
        <s v="13:53:47"/>
        <s v="21:18:20"/>
        <s v="17:13:41"/>
        <s v="23:09:43"/>
        <s v="11:02:15"/>
        <s v="00:56:16"/>
        <s v="00:26:45"/>
        <s v="06:56:06"/>
        <s v="01:56:42"/>
        <s v="10:01:40"/>
        <s v="22:15:50"/>
        <s v="06:23:31"/>
        <s v="01:29:42"/>
        <s v="10:10:26"/>
        <s v="17:07:06"/>
        <s v="02:45:47"/>
        <s v="14:51:25"/>
        <s v="06:09:27"/>
        <s v="09:07:45"/>
        <s v="09:03:23"/>
        <s v="19:43:27"/>
        <s v="04:57:03"/>
        <s v="21:42:51"/>
        <s v="22:28:20"/>
        <s v="09:50:58"/>
        <s v="16:26:05"/>
        <s v="19:04:22"/>
        <s v="11:54:49"/>
        <s v="18:54:47"/>
        <s v="16:45:09"/>
        <s v="11:58:32"/>
        <s v="15:27:26"/>
        <s v="01:22:23"/>
        <s v="23:08:52"/>
        <s v="11:35:56"/>
        <s v="04:39:06"/>
        <s v="14:05:53"/>
        <s v="05:11:05"/>
        <s v="23:53:27"/>
        <s v="20:14:00"/>
        <s v="16:29:02"/>
        <s v="11:25:35"/>
        <s v="19:20:55"/>
        <s v="12:35:14"/>
        <s v="13:38:46"/>
        <s v="23:51:56"/>
        <s v="16:24:38"/>
        <s v="01:21:39"/>
        <s v="14:08:36"/>
        <s v="15:41:07"/>
        <s v="03:43:44"/>
        <s v="21:20:28"/>
        <s v="23:29:03"/>
        <s v="10:17:52"/>
        <s v="05:48:39"/>
        <s v="05:24:44"/>
        <s v="02:59:45"/>
        <s v="02:22:56"/>
        <s v="11:32:19"/>
        <s v="16:27:25"/>
        <s v="22:10:44"/>
        <s v="04:56:51"/>
        <s v="19:53:01"/>
        <s v="06:57:51"/>
        <s v="06:40:28"/>
        <s v="08:21:37"/>
        <s v="01:47:49"/>
        <s v="19:16:06"/>
        <s v="02:32:24"/>
        <s v="11:54:10"/>
        <s v="00:12:03"/>
        <s v="09:34:31"/>
        <s v="18:09:14"/>
        <s v="22:23:04"/>
        <s v="00:47:16"/>
        <s v="10:43:13"/>
        <s v="09:56:25"/>
        <s v="15:06:55"/>
        <s v="19:58:13"/>
        <s v="04:56:02"/>
        <s v="12:21:09"/>
        <s v="12:32:31"/>
        <s v="05:26:37"/>
        <s v="06:56:11"/>
        <s v="18:17:55"/>
        <s v="15:55:56"/>
        <s v="10:48:42"/>
        <s v="06:37:23"/>
        <s v="16:27:41"/>
        <s v="10:39:26"/>
        <s v="01:05:29"/>
        <s v="00:35:18"/>
        <s v="18:28:53"/>
        <s v="04:48:38"/>
        <s v="13:20:58"/>
        <s v="13:20:38"/>
        <s v="04:04:13"/>
        <s v="00:33:10"/>
        <s v="04:10:37"/>
        <s v="16:30:13"/>
        <s v="13:33:22"/>
        <s v="08:04:55"/>
        <s v="23:44:01"/>
        <s v="00:28:50"/>
        <s v="23:34:55"/>
        <s v="22:37:23"/>
        <s v="14:39:46"/>
        <s v="04:23:57"/>
        <s v="12:39:46"/>
        <s v="17:38:42"/>
        <s v="12:31:34"/>
        <s v="23:02:25"/>
        <s v="20:52:06"/>
        <s v="20:49:10"/>
        <s v="08:30:57"/>
        <s v="17:20:58"/>
        <s v="13:06:14"/>
        <s v="18:31:17"/>
        <s v="12:58:48"/>
        <s v="13:05:17"/>
        <s v="23:22:12"/>
        <s v="00:16:22"/>
        <s v="01:58:28"/>
        <s v="10:47:50"/>
        <s v="22:18:21"/>
        <s v="06:31:08"/>
        <s v="06:07:50"/>
        <s v="12:21:43"/>
        <s v="23:33:34"/>
        <s v="12:42:53"/>
        <s v="07:56:25"/>
        <s v="11:48:40"/>
        <s v="20:08:57"/>
        <s v="01:46:46"/>
        <s v="07:56:46"/>
        <s v="15:58:45"/>
        <s v="10:45:58"/>
        <s v="13:12:04"/>
        <s v="09:03:16"/>
        <s v="09:29:13"/>
        <s v="23:19:19"/>
        <s v="14:18:48"/>
        <s v="17:01:58"/>
        <s v="07:02:28"/>
        <s v="22:38:31"/>
        <s v="05:46:18"/>
        <s v="03:01:00"/>
        <s v="09:50:44"/>
        <s v="08:01:14"/>
        <s v="18:41:50"/>
        <s v="15:48:50"/>
        <s v="13:35:45"/>
        <s v="02:58:17"/>
        <s v="11:47:41"/>
        <s v="22:31:13"/>
        <s v="00:21:21"/>
        <s v="03:39:43"/>
        <s v="12:34:57"/>
        <s v="23:41:13"/>
        <s v="01:51:44"/>
        <s v="01:26:28"/>
        <s v="15:11:50"/>
        <s v="23:12:23"/>
        <s v="00:33:32"/>
        <s v="00:33:26"/>
        <s v="15:31:26"/>
        <s v="03:23:26"/>
        <s v="09:57:13"/>
        <s v="22:40:50"/>
        <s v="13:29:40"/>
        <s v="09:11:07"/>
        <s v="07:27:00"/>
        <s v="02:19:52"/>
        <s v="07:05:22"/>
        <s v="00:06:39"/>
        <s v="11:30:05"/>
        <s v="08:01:11"/>
        <s v="00:49:45"/>
        <s v="19:22:50"/>
        <s v="08:42:57"/>
        <s v="05:28:25"/>
        <s v="00:34:58"/>
        <s v="12:42:34"/>
        <s v="23:16:52"/>
        <s v="10:41:25"/>
        <s v="11:16:12"/>
        <s v="12:50:53"/>
        <s v="07:58:28"/>
        <s v="17:32:38"/>
        <s v="07:38:19"/>
        <s v="07:40:09"/>
        <s v="22:27:12"/>
        <s v="06:44:34"/>
        <s v="06:17:48"/>
        <s v="16:40:47"/>
        <s v="19:19:52"/>
        <s v="12:59:43"/>
        <s v="15:40:22"/>
        <s v="08:44:22"/>
        <s v="10:14:17"/>
        <s v="20:00:01"/>
        <s v="17:06:11"/>
        <s v="10:15:00"/>
        <s v="07:39:38"/>
        <s v="14:02:18"/>
        <s v="20:45:00"/>
        <s v="05:26:03"/>
        <s v="17:57:56"/>
        <s v="11:28:09"/>
        <s v="22:44:53"/>
        <s v="22:07:13"/>
        <s v="04:23:25"/>
        <s v="19:38:50"/>
        <s v="00:10:27"/>
        <s v="03:42:23"/>
        <s v="13:29:05"/>
        <s v="19:01:55"/>
        <s v="02:01:44"/>
        <s v="04:01:49"/>
        <s v="18:16:24"/>
        <s v="09:49:51"/>
        <s v="06:30:50"/>
        <s v="18:13:08"/>
        <s v="02:14:28"/>
        <s v="16:13:35"/>
        <s v="16:28:56"/>
        <s v="01:46:13"/>
        <s v="00:48:16"/>
        <s v="21:00:17"/>
        <s v="23:36:21"/>
        <s v="12:31:00"/>
        <s v="19:17:45"/>
        <s v="16:06:37"/>
        <s v="19:56:33"/>
        <s v="09:20:03"/>
        <s v="16:59:14"/>
        <s v="00:56:01"/>
        <s v="13:27:06"/>
        <s v="02:51:48"/>
        <s v="19:14:57"/>
        <s v="09:59:33"/>
        <s v="05:13:28"/>
        <s v="19:39:57"/>
        <s v="11:45:52"/>
        <s v="05:22:25"/>
        <s v="05:02:16"/>
        <s v="15:13:07"/>
        <s v="19:33:15"/>
        <s v="23:00:06"/>
        <s v="13:36:46"/>
        <s v="02:00:46"/>
        <s v="10:20:47"/>
        <s v="14:41:40"/>
        <s v="06:29:31"/>
        <s v="02:17:23"/>
        <s v="23:23:19"/>
        <s v="04:39:51"/>
        <s v="05:31:50"/>
        <s v="09:33:25"/>
        <s v="19:58:19"/>
        <s v="08:40:53"/>
        <s v="09:33:08"/>
        <s v="09:19:40"/>
        <s v="06:00:22"/>
        <s v="06:40:47"/>
        <s v="21:07:49"/>
        <s v="22:26:18"/>
        <s v="06:39:28"/>
        <s v="20:53:18"/>
        <s v="16:22:11"/>
        <s v="01:52:14"/>
        <s v="17:18:51"/>
        <s v="13:55:34"/>
        <s v="23:25:32"/>
        <s v="03:13:08"/>
        <s v="10:35:02"/>
        <s v="07:09:27"/>
        <s v="03:15:28"/>
        <s v="22:23:18"/>
        <s v="01:30:58"/>
        <s v="13:26:32"/>
        <s v="23:05:05"/>
        <s v="15:17:48"/>
        <s v="19:28:55"/>
        <s v="08:45:35"/>
        <s v="10:06:44"/>
        <s v="17:52:11"/>
        <s v="12:54:21"/>
        <s v="21:20:42"/>
        <s v="12:35:16"/>
        <s v="08:13:41"/>
        <s v="23:59:41"/>
        <s v="19:20:26"/>
        <s v="14:30:24"/>
        <s v="21:12:03"/>
        <s v="11:21:30"/>
        <s v="23:12:16"/>
        <s v="07:20:39"/>
        <s v="02:07:12"/>
        <s v="14:14:53"/>
        <s v="16:03:33"/>
        <s v="18:15:03"/>
        <s v="14:16:13"/>
        <s v="06:31:20"/>
        <s v="13:27:30"/>
        <s v="17:37:51"/>
        <s v="04:02:49"/>
        <s v="06:32:27"/>
        <s v="18:04:09"/>
        <s v="15:08:52"/>
        <s v="11:20:17"/>
        <s v="11:06:01"/>
        <s v="00:48:55"/>
        <s v="09:05:57"/>
        <s v="00:38:35"/>
        <s v="02:03:42"/>
        <s v="03:55:32"/>
        <s v="06:30:27"/>
        <s v="19:25:43"/>
        <s v="18:05:47"/>
        <s v="16:20:46"/>
        <s v="15:09:01"/>
        <s v="03:55:26"/>
        <s v="21:24:42"/>
        <s v="05:33:08"/>
        <s v="02:03:44"/>
        <s v="08:36:13"/>
        <s v="23:31:23"/>
        <s v="20:13:27"/>
        <s v="09:28:52"/>
        <s v="07:58:32"/>
        <s v="12:11:43"/>
        <s v="08:40:48"/>
        <s v="04:54:21"/>
        <s v="22:30:31"/>
        <s v="14:43:30"/>
        <s v="10:39:52"/>
        <s v="05:18:08"/>
        <s v="14:57:01"/>
        <s v="13:28:57"/>
        <s v="06:03:03"/>
        <s v="10:01:43"/>
        <s v="04:45:34"/>
        <s v="03:46:12"/>
        <s v="21:10:12"/>
        <s v="01:58:20"/>
        <s v="07:06:38"/>
        <s v="14:16:59"/>
        <s v="13:50:58"/>
        <s v="01:46:40"/>
        <s v="06:09:19"/>
        <s v="16:40:55"/>
        <s v="03:50:06"/>
        <s v="15:41:25"/>
        <s v="17:28:07"/>
        <s v="02:24:54"/>
        <s v="13:52:42"/>
        <s v="04:47:20"/>
        <s v="02:44:11"/>
        <s v="12:59:30"/>
        <s v="03:08:53"/>
        <s v="01:57:29"/>
        <s v="02:03:57"/>
        <s v="05:04:36"/>
        <s v="05:45:33"/>
        <s v="08:22:44"/>
        <s v="04:21:49"/>
        <s v="04:38:50"/>
        <s v="11:44:11"/>
        <s v="08:42:42"/>
        <s v="03:38:41"/>
        <s v="01:13:09"/>
        <s v="02:15:04"/>
        <s v="21:00:20"/>
        <s v="12:41:59"/>
        <s v="19:23:44"/>
        <s v="03:34:04"/>
        <s v="05:48:22"/>
        <s v="21:18:46"/>
        <s v="09:06:18"/>
        <s v="05:09:35"/>
        <s v="16:09:18"/>
        <s v="00:18:32"/>
        <s v="15:51:15"/>
        <s v="01:05:53"/>
        <s v="14:31:29"/>
        <s v="07:21:52"/>
        <s v="01:24:34"/>
        <s v="09:31:36"/>
        <s v="18:29:46"/>
        <s v="09:32:58"/>
        <s v="17:45:57"/>
        <s v="19:29:03"/>
        <s v="14:00:57"/>
        <s v="01:06:14"/>
        <s v="07:46:17"/>
        <s v="03:53:13"/>
        <s v="07:01:18"/>
        <s v="03:31:58"/>
        <s v="09:42:50"/>
        <s v="09:34:23"/>
        <s v="04:52:06"/>
        <s v="06:42:40"/>
        <s v="01:31:23"/>
        <s v="02:58:16"/>
        <s v="03:32:40"/>
        <s v="16:13:49"/>
        <s v="06:25:35"/>
        <s v="00:24:54"/>
        <s v="16:11:48"/>
        <s v="23:38:57"/>
        <s v="17:07:47"/>
        <s v="05:55:32"/>
      </sharedItems>
    </cacheField>
    <cacheField name="Days to Deliver" numFmtId="0">
      <sharedItems containsSemiMixedTypes="0" containsString="0" containsNumber="1" containsInteger="1">
        <n v="3.0"/>
        <n v="2.0"/>
        <n v="4.0"/>
        <n v="5.0"/>
        <n v="1.0"/>
        <n v="7.0"/>
        <n v="6.0"/>
      </sharedItems>
    </cacheField>
    <cacheField name="Order_Hour" numFmtId="0">
      <sharedItems containsSemiMixedTypes="0" containsString="0" containsNumber="1" containsInteger="1">
        <n v="18.0"/>
        <n v="1.0"/>
        <n v="7.0"/>
        <n v="3.0"/>
        <n v="16.0"/>
        <n v="9.0"/>
        <n v="19.0"/>
        <n v="12.0"/>
        <n v="13.0"/>
        <n v="17.0"/>
        <n v="15.0"/>
        <n v="22.0"/>
        <n v="14.0"/>
        <n v="4.0"/>
        <n v="23.0"/>
        <n v="11.0"/>
        <n v="6.0"/>
        <n v="10.0"/>
        <n v="20.0"/>
        <n v="8.0"/>
        <n v="0.0"/>
        <n v="21.0"/>
        <n v="5.0"/>
        <n v="2.0"/>
      </sharedItems>
    </cacheField>
    <cacheField name="Amount" numFmtId="0">
      <sharedItems containsSemiMixedTypes="0" containsString="0" containsNumber="1">
        <n v="1544.4"/>
        <n v="665.12"/>
        <n v="202.54"/>
        <n v="2025.0"/>
        <n v="166.28"/>
        <n v="1320.44"/>
        <n v="1090.92"/>
        <n v="275.44"/>
        <n v="48.45"/>
        <n v="1454.56"/>
        <n v="771.1800000000001"/>
        <n v="703.72"/>
        <n v="190.1"/>
        <n v="440.54"/>
        <n v="1090.04"/>
        <n v="208.36"/>
        <n v="193.8"/>
        <n v="103.5"/>
        <n v="926.64"/>
        <n v="520.9000000000001"/>
        <n v="461.07"/>
        <n v="132.97"/>
        <n v="252.38"/>
        <n v="847.89"/>
        <n v="384.41999999999996"/>
        <n v="727.28"/>
        <n v="62.42"/>
        <n v="630.56"/>
        <n v="792.65"/>
        <n v="187.26"/>
        <n v="129.75"/>
        <n v="788.1999999999999"/>
        <n v="962.96"/>
        <n v="405.0"/>
        <n v="389.20000000000005"/>
        <n v="1117.8600000000001"/>
        <n v="1489.77"/>
        <n v="950.5"/>
        <n v="2157.2"/>
        <n v="41.4"/>
        <n v="259.5"/>
        <n v="178.0"/>
        <n v="640.6999999999999"/>
        <n v="738.06"/>
        <n v="363.64"/>
        <n v="124.84"/>
        <n v="858.21"/>
        <n v="348.36"/>
        <n v="1101.76"/>
        <n v="421.7"/>
        <n v="272.51"/>
        <n v="527.79"/>
        <n v="681.5"/>
        <n v="882.06"/>
        <n v="1476.12"/>
        <n v="1986.36"/>
        <n v="993.18"/>
        <n v="308.88"/>
        <n v="1702.36"/>
        <n v="267.24"/>
        <n v="128.14"/>
        <n v="955.04"/>
        <n v="378.57"/>
        <n v="1925.92"/>
        <n v="403.03"/>
        <n v="660.22"/>
        <n v="330.11"/>
        <n v="810.0"/>
        <n v="431.44"/>
        <n v="1430.35"/>
        <n v="2229.05"/>
        <n v="867.24"/>
        <n v="942.52"/>
        <n v="990.33"/>
        <n v="826.3199999999999"/>
        <n v="1432.56"/>
        <n v="424.82"/>
        <n v="272.6"/>
        <n v="881.08"/>
        <n v="668.1"/>
        <n v="617.76"/>
        <n v="2482.95"/>
        <n v="221.9"/>
        <n v="1028.24"/>
        <n v="1526.92"/>
        <n v="879.6500000000001"/>
        <n v="1012.6999999999999"/>
        <n v="20.0"/>
        <n v="763.46"/>
        <n v="481.48"/>
        <n v="155.68"/>
        <n v="136.3"/>
        <n v="1274.46"/>
        <n v="1725.76"/>
        <n v="664.85"/>
        <n v="405.08"/>
        <n v="2015.1499999999999"/>
        <n v="1612.12"/>
        <n v="545.2"/>
        <n v="235.63"/>
        <n v="1734.48"/>
        <n v="443.8"/>
        <n v="2407.4"/>
        <n v="1168.6"/>
        <n v="100.0"/>
        <n v="242.25"/>
        <n v="810.16"/>
        <n v="133.5"/>
        <n v="660.8100000000001"/>
        <n v="572.14"/>
        <n v="554.75"/>
        <n v="416.72"/>
        <n v="537.35"/>
        <n v="282.63"/>
        <n v="369.03"/>
        <n v="1178.15"/>
        <n v="514.12"/>
        <n v="89.0"/>
        <n v="648.75"/>
        <n v="249.68"/>
        <n v="1686.8"/>
        <n v="33.49"/>
        <n v="706.89"/>
        <n v="843.4"/>
        <n v="372.62"/>
        <n v="107.47"/>
        <n v="126.19"/>
        <n v="1460.75"/>
        <n v="408.90000000000003"/>
        <n v="1209.09"/>
        <n v="891.62"/>
        <n v="100.47"/>
        <n v="584.3"/>
        <n v="472.91999999999996"/>
        <n v="1910.08"/>
        <n v="87.09"/>
        <n v="332.85"/>
        <n v="1276.77"/>
        <n v="2205.1499999999996"/>
        <n v="389.25"/>
        <n v="429.88"/>
        <n v="550.88"/>
        <n v="214.94"/>
        <n v="1107.09"/>
        <n v="1265.1"/>
        <n v="1444.44"/>
        <n v="531.88"/>
        <n v="1490.48"/>
        <n v="630.95"/>
        <n v="806.06"/>
        <n v="315.28"/>
        <n v="545.02"/>
        <n v="133.62"/>
        <n v="1130.52"/>
        <n v="498.84000000000003"/>
        <n v="2127.95"/>
        <n v="1818.1999999999998"/>
        <n v="2108.5"/>
        <n v="351.86"/>
        <n v="1323.09"/>
        <n v="1908.65"/>
        <n v="381.73"/>
        <n v="425.59"/>
        <n v="475.59000000000003"/>
        <n v="471.26"/>
        <n v="62.099999999999994"/>
        <n v="570.3"/>
        <n v="104.18"/>
        <n v="851.18"/>
        <n v="1844.28"/>
        <n v="257.06"/>
        <n v="1383.21"/>
        <n v="66.98"/>
        <n v="1620.0"/>
        <n v="849.64"/>
        <n v="44.5"/>
        <n v="445.81"/>
        <n v="398.90999999999997"/>
        <n v="40.0"/>
        <n v="1101.3500000000001"/>
        <n v="145.35000000000002"/>
        <n v="265.94"/>
        <n v="477.52"/>
        <n v="133.96"/>
        <n v="1362.55"/>
        <n v="322.40999999999997"/>
        <n v="317.06"/>
        <n v="435.45000000000005"/>
        <n v="20.7"/>
        <n v="2124.1"/>
        <n v="1300.8600000000001"/>
        <n v="311.36"/>
        <n v="174.18"/>
        <n v="312.54"/>
        <n v="222.5"/>
        <n v="876.4499999999999"/>
        <n v="565.26"/>
        <n v="817.53"/>
        <n v="745.24"/>
        <n v="157.64"/>
        <n v="1863.1"/>
        <n v="1699.28"/>
        <n v="1337.43"/>
        <n v="2387.6"/>
        <n v="292.15"/>
        <n v="80.0"/>
        <n v="96.9"/>
        <n v="504.76"/>
        <n v="167.45000000000002"/>
        <n v="60.0"/>
        <n v="312.1"/>
        <n v="286.07"/>
        <n v="332.56"/>
        <n v="1215.0"/>
        <n v="1294.32"/>
        <n v="82.8"/>
      </sharedItems>
    </cacheField>
    <cacheField name="Amount with Del Charg" numFmtId="0">
      <sharedItems containsSemiMixedTypes="0" containsString="0" containsNumber="1">
        <n v="1604.4"/>
        <n v="731.12"/>
        <n v="249.54"/>
        <n v="2072.0"/>
        <n v="220.28"/>
        <n v="1359.44"/>
        <n v="1591.4"/>
        <n v="1160.92"/>
        <n v="338.44"/>
        <n v="107.45"/>
        <n v="1489.56"/>
        <n v="833.1800000000001"/>
        <n v="768.72"/>
        <n v="260.1"/>
        <n v="479.54"/>
        <n v="1378.44"/>
        <n v="1130.04"/>
        <n v="252.36"/>
        <n v="263.8"/>
        <n v="141.5"/>
        <n v="969.64"/>
        <n v="578.9000000000001"/>
        <n v="517.0699999999999"/>
        <n v="187.97"/>
        <n v="315.38"/>
        <n v="887.89"/>
        <n v="454.41999999999996"/>
        <n v="1129.92"/>
        <n v="770.28"/>
        <n v="120.42"/>
        <n v="189.97"/>
        <n v="689.56"/>
        <n v="834.65"/>
        <n v="223.26"/>
        <n v="199.75"/>
        <n v="841.1999999999999"/>
        <n v="167.5"/>
        <n v="1012.96"/>
        <n v="441.0"/>
        <n v="436.20000000000005"/>
        <n v="1176.8600000000001"/>
        <n v="1169.8600000000001"/>
        <n v="1538.77"/>
        <n v="172.75"/>
        <n v="985.5"/>
        <n v="253.1"/>
        <n v="2214.2"/>
        <n v="674.56"/>
        <n v="706.12"/>
        <n v="91.4"/>
        <n v="301.5"/>
        <n v="218.0"/>
        <n v="697.6999999999999"/>
        <n v="784.06"/>
        <n v="433.64"/>
        <n v="449.0"/>
        <n v="177.84"/>
        <n v="160.5"/>
        <n v="1159.92"/>
        <n v="912.21"/>
        <n v="411.36"/>
        <n v="1141.76"/>
        <n v="480.7"/>
        <n v="315.51"/>
        <n v="573.79"/>
        <n v="720.5"/>
        <n v="931.06"/>
        <n v="1528.12"/>
        <n v="2022.36"/>
        <n v="1034.1799999999998"/>
        <n v="370.88"/>
        <n v="1755.36"/>
        <n v="364.88"/>
        <n v="2216.2"/>
        <n v="317.24"/>
        <n v="1131.92"/>
        <n v="198.14"/>
        <n v="1010.04"/>
        <n v="418.57"/>
        <n v="1961.92"/>
        <n v="974.64"/>
        <n v="455.03"/>
        <n v="724.22"/>
        <n v="115.42"/>
        <n v="397.11"/>
        <n v="114.45"/>
        <n v="880.0"/>
        <n v="1039.1799999999998"/>
        <n v="466.44"/>
        <n v="1495.35"/>
        <n v="300.38"/>
        <n v="2285.05"/>
        <n v="1532.12"/>
        <n v="908.24"/>
        <n v="1002.52"/>
        <n v="849.65"/>
        <n v="1055.33"/>
        <n v="503.54"/>
        <n v="873.3199999999999"/>
        <n v="1498.56"/>
        <n v="468.82"/>
        <n v="326.6"/>
        <n v="946.08"/>
        <n v="732.1"/>
        <n v="678.76"/>
        <n v="518.0699999999999"/>
        <n v="2522.95"/>
        <n v="248.36"/>
        <n v="289.9"/>
        <n v="1033.1799999999998"/>
        <n v="1078.24"/>
        <n v="1592.92"/>
        <n v="2199.2"/>
        <n v="942.6500000000001"/>
        <n v="1080.6999999999998"/>
        <n v="1093.24"/>
        <n v="88.0"/>
        <n v="84.4"/>
        <n v="804.46"/>
        <n v="550.48"/>
        <n v="191.68"/>
        <n v="177.3"/>
        <n v="1341.46"/>
        <n v="340.6"/>
        <n v="1791.76"/>
        <n v="709.85"/>
        <n v="1132.04"/>
        <n v="475.08"/>
        <n v="323.6"/>
        <n v="2067.1499999999996"/>
        <n v="1659.12"/>
        <n v="987.5"/>
        <n v="606.2"/>
        <n v="301.63"/>
        <n v="1770.48"/>
        <n v="824.1999999999999"/>
        <n v="858.65"/>
        <n v="836.1800000000001"/>
        <n v="503.8"/>
        <n v="2451.4"/>
        <n v="1226.6"/>
        <n v="140.0"/>
        <n v="865.0"/>
        <n v="295.25"/>
        <n v="250.54"/>
        <n v="1482.35"/>
        <n v="846.16"/>
        <n v="179.5"/>
        <n v="1979.92"/>
        <n v="430.20000000000005"/>
        <n v="708.8100000000001"/>
        <n v="173.75"/>
        <n v="200.3"/>
        <n v="626.14"/>
        <n v="767.28"/>
        <n v="2299.05"/>
        <n v="616.75"/>
        <n v="461.72"/>
        <n v="2045.36"/>
        <n v="585.35"/>
        <n v="327.63"/>
        <n v="417.03"/>
        <n v="265.36"/>
        <n v="482.54"/>
        <n v="1230.15"/>
        <n v="701.12"/>
        <n v="2061.0"/>
        <n v="573.12"/>
        <n v="141.0"/>
        <n v="691.75"/>
        <n v="286.68"/>
        <n v="1755.8"/>
        <n v="92.49000000000001"/>
        <n v="1141.04"/>
        <n v="315.24"/>
        <n v="1080.24"/>
        <n v="136.0"/>
        <n v="750.89"/>
        <n v="726.1"/>
        <n v="888.4"/>
        <n v="407.62"/>
        <n v="1367.44"/>
        <n v="163.47"/>
        <n v="194.19"/>
        <n v="801.46"/>
        <n v="1528.75"/>
        <n v="450.90000000000003"/>
        <n v="1276.09"/>
        <n v="958.62"/>
        <n v="686.75"/>
        <n v="162.47"/>
        <n v="1389.44"/>
        <n v="1059.6999999999998"/>
        <n v="709.12"/>
        <n v="642.3"/>
        <n v="1128.04"/>
        <n v="519.92"/>
        <n v="249.26"/>
        <n v="1143.92"/>
        <n v="1965.08"/>
        <n v="311.38"/>
        <n v="148.09"/>
        <n v="397.85"/>
        <n v="100.49000000000001"/>
        <n v="1344.77"/>
        <n v="2242.1499999999996"/>
        <n v="426.25"/>
        <n v="293.63"/>
        <n v="480.88"/>
        <n v="586.88"/>
        <n v="269.94"/>
        <n v="856.65"/>
        <n v="764.28"/>
        <n v="319.6"/>
        <n v="1172.09"/>
        <n v="833.46"/>
        <n v="1303.1"/>
        <n v="1030.33"/>
        <n v="408.62"/>
        <n v="1486.44"/>
        <n v="362.88"/>
        <n v="574.88"/>
        <n v="1535.48"/>
        <n v="677.95"/>
        <n v="851.06"/>
        <n v="379.28"/>
        <n v="180.14"/>
        <n v="834.1800000000001"/>
        <n v="593.02"/>
        <n v="1137.92"/>
        <n v="1154.92"/>
        <n v="1241.15"/>
        <n v="190.62"/>
        <n v="1190.52"/>
        <n v="557.84"/>
        <n v="2184.95"/>
        <n v="1878.1999999999998"/>
        <n v="407.03"/>
        <n v="2169.5"/>
        <n v="1584.92"/>
        <n v="412.86"/>
        <n v="831.46"/>
        <n v="1370.09"/>
        <n v="330.6"/>
        <n v="1253.09"/>
        <n v="1953.65"/>
        <n v="417.73"/>
        <n v="465.59"/>
        <n v="1992.92"/>
        <n v="897.4"/>
        <n v="379.85"/>
        <n v="1182.52"/>
        <n v="538.59"/>
        <n v="224.26"/>
        <n v="515.26"/>
        <n v="371.28"/>
        <n v="1532.48"/>
        <n v="867.06"/>
        <n v="129.1"/>
        <n v="317.6"/>
        <n v="257.9"/>
        <n v="1171.8600000000001"/>
        <n v="376.28"/>
        <n v="633.3"/>
        <n v="143.47"/>
        <n v="585.79"/>
        <n v="1316.46"/>
        <n v="1986.92"/>
        <n v="152.18"/>
        <n v="898.18"/>
        <n v="1890.28"/>
        <n v="316.68"/>
        <n v="321.06"/>
        <n v="1129.04"/>
        <n v="876.06"/>
        <n v="1444.21"/>
        <n v="1363.09"/>
        <n v="748.72"/>
        <n v="1157.09"/>
        <n v="1020.96"/>
        <n v="1331.77"/>
        <n v="111.98"/>
        <n v="1690.0"/>
        <n v="1493.44"/>
        <n v="303.24"/>
        <n v="292.68"/>
        <n v="1048.1799999999998"/>
        <n v="1790.76"/>
        <n v="906.64"/>
        <n v="1319.1"/>
        <n v="417.62"/>
        <n v="164.18"/>
        <n v="400.86"/>
        <n v="108.42"/>
        <n v="80.4"/>
        <n v="513.59"/>
        <n v="93.5"/>
        <n v="312.5"/>
        <n v="401.86"/>
        <n v="2164.5"/>
        <n v="486.81"/>
        <n v="918.18"/>
        <n v="487.59"/>
        <n v="167.14"/>
        <n v="281.63"/>
        <n v="372.28"/>
        <n v="434.90999999999997"/>
        <n v="548.48"/>
        <n v="1028.96"/>
        <n v="838.65"/>
        <n v="582.02"/>
        <n v="273.36"/>
        <n v="78.0"/>
        <n v="473.82"/>
        <n v="1158.3500000000001"/>
        <n v="2170.95"/>
        <n v="208.35000000000002"/>
        <n v="251.36"/>
        <n v="496.81"/>
        <n v="334.94"/>
        <n v="1741.8"/>
        <n v="525.52"/>
        <n v="95.0"/>
        <n v="273.63"/>
        <n v="200.96"/>
        <n v="580.2"/>
        <n v="1178.52"/>
        <n v="1407.55"/>
        <n v="604.88"/>
        <n v="944.06"/>
        <n v="321.5"/>
        <n v="1473.56"/>
        <n v="381.40999999999997"/>
        <n v="373.06"/>
        <n v="937.06"/>
        <n v="491.45000000000005"/>
        <n v="456.72"/>
        <n v="94.49000000000001"/>
        <n v="1790.48"/>
        <n v="71.7"/>
        <n v="942.06"/>
        <n v="913.24"/>
        <n v="2161.1"/>
        <n v="1339.8600000000001"/>
        <n v="294.63"/>
        <n v="2166.5"/>
        <n v="370.36"/>
        <n v="236.18"/>
        <n v="372.54"/>
        <n v="385.40999999999997"/>
        <n v="203.35000000000002"/>
        <n v="1097.24"/>
        <n v="1677.12"/>
        <n v="89.45"/>
        <n v="277.5"/>
        <n v="708.6999999999999"/>
        <n v="793.06"/>
        <n v="299.06"/>
        <n v="927.4499999999999"/>
        <n v="627.26"/>
        <n v="883.53"/>
        <n v="715.22"/>
        <n v="305.94"/>
        <n v="241.18"/>
        <n v="574.35"/>
        <n v="584.35"/>
        <n v="172.62"/>
        <n v="593.88"/>
        <n v="1046.33"/>
        <n v="861.53"/>
        <n v="757.72"/>
        <n v="1164.09"/>
        <n v="792.24"/>
        <n v="81.5"/>
        <n v="205.64"/>
        <n v="108.1"/>
        <n v="433.41999999999996"/>
        <n v="538.92"/>
        <n v="438.62"/>
        <n v="1510.56"/>
        <n v="1471.35"/>
        <n v="913.89"/>
        <n v="1929.1"/>
        <n v="1757.28"/>
        <n v="1321.1"/>
        <n v="644.3"/>
        <n v="422.62"/>
        <n v="187.35000000000002"/>
        <n v="611.3"/>
        <n v="1910.28"/>
        <n v="834.1999999999999"/>
        <n v="1374.43"/>
        <n v="1963.92"/>
        <n v="199.62"/>
        <n v="1327.77"/>
        <n v="2447.6"/>
        <n v="883.89"/>
        <n v="216.64"/>
        <n v="86.45"/>
        <n v="349.15"/>
        <n v="131.0"/>
        <n v="152.9"/>
        <n v="319.38"/>
        <n v="573.76"/>
        <n v="1769.28"/>
        <n v="108.0"/>
        <n v="1070.6999999999998"/>
        <n v="597.2"/>
        <n v="672.56"/>
        <n v="183.14"/>
        <n v="915.18"/>
        <n v="231.45000000000002"/>
        <n v="270.63"/>
        <n v="125.0"/>
        <n v="225.45000000000002"/>
        <n v="110.42"/>
        <n v="2174.95"/>
        <n v="895.18"/>
        <n v="503.07"/>
        <n v="290.63"/>
        <n v="141.18"/>
        <n v="1496.56"/>
        <n v="150.47"/>
        <n v="380.28"/>
        <n v="2241.1499999999996"/>
        <n v="1524.12"/>
        <n v="306.5"/>
        <n v="102.4"/>
        <n v="802.24"/>
        <n v="471.88"/>
        <n v="672.76"/>
        <n v="381.1"/>
        <n v="329.07"/>
        <n v="372.56"/>
        <n v="906.24"/>
        <n v="1251.0"/>
        <n v="369.11"/>
        <n v="950.62"/>
        <n v="102.49000000000001"/>
        <n v="203.64"/>
        <n v="304.06"/>
        <n v="1364.32"/>
        <n v="169.97"/>
        <n v="1007.96"/>
        <n v="475.45000000000005"/>
        <n v="1961.65"/>
        <n v="1352.32"/>
        <n v="747.89"/>
        <n v="1538.48"/>
        <n v="1395.43"/>
        <n v="845.06"/>
        <n v="2543.95"/>
        <n v="173.5"/>
        <n v="359.1"/>
        <n v="393.36"/>
        <n v="366.36"/>
        <n v="442.20000000000005"/>
        <n v="594.88"/>
        <n v="1437.21"/>
        <n v="204.28"/>
        <n v="1964.08"/>
        <n v="2440.6"/>
        <n v="386.06"/>
        <n v="1269.0"/>
        <n v="494.88"/>
        <n v="443.41999999999996"/>
        <n v="75.7"/>
        <n v="226.26"/>
        <n v="551.48"/>
        <n v="994.64"/>
        <n v="188.35000000000002"/>
        <n v="464.88"/>
        <n v="2267.1499999999996"/>
        <n v="187.96"/>
        <n v="77.49000000000001"/>
        <n v="185.75"/>
        <n v="143.8"/>
        <n v="710.8100000000001"/>
        <n v="923.24"/>
        <n v="1428.55"/>
        <n v="912.64"/>
        <n v="223.0"/>
      </sharedItems>
    </cacheField>
    <cacheField name="Discount_Percent" numFmtId="0">
      <sharedItems containsSemiMixedTypes="0" containsString="0" containsNumber="1" containsInteger="1">
        <n v="0.0"/>
      </sharedItems>
    </cacheField>
    <cacheField name="Discounted_Amt" numFmtId="0">
      <sharedItems containsSemiMixedTypes="0" containsString="0" containsNumber="1">
        <n v="1544.4"/>
        <n v="665.12"/>
        <n v="202.54"/>
        <n v="2025.0"/>
        <n v="166.28"/>
        <n v="1320.44"/>
        <n v="1090.92"/>
        <n v="275.44"/>
        <n v="48.45"/>
        <n v="1454.56"/>
        <n v="771.1800000000001"/>
        <n v="703.72"/>
        <n v="190.1"/>
        <n v="440.54"/>
        <n v="1090.04"/>
        <n v="208.36"/>
        <n v="193.8"/>
        <n v="103.5"/>
        <n v="926.64"/>
        <n v="520.9000000000001"/>
        <n v="461.07"/>
        <n v="132.97"/>
        <n v="252.38"/>
        <n v="847.89"/>
        <n v="384.41999999999996"/>
        <n v="727.28"/>
        <n v="62.42"/>
        <n v="630.56"/>
        <n v="792.65"/>
        <n v="187.26"/>
        <n v="129.75"/>
        <n v="788.1999999999999"/>
        <n v="962.96"/>
        <n v="405.0"/>
        <n v="389.20000000000005"/>
        <n v="1117.8600000000001"/>
        <n v="1489.77"/>
        <n v="950.5"/>
        <n v="2157.2"/>
        <n v="41.4"/>
        <n v="259.5"/>
        <n v="178.0"/>
        <n v="640.6999999999999"/>
        <n v="738.06"/>
        <n v="363.64"/>
        <n v="124.84"/>
        <n v="858.21"/>
        <n v="348.36"/>
        <n v="1101.76"/>
        <n v="421.7"/>
        <n v="272.51"/>
        <n v="527.79"/>
        <n v="681.5"/>
        <n v="882.06"/>
        <n v="1476.12"/>
        <n v="1986.36"/>
        <n v="993.18"/>
        <n v="308.88"/>
        <n v="1702.36"/>
        <n v="267.24"/>
        <n v="128.14"/>
        <n v="955.04"/>
        <n v="378.57"/>
        <n v="1925.92"/>
        <n v="403.03"/>
        <n v="660.22"/>
        <n v="330.11"/>
        <n v="810.0"/>
        <n v="431.44"/>
        <n v="1430.35"/>
        <n v="2229.05"/>
        <n v="867.24"/>
        <n v="942.52"/>
        <n v="990.33"/>
        <n v="826.3199999999999"/>
        <n v="1432.56"/>
        <n v="424.82"/>
        <n v="272.6"/>
        <n v="881.08"/>
        <n v="668.1"/>
        <n v="617.76"/>
        <n v="2482.95"/>
        <n v="221.9"/>
        <n v="1028.24"/>
        <n v="1526.92"/>
        <n v="879.6500000000001"/>
        <n v="1012.6999999999999"/>
        <n v="20.0"/>
        <n v="763.46"/>
        <n v="481.48"/>
        <n v="155.68"/>
        <n v="136.3"/>
        <n v="1274.46"/>
        <n v="1725.76"/>
        <n v="664.85"/>
        <n v="405.08"/>
        <n v="2015.1499999999999"/>
        <n v="1612.12"/>
        <n v="545.2"/>
        <n v="235.63"/>
        <n v="1734.48"/>
        <n v="443.8"/>
        <n v="2407.4"/>
        <n v="1168.6"/>
        <n v="100.0"/>
        <n v="242.25"/>
        <n v="810.16"/>
        <n v="133.5"/>
        <n v="660.8100000000001"/>
        <n v="572.14"/>
        <n v="554.75"/>
        <n v="416.72"/>
        <n v="537.35"/>
        <n v="282.63"/>
        <n v="369.03"/>
        <n v="1178.15"/>
        <n v="514.12"/>
        <n v="89.0"/>
        <n v="648.75"/>
        <n v="249.68"/>
        <n v="1686.8"/>
        <n v="33.49"/>
        <n v="706.89"/>
        <n v="843.4"/>
        <n v="372.62"/>
        <n v="107.47"/>
        <n v="126.19"/>
        <n v="1460.75"/>
        <n v="408.90000000000003"/>
        <n v="1209.09"/>
        <n v="891.62"/>
        <n v="100.47"/>
        <n v="584.3"/>
        <n v="472.91999999999996"/>
        <n v="1910.08"/>
        <n v="87.09"/>
        <n v="332.85"/>
        <n v="1276.77"/>
        <n v="2205.1499999999996"/>
        <n v="389.25"/>
        <n v="429.88"/>
        <n v="550.88"/>
        <n v="214.94"/>
        <n v="1107.09"/>
        <n v="1265.1"/>
        <n v="1444.44"/>
        <n v="531.88"/>
        <n v="1490.48"/>
        <n v="630.95"/>
        <n v="806.06"/>
        <n v="315.28"/>
        <n v="545.02"/>
        <n v="133.62"/>
        <n v="1130.52"/>
        <n v="498.84000000000003"/>
        <n v="2127.95"/>
        <n v="1818.1999999999998"/>
        <n v="2108.5"/>
        <n v="351.86"/>
        <n v="1323.09"/>
        <n v="1908.65"/>
        <n v="381.73"/>
        <n v="425.59"/>
        <n v="475.59000000000003"/>
        <n v="471.26"/>
        <n v="62.099999999999994"/>
        <n v="570.3"/>
        <n v="104.18"/>
        <n v="851.18"/>
        <n v="1844.28"/>
        <n v="257.06"/>
        <n v="1383.21"/>
        <n v="66.98"/>
        <n v="1620.0"/>
        <n v="849.64"/>
        <n v="44.5"/>
        <n v="445.81"/>
        <n v="398.90999999999997"/>
        <n v="40.0"/>
        <n v="1101.3500000000001"/>
        <n v="145.35000000000002"/>
        <n v="265.94"/>
        <n v="477.52"/>
        <n v="133.96"/>
        <n v="1362.55"/>
        <n v="322.40999999999997"/>
        <n v="317.06"/>
        <n v="435.45000000000005"/>
        <n v="20.7"/>
        <n v="2124.1"/>
        <n v="1300.8600000000001"/>
        <n v="311.36"/>
        <n v="174.18"/>
        <n v="312.54"/>
        <n v="222.5"/>
        <n v="876.4499999999999"/>
        <n v="565.26"/>
        <n v="817.53"/>
        <n v="745.24"/>
        <n v="157.64"/>
        <n v="1863.1"/>
        <n v="1699.28"/>
        <n v="1337.43"/>
        <n v="2387.6"/>
        <n v="292.15"/>
        <n v="80.0"/>
        <n v="96.9"/>
        <n v="504.76"/>
        <n v="167.45000000000002"/>
        <n v="60.0"/>
        <n v="312.1"/>
        <n v="286.07"/>
        <n v="332.56"/>
        <n v="1215.0"/>
        <n v="1294.32"/>
        <n v="82.8"/>
      </sharedItems>
    </cacheField>
    <cacheField name="Final Amount" numFmtId="0">
      <sharedItems containsSemiMixedTypes="0" containsString="0" containsNumber="1">
        <n v="1604.4"/>
        <n v="731.12"/>
        <n v="249.54"/>
        <n v="2025.0"/>
        <n v="220.28"/>
        <n v="1359.44"/>
        <n v="1591.4"/>
        <n v="1160.92"/>
        <n v="338.44"/>
        <n v="107.45"/>
        <n v="1454.56"/>
        <n v="771.1800000000001"/>
        <n v="768.72"/>
        <n v="190.1"/>
        <n v="440.54"/>
        <n v="1320.44"/>
        <n v="1130.04"/>
        <n v="208.36"/>
        <n v="263.8"/>
        <n v="103.5"/>
        <n v="969.64"/>
        <n v="578.9000000000001"/>
        <n v="517.0699999999999"/>
        <n v="187.97"/>
        <n v="252.38"/>
        <n v="847.89"/>
        <n v="454.41999999999996"/>
        <n v="1129.92"/>
        <n v="770.28"/>
        <n v="62.42"/>
        <n v="132.97"/>
        <n v="689.56"/>
        <n v="834.65"/>
        <n v="223.26"/>
        <n v="199.75"/>
        <n v="841.1999999999999"/>
        <n v="1012.96"/>
        <n v="405.0"/>
        <n v="389.20000000000005"/>
        <n v="1176.8600000000001"/>
        <n v="1169.8600000000001"/>
        <n v="1538.77"/>
        <n v="172.75"/>
        <n v="985.5"/>
        <n v="253.1"/>
        <n v="2214.2"/>
        <n v="674.56"/>
        <n v="665.12"/>
        <n v="91.4"/>
        <n v="301.5"/>
        <n v="218.0"/>
        <n v="697.6999999999999"/>
        <n v="784.06"/>
        <n v="433.64"/>
        <n v="177.84"/>
        <n v="160.5"/>
        <n v="1159.92"/>
        <n v="912.21"/>
        <n v="348.36"/>
        <n v="1141.76"/>
        <n v="480.7"/>
        <n v="315.51"/>
        <n v="573.79"/>
        <n v="720.5"/>
        <n v="931.06"/>
        <n v="1528.12"/>
        <n v="2022.36"/>
        <n v="1034.1799999999998"/>
        <n v="308.88"/>
        <n v="1702.36"/>
        <n v="364.88"/>
        <n v="2216.2"/>
        <n v="317.24"/>
        <n v="1090.92"/>
        <n v="198.14"/>
        <n v="1010.04"/>
        <n v="378.57"/>
        <n v="1961.92"/>
        <n v="974.64"/>
        <n v="455.03"/>
        <n v="724.22"/>
        <n v="115.42"/>
        <n v="397.11"/>
        <n v="114.45"/>
        <n v="810.0"/>
        <n v="1039.1799999999998"/>
        <n v="431.44"/>
        <n v="1495.35"/>
        <n v="300.38"/>
        <n v="2285.05"/>
        <n v="1532.12"/>
        <n v="908.24"/>
        <n v="1002.52"/>
        <n v="849.65"/>
        <n v="1055.33"/>
        <n v="503.54"/>
        <n v="873.3199999999999"/>
        <n v="1498.56"/>
        <n v="424.82"/>
        <n v="326.6"/>
        <n v="946.08"/>
        <n v="732.1"/>
        <n v="678.76"/>
        <n v="518.0699999999999"/>
        <n v="2522.95"/>
        <n v="248.36"/>
        <n v="289.9"/>
        <n v="993.18"/>
        <n v="1078.24"/>
        <n v="1592.92"/>
        <n v="2199.2"/>
        <n v="879.6500000000001"/>
        <n v="1080.6999999999998"/>
        <n v="1093.24"/>
        <n v="88.0"/>
        <n v="41.4"/>
        <n v="763.46"/>
        <n v="550.48"/>
        <n v="191.68"/>
        <n v="177.3"/>
        <n v="1341.46"/>
        <n v="340.6"/>
        <n v="1791.76"/>
        <n v="709.85"/>
        <n v="1090.04"/>
        <n v="475.08"/>
        <n v="323.6"/>
        <n v="2015.1499999999999"/>
        <n v="1659.12"/>
        <n v="987.5"/>
        <n v="545.2"/>
        <n v="301.63"/>
        <n v="1770.48"/>
        <n v="788.1999999999999"/>
        <n v="792.65"/>
        <n v="836.1800000000001"/>
        <n v="503.8"/>
        <n v="2451.4"/>
        <n v="1226.6"/>
        <n v="140.0"/>
        <n v="865.0"/>
        <n v="295.25"/>
        <n v="250.54"/>
        <n v="1482.35"/>
        <n v="846.16"/>
        <n v="179.5"/>
        <n v="1925.92"/>
        <n v="430.20000000000005"/>
        <n v="1033.1799999999998"/>
        <n v="708.8100000000001"/>
        <n v="129.75"/>
        <n v="200.3"/>
        <n v="626.14"/>
        <n v="727.28"/>
        <n v="2299.05"/>
        <n v="616.75"/>
        <n v="461.72"/>
        <n v="2045.36"/>
        <n v="585.35"/>
        <n v="282.63"/>
        <n v="417.03"/>
        <n v="482.54"/>
        <n v="1230.15"/>
        <n v="701.12"/>
        <n v="2061.0"/>
        <n v="573.12"/>
        <n v="141.0"/>
        <n v="648.75"/>
        <n v="286.68"/>
        <n v="1755.8"/>
        <n v="33.49"/>
        <n v="315.24"/>
        <n v="1028.24"/>
        <n v="136.0"/>
        <n v="750.89"/>
        <n v="668.1"/>
        <n v="888.4"/>
        <n v="407.62"/>
        <n v="1367.44"/>
        <n v="163.47"/>
        <n v="194.19"/>
        <n v="1528.75"/>
        <n v="450.90000000000003"/>
        <n v="1276.09"/>
        <n v="891.62"/>
        <n v="686.75"/>
        <n v="162.47"/>
        <n v="1389.44"/>
        <n v="1059.6999999999998"/>
        <n v="709.12"/>
        <n v="642.3"/>
        <n v="519.92"/>
        <n v="249.26"/>
        <n v="1143.92"/>
        <n v="1965.08"/>
        <n v="148.09"/>
        <n v="397.85"/>
        <n v="100.49000000000001"/>
        <n v="1344.77"/>
        <n v="2242.1499999999996"/>
        <n v="426.25"/>
        <n v="293.63"/>
        <n v="480.88"/>
        <n v="586.88"/>
        <n v="269.94"/>
        <n v="856.65"/>
        <n v="764.28"/>
        <n v="319.6"/>
        <n v="1172.09"/>
        <n v="833.46"/>
        <n v="1303.1"/>
        <n v="1030.33"/>
        <n v="408.62"/>
        <n v="1486.44"/>
        <n v="362.88"/>
        <n v="574.88"/>
        <n v="1535.48"/>
        <n v="677.95"/>
        <n v="851.06"/>
        <n v="379.28"/>
        <n v="180.14"/>
        <n v="593.02"/>
        <n v="1137.92"/>
        <n v="1154.92"/>
        <n v="1241.15"/>
        <n v="190.62"/>
        <n v="1190.52"/>
        <n v="557.84"/>
        <n v="2184.95"/>
        <n v="1878.1999999999998"/>
        <n v="2067.1499999999996"/>
        <n v="407.03"/>
        <n v="2169.5"/>
        <n v="1584.92"/>
        <n v="412.86"/>
        <n v="831.46"/>
        <n v="1323.09"/>
        <n v="330.6"/>
        <n v="1253.09"/>
        <n v="1953.65"/>
        <n v="417.73"/>
        <n v="465.59"/>
        <n v="1992.92"/>
        <n v="897.4"/>
        <n v="332.85"/>
        <n v="1182.52"/>
        <n v="538.59"/>
        <n v="224.26"/>
        <n v="515.26"/>
        <n v="371.28"/>
        <n v="1532.48"/>
        <n v="867.06"/>
        <n v="62.099999999999994"/>
        <n v="317.6"/>
        <n v="257.9"/>
        <n v="1117.8600000000001"/>
        <n v="376.28"/>
        <n v="633.3"/>
        <n v="143.47"/>
        <n v="527.79"/>
        <n v="1274.46"/>
        <n v="152.18"/>
        <n v="898.18"/>
        <n v="1844.28"/>
        <n v="316.68"/>
        <n v="321.06"/>
        <n v="1129.04"/>
        <n v="876.06"/>
        <n v="1444.21"/>
        <n v="1363.09"/>
        <n v="748.72"/>
        <n v="1157.09"/>
        <n v="1020.96"/>
        <n v="1331.77"/>
        <n v="111.98"/>
        <n v="1690.0"/>
        <n v="1493.44"/>
        <n v="303.24"/>
        <n v="292.68"/>
        <n v="1048.1799999999998"/>
        <n v="1725.76"/>
        <n v="849.64"/>
        <n v="1319.1"/>
        <n v="417.62"/>
        <n v="164.18"/>
        <n v="400.86"/>
        <n v="108.42"/>
        <n v="80.4"/>
        <n v="513.59"/>
        <n v="93.5"/>
        <n v="259.5"/>
        <n v="351.86"/>
        <n v="2164.5"/>
        <n v="486.81"/>
        <n v="851.18"/>
        <n v="487.59"/>
        <n v="167.14"/>
        <n v="281.63"/>
        <n v="372.28"/>
        <n v="434.90999999999997"/>
        <n v="548.48"/>
        <n v="1028.96"/>
        <n v="838.65"/>
        <n v="582.02"/>
        <n v="273.36"/>
        <n v="78.0"/>
        <n v="473.82"/>
        <n v="1158.3500000000001"/>
        <n v="2127.95"/>
        <n v="208.35000000000002"/>
        <n v="251.36"/>
        <n v="445.81"/>
        <n v="334.94"/>
        <n v="1741.8"/>
        <n v="477.52"/>
        <n v="40.0"/>
        <n v="273.63"/>
        <n v="200.96"/>
        <n v="580.2"/>
        <n v="1178.52"/>
        <n v="1407.55"/>
        <n v="604.88"/>
        <n v="944.06"/>
        <n v="321.5"/>
        <n v="1473.56"/>
        <n v="381.40999999999997"/>
        <n v="373.06"/>
        <n v="882.06"/>
        <n v="435.45000000000005"/>
        <n v="416.72"/>
        <n v="94.49000000000001"/>
        <n v="1734.48"/>
        <n v="20.7"/>
        <n v="942.06"/>
        <n v="867.24"/>
        <n v="2161.1"/>
        <n v="1339.8600000000001"/>
        <n v="294.63"/>
        <n v="2166.5"/>
        <n v="370.36"/>
        <n v="236.18"/>
        <n v="372.54"/>
        <n v="322.40999999999997"/>
        <n v="145.35000000000002"/>
        <n v="1097.24"/>
        <n v="1677.12"/>
        <n v="89.45"/>
        <n v="277.5"/>
        <n v="708.6999999999999"/>
        <n v="793.06"/>
        <n v="299.06"/>
        <n v="876.4499999999999"/>
        <n v="627.26"/>
        <n v="883.53"/>
        <n v="660.22"/>
        <n v="305.94"/>
        <n v="174.18"/>
        <n v="574.35"/>
        <n v="584.35"/>
        <n v="172.62"/>
        <n v="593.88"/>
        <n v="1046.33"/>
        <n v="861.53"/>
        <n v="757.72"/>
        <n v="1164.09"/>
        <n v="792.24"/>
        <n v="44.5"/>
        <n v="205.64"/>
        <n v="108.1"/>
        <n v="433.41999999999996"/>
        <n v="538.92"/>
        <n v="438.62"/>
        <n v="1430.35"/>
        <n v="1929.1"/>
        <n v="1757.28"/>
        <n v="1265.1"/>
        <n v="644.3"/>
        <n v="422.62"/>
        <n v="187.35000000000002"/>
        <n v="611.3"/>
        <n v="1910.28"/>
        <n v="834.1999999999999"/>
        <n v="1374.43"/>
        <n v="1963.92"/>
        <n v="199.62"/>
        <n v="1327.77"/>
        <n v="2447.6"/>
        <n v="883.89"/>
        <n v="216.64"/>
        <n v="86.45"/>
        <n v="349.15"/>
        <n v="131.0"/>
        <n v="152.9"/>
        <n v="319.38"/>
        <n v="573.76"/>
        <n v="1489.77"/>
        <n v="1769.28"/>
        <n v="108.0"/>
        <n v="1070.6999999999998"/>
        <n v="597.2"/>
        <n v="630.56"/>
        <n v="128.14"/>
        <n v="915.18"/>
        <n v="231.45000000000002"/>
        <n v="235.63"/>
        <n v="125.0"/>
        <n v="225.45000000000002"/>
        <n v="110.42"/>
        <n v="315.28"/>
        <n v="895.18"/>
        <n v="503.07"/>
        <n v="290.63"/>
        <n v="141.18"/>
        <n v="1496.56"/>
        <n v="150.47"/>
        <n v="380.28"/>
        <n v="2241.1499999999996"/>
        <n v="1524.12"/>
        <n v="306.5"/>
        <n v="102.4"/>
        <n v="802.24"/>
        <n v="471.88"/>
        <n v="672.76"/>
        <n v="381.1"/>
        <n v="286.07"/>
        <n v="372.56"/>
        <n v="906.24"/>
        <n v="1251.0"/>
        <n v="369.11"/>
        <n v="950.62"/>
        <n v="203.64"/>
        <n v="304.06"/>
        <n v="1364.32"/>
        <n v="169.97"/>
        <n v="962.96"/>
        <n v="475.45000000000005"/>
        <n v="1961.65"/>
        <n v="1352.32"/>
        <n v="706.89"/>
        <n v="1538.48"/>
        <n v="1395.43"/>
        <n v="845.06"/>
        <n v="2543.95"/>
        <n v="173.5"/>
        <n v="312.1"/>
        <n v="393.36"/>
        <n v="366.36"/>
        <n v="442.20000000000005"/>
        <n v="531.88"/>
        <n v="1437.21"/>
        <n v="166.28"/>
        <n v="1964.08"/>
        <n v="2440.6"/>
        <n v="317.06"/>
        <n v="1269.0"/>
        <n v="494.88"/>
        <n v="443.41999999999996"/>
        <n v="75.7"/>
        <n v="226.26"/>
        <n v="551.48"/>
        <n v="994.64"/>
        <n v="188.35000000000002"/>
        <n v="464.88"/>
        <n v="2267.1499999999996"/>
        <n v="187.96"/>
        <n v="77.49000000000001"/>
        <n v="249.68"/>
        <n v="185.75"/>
        <n v="143.8"/>
        <n v="660.8100000000001"/>
        <n v="923.24"/>
        <n v="1362.55"/>
        <n v="178.0"/>
      </sharedItems>
    </cacheField>
    <cacheField name="Order_Day" numFmtId="0">
      <sharedItems>
        <s v="Thursday"/>
        <s v="Wednesday"/>
        <s v="Tuesday"/>
        <s v="Sunday"/>
        <s v="Monday"/>
        <s v="Friday"/>
        <s v="Saturday"/>
      </sharedItems>
    </cacheField>
    <cacheField name="Is_Weekend" numFmtId="0">
      <sharedItems>
        <s v="Weekday"/>
        <s v="Weekend"/>
      </sharedItems>
    </cacheField>
    <cacheField name="User_Name" numFmtId="0">
      <sharedItems>
        <s v="anne.oconnell"/>
        <s v="anthony.thomas"/>
        <s v="karl.gallagher"/>
        <s v="angela.horne"/>
        <s v="christine.west"/>
        <s v="david.delacruz"/>
        <s v="marcus.valenzuela"/>
        <s v="debra.rodriguez"/>
        <s v="bobby.forbes"/>
        <s v="joseph.stewart"/>
        <s v="kara.brennan"/>
        <s v="amy.reid"/>
        <s v="joshua.campbell"/>
        <s v="erin.miller"/>
        <s v="gina.moreno"/>
        <s v="mallory.mitchell"/>
        <s v="traci.jones"/>
        <s v="deborah.bates"/>
        <s v="christian.clayton"/>
        <s v="mark.henderson"/>
        <s v="john.herrera"/>
        <s v="angela.evans"/>
        <s v="ashley.rose"/>
        <s v="taylor.davis"/>
        <s v="lauren.long"/>
        <s v="teresa.harvey"/>
        <s v="heather.schneider"/>
        <s v="valerie.carr"/>
        <s v="jenny.estrada"/>
        <s v="courtney.parker"/>
        <s v="julie.meyer"/>
        <s v="donna.oneill"/>
        <s v="robert.castillo"/>
        <s v="timothy.hicks"/>
        <s v="thomas.andersen"/>
        <s v="aaron.thompson"/>
        <s v="jason.lopez"/>
        <s v="alexandra.smith"/>
        <s v="john.ramirez"/>
        <s v="amanda.howard"/>
        <s v="mary.knight"/>
        <s v="marcus.rogers"/>
        <s v="brian.kennedy"/>
        <s v="rebecca.figueroa"/>
        <s v="lori.cook"/>
        <s v="debra.hayes"/>
        <s v="brittany.stewart"/>
        <s v="mitchell.parker"/>
        <s v="sharon.thompson"/>
        <s v="sarah.butler"/>
        <s v="katherine.weber"/>
        <s v="jason.nguyen"/>
        <s v="brandon.cruz"/>
        <s v="jodi.whitney"/>
        <s v="ashley.romero"/>
        <s v="william.mann"/>
        <s v="kelli.smith"/>
        <s v="joseph.gaines"/>
        <s v="amy.ellis"/>
        <s v="beth.mason"/>
        <s v="christy.chang"/>
        <s v="troy.gomez"/>
        <s v="kim.blevins"/>
        <s v="gregory.lee"/>
        <s v="bruce.allen"/>
        <s v="lisa.miller"/>
        <s v="melissa.levy"/>
        <s v="barbara.fuller"/>
        <s v="kristina.haynes"/>
        <s v="lindsey.byrd"/>
        <s v="edward.black"/>
        <s v="james.brown"/>
        <s v="leslie.montgomery"/>
        <s v="susan.thompson"/>
        <s v="amy.griffin"/>
        <s v="rachael.robinson"/>
        <s v="natasha.michael"/>
        <s v="christine.aguilar"/>
        <s v="mark.summers"/>
        <s v="gary.huff"/>
        <s v="mike.carter"/>
        <s v="thomas.owens"/>
        <s v="brendan.kelly"/>
        <s v="jessica.ruiz"/>
        <s v="hannah.gutierrez"/>
        <s v="angela.casey"/>
        <s v="megan.hunt"/>
        <s v="jared.horn"/>
        <s v="veronica.lopez"/>
        <s v="sarah.benson"/>
        <s v="lauren.lane"/>
        <s v="william.richmond"/>
        <s v="lauren.crane"/>
        <s v="katie.hicks"/>
        <s v="regina.hawkins"/>
        <s v="rachel.lopez"/>
        <s v="scott.jones"/>
        <s v="gary.jacobs"/>
        <s v="janice.gordon"/>
        <s v="diana.french"/>
      </sharedItems>
    </cacheField>
    <cacheField name="Domain" numFmtId="0">
      <sharedItems>
        <s v="outlook"/>
        <s v="rediffmail"/>
        <s v="gmail"/>
        <s v="yahoo"/>
      </sharedItems>
    </cacheField>
    <cacheField name="Full_Name" numFmtId="0">
      <sharedItems>
        <s v="Anne Oconnell"/>
        <s v="Anthony Thomas"/>
        <s v="Karl Gallagher"/>
        <s v="Angela Horne"/>
        <s v="Christine West"/>
        <s v="David Delacruz"/>
        <s v="Marcus Valenzuela"/>
        <s v="Debra Rodriguez"/>
        <s v="Bobby Forbes"/>
        <s v="Joseph Stewart"/>
        <s v="Kara Brennan"/>
        <s v="Amy Reid"/>
        <s v="Joshua Campbell"/>
        <s v="Erin Miller"/>
        <s v="Gina Moreno"/>
        <s v="Mallory Mitchell"/>
        <s v="Traci Jones"/>
        <s v="Deborah Bates"/>
        <s v="Christian Clayton"/>
        <s v="Mark Henderson"/>
        <s v="John Herrera"/>
        <s v="Angela Evans"/>
        <s v="Ashley Rose"/>
        <s v="Taylor Davis"/>
        <s v="Lauren Long"/>
        <s v="Teresa Harvey"/>
        <s v="Heather Schneider"/>
        <s v="Valerie Carr"/>
        <s v="Jenny Estrada"/>
        <s v="Courtney Parker"/>
        <s v="Julie Meyer"/>
        <s v="Donna Oneill"/>
        <s v="Robert Castillo"/>
        <s v="Timothy Hicks"/>
        <s v="Thomas Andersen"/>
        <s v="Aaron Thompson"/>
        <s v="Jason Lopez"/>
        <s v="Alexandra Smith"/>
        <s v="John Ramirez"/>
        <s v="Amanda Howard"/>
        <s v="Mary Knight"/>
        <s v="Marcus Rogers"/>
        <s v="Brian Kennedy"/>
        <s v="Rebecca Figueroa"/>
        <s v="Lori Cook"/>
        <s v="Debra Hayes"/>
        <s v="Brittany Stewart"/>
        <s v="Mitchell Parker"/>
        <s v="Sharon Thompson"/>
        <s v="Sarah Butler"/>
        <s v="Katherine Weber"/>
        <s v="Jason Nguyen"/>
        <s v="Brandon Cruz"/>
        <s v="Jodi Whitney"/>
        <s v="Ashley Romero"/>
        <s v="William Mann"/>
        <s v="Kelli Smith"/>
        <s v="Joseph Gaines"/>
        <s v="Amy Ellis"/>
        <s v="Beth Mason"/>
        <s v="Christy Chang"/>
        <s v="Troy Gomez"/>
        <s v="Kim Blevins"/>
        <s v="Gregory Lee"/>
        <s v="Bruce Allen"/>
        <s v="Lisa Miller"/>
        <s v="Melissa Levy"/>
        <s v="Barbara Fuller"/>
        <s v="Kristina Haynes"/>
        <s v="Lindsey Byrd"/>
        <s v="Edward Black"/>
        <s v="James Brown"/>
        <s v="Leslie Montgomery"/>
        <s v="Susan Thompson"/>
        <s v="Amy Griffin"/>
        <s v="Rachael Robinson"/>
        <s v="Natasha Michael"/>
        <s v="Christine Aguilar"/>
        <s v="Mark Summers"/>
        <s v="Gary Huff"/>
        <s v="Mike Carter"/>
        <s v="Thomas Owens"/>
        <s v="Brendan Kelly"/>
        <s v="Jessica Ruiz"/>
        <s v="Hannah Gutierrez"/>
        <s v="Angela Casey"/>
        <s v="Megan Hunt"/>
        <s v="Jared Horn"/>
        <s v="Veronica Lopez"/>
        <s v="Sarah Benson"/>
        <s v="Lauren Lane"/>
        <s v="William Richmond"/>
        <s v="Lauren Crane"/>
        <s v="Katie Hicks"/>
        <s v="Regina Hawkins"/>
        <s v="Rachel Lopez"/>
        <s v="Scott Jones"/>
        <s v="Gary Jacobs"/>
        <s v="Janice Gordon"/>
        <s v="Diana French"/>
      </sharedItems>
    </cacheField>
    <cacheField name="Fname" numFmtId="0">
      <sharedItems>
        <s v="Anne"/>
        <s v="Anthony"/>
        <s v="Karl"/>
        <s v="Angela"/>
        <s v="Christine"/>
        <s v="David"/>
        <s v="Marcus"/>
        <s v="Debra"/>
        <s v="Bobby"/>
        <s v="Joseph"/>
        <s v="Kara"/>
        <s v="Amy"/>
        <s v="Joshua"/>
        <s v="Erin"/>
        <s v="Gina"/>
        <s v="Mallory"/>
        <s v="Traci"/>
        <s v="Deborah"/>
        <s v="Christian"/>
        <s v="Mark"/>
        <s v="John"/>
        <s v="Ashley"/>
        <s v="Taylor"/>
        <s v="Lauren"/>
        <s v="Teresa"/>
        <s v="Heather"/>
        <s v="Valerie"/>
        <s v="Jenny"/>
        <s v="Courtney"/>
        <s v="Julie"/>
        <s v="Donna"/>
        <s v="Robert"/>
        <s v="Timothy"/>
        <s v="Thomas"/>
        <s v="Aaron"/>
        <s v="Jason"/>
        <s v="Alexandra"/>
        <s v="Amanda"/>
        <s v="Mary"/>
        <s v="Brian"/>
        <s v="Rebecca"/>
        <s v="Lori"/>
        <s v="Brittany"/>
        <s v="Mitchell"/>
        <s v="Sharon"/>
        <s v="Sarah"/>
        <s v="Katherine"/>
        <s v="Brandon"/>
        <s v="Jodi"/>
        <s v="William"/>
        <s v="Kelli"/>
        <s v="Beth"/>
        <s v="Christy"/>
        <s v="Troy"/>
        <s v="Kim"/>
        <s v="Gregory"/>
        <s v="Bruce"/>
        <s v="Lisa"/>
        <s v="Melissa"/>
        <s v="Barbara"/>
        <s v="Kristina"/>
        <s v="Lindsey"/>
        <s v="Edward"/>
        <s v="James"/>
        <s v="Leslie"/>
        <s v="Susan"/>
        <s v="Rachael"/>
        <s v="Natasha"/>
        <s v="Gary"/>
        <s v="Mike"/>
        <s v="Brendan"/>
        <s v="Jessica"/>
        <s v="Hannah"/>
        <s v="Megan"/>
        <s v="Jared"/>
        <s v="Veronica"/>
        <s v="Katie"/>
        <s v="Regina"/>
        <s v="Rachel"/>
        <s v="Scott"/>
        <s v="Janice"/>
        <s v="Diana"/>
      </sharedItems>
    </cacheField>
    <cacheField name="Lname" numFmtId="0">
      <sharedItems>
        <s v="Oconnell"/>
        <s v="Thomas"/>
        <s v="Gallagher"/>
        <s v="Horne"/>
        <s v="West"/>
        <s v="Delacruz"/>
        <s v="Valenzuela"/>
        <s v="Rodriguez"/>
        <s v="Forbes"/>
        <s v="Stewart"/>
        <s v="Brennan"/>
        <s v="Reid"/>
        <s v="Campbell"/>
        <s v="Miller"/>
        <s v="Moreno"/>
        <s v="Mitchell"/>
        <s v="Jones"/>
        <s v="Bates"/>
        <s v="Clayton"/>
        <s v="Henderson"/>
        <s v="Herrera"/>
        <s v="Evans"/>
        <s v="Rose"/>
        <s v="Davis"/>
        <s v="Long"/>
        <s v="Harvey"/>
        <s v="Schneider"/>
        <s v="Carr"/>
        <s v="Estrada"/>
        <s v="Parker"/>
        <s v="Meyer"/>
        <s v="Oneill"/>
        <s v="Castillo"/>
        <s v="Hicks"/>
        <s v="Andersen"/>
        <s v="Thompson"/>
        <s v="Lopez"/>
        <s v="Smith"/>
        <s v="Ramirez"/>
        <s v="Howard"/>
        <s v="Knight"/>
        <s v="Rogers"/>
        <s v="Kennedy"/>
        <s v="Figueroa"/>
        <s v="Cook"/>
        <s v="Hayes"/>
        <s v="Butler"/>
        <s v="Weber"/>
        <s v="Nguyen"/>
        <s v="Cruz"/>
        <s v="Whitney"/>
        <s v="Romero"/>
        <s v="Mann"/>
        <s v="Gaines"/>
        <s v="Ellis"/>
        <s v="Mason"/>
        <s v="Chang"/>
        <s v="Gomez"/>
        <s v="Blevins"/>
        <s v="Lee"/>
        <s v="Allen"/>
        <s v="Levy"/>
        <s v="Fuller"/>
        <s v="Haynes"/>
        <s v="Byrd"/>
        <s v="Black"/>
        <s v="Brown"/>
        <s v="Montgomery"/>
        <s v="Griffin"/>
        <s v="Robinson"/>
        <s v="Michael"/>
        <s v="Aguilar"/>
        <s v="Summers"/>
        <s v="Huff"/>
        <s v="Carter"/>
        <s v="Owens"/>
        <s v="Kelly"/>
        <s v="Ruiz"/>
        <s v="Gutierrez"/>
        <s v="Casey"/>
        <s v="Hunt"/>
        <s v="Horn"/>
        <s v="Benson"/>
        <s v="Lane"/>
        <s v="Richmond"/>
        <s v="Crane"/>
        <s v="Hawkins"/>
        <s v="Jacobs"/>
        <s v="Gordon"/>
        <s v="French"/>
      </sharedItems>
    </cacheField>
    <cacheField name="Delivery_Status" numFmtId="0">
      <sharedItems>
        <s v="Before Time"/>
        <s v="Late"/>
        <s v="InTime"/>
      </sharedItems>
    </cacheField>
    <cacheField name="Mobile_Num" numFmtId="0">
      <sharedItems>
        <e v="#NAME?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J501" sheet="Solutions"/>
  </cacheSource>
  <cacheFields>
    <cacheField name="Customer_ID" numFmtId="0">
      <sharedItems>
        <s v="CID186"/>
        <s v="CID150"/>
        <s v="CID115"/>
        <s v="CID149"/>
        <s v="CID159"/>
        <s v="CID198"/>
        <s v="CID152"/>
        <s v="CID130"/>
        <s v="CID101"/>
        <s v="CID105"/>
        <s v="CID172"/>
        <s v="CID178"/>
        <s v="CID176"/>
        <s v="CID148"/>
        <s v="CID137"/>
        <s v="CID147"/>
        <s v="CID128"/>
        <s v="CID168"/>
        <s v="CID179"/>
        <s v="CID163"/>
        <s v="CID182"/>
        <s v="CID158"/>
        <s v="CID193"/>
        <s v="CID166"/>
        <s v="CID191"/>
        <s v="CID108"/>
        <s v="CID161"/>
        <s v="CID190"/>
        <s v="CID120"/>
        <s v="CID155"/>
        <s v="CID121"/>
        <s v="CID133"/>
        <s v="CID169"/>
        <s v="CID132"/>
        <s v="CID180"/>
        <s v="CID184"/>
        <s v="CID187"/>
        <s v="CID181"/>
        <s v="CID116"/>
        <s v="CID135"/>
        <s v="CID165"/>
        <s v="CID126"/>
        <s v="CID111"/>
        <s v="CID129"/>
        <s v="CID199"/>
        <s v="CID134"/>
        <s v="CID136"/>
        <s v="CID153"/>
        <s v="CID100"/>
        <s v="CID195"/>
        <s v="CID175"/>
        <s v="CID103"/>
        <s v="CID192"/>
        <s v="CID174"/>
        <s v="CID145"/>
        <s v="CID144"/>
        <s v="CID125"/>
        <s v="CID139"/>
        <s v="CID118"/>
        <s v="CID140"/>
        <s v="CID123"/>
        <s v="CID183"/>
        <s v="CID143"/>
        <s v="CID156"/>
        <s v="CID170"/>
        <s v="CID107"/>
        <s v="CID185"/>
        <s v="CID194"/>
        <s v="CID188"/>
        <s v="CID112"/>
        <s v="CID124"/>
        <s v="CID160"/>
        <s v="CID171"/>
        <s v="CID173"/>
        <s v="CID119"/>
        <s v="CID109"/>
        <s v="CID127"/>
        <s v="CID189"/>
        <s v="CID162"/>
        <s v="CID104"/>
        <s v="CID138"/>
        <s v="CID142"/>
        <s v="CID113"/>
        <s v="CID102"/>
        <s v="CID117"/>
        <s v="CID154"/>
        <s v="CID141"/>
        <s v="CID122"/>
        <s v="CID131"/>
        <s v="CID157"/>
        <s v="CID164"/>
        <s v="CID151"/>
        <s v="CID114"/>
        <s v="CID110"/>
        <s v="CID196"/>
        <s v="CID177"/>
        <s v="CID106"/>
        <s v="CID197"/>
        <s v="CID146"/>
        <s v="CID167"/>
      </sharedItems>
    </cacheField>
    <cacheField name="First_Name" numFmtId="0">
      <sharedItems>
        <s v="Anne"/>
        <s v="Anthony"/>
        <s v="Karl"/>
        <s v="Angela"/>
        <s v="Christine"/>
        <s v="David"/>
        <s v="Marcus"/>
        <s v="Debra"/>
        <s v="Bobby"/>
        <s v="Joseph"/>
        <s v="Kara"/>
        <s v="Amy"/>
        <s v="Joshua"/>
        <s v="Erin"/>
        <s v="Gina"/>
        <s v="Mallory"/>
        <s v="Traci"/>
        <s v="Deborah"/>
        <s v="Christian"/>
        <s v="Mark"/>
        <s v="John"/>
        <s v="Ashley"/>
        <s v="Taylor"/>
        <s v="Lauren"/>
        <s v="Teresa"/>
        <s v="Heather"/>
        <s v="Valerie"/>
        <s v="Jenny"/>
        <s v="Courtney"/>
        <s v="Julie"/>
        <s v="Donna"/>
        <s v="Robert"/>
        <s v="Timothy"/>
        <s v="Thomas"/>
        <s v="Aaron"/>
        <s v="Jason"/>
        <s v="Alexandra"/>
        <s v="Amanda"/>
        <s v="Mary"/>
        <s v="Brian"/>
        <s v="Rebecca"/>
        <s v="Lori"/>
        <s v="Brittany"/>
        <s v="Mitchell"/>
        <s v="Sharon"/>
        <s v="Sarah"/>
        <s v="Katherine"/>
        <s v="Brandon"/>
        <s v="Jodi"/>
        <s v="William"/>
        <s v="Kelli"/>
        <s v="Beth"/>
        <s v="Christy"/>
        <s v="Troy"/>
        <s v="Kim"/>
        <s v="Gregory"/>
        <s v="Bruce"/>
        <s v="Lisa"/>
        <s v="Melissa"/>
        <s v="Barbara"/>
        <s v="Kristina"/>
        <s v="Lindsey"/>
        <s v="Edward"/>
        <s v="James"/>
        <s v="Leslie"/>
        <s v="Susan"/>
        <s v="Rachael"/>
        <s v="Natasha"/>
        <s v="Gary"/>
        <s v="Mike"/>
        <s v="Brendan"/>
        <s v="Jessica"/>
        <s v="Hannah"/>
        <s v="Megan"/>
        <s v="Jared"/>
        <s v="Veronica"/>
        <s v="Katie"/>
        <s v="Regina"/>
        <s v="Rachel"/>
        <s v="Scott"/>
        <s v="Janice"/>
        <s v="Diana"/>
      </sharedItems>
    </cacheField>
    <cacheField name="Last_Name" numFmtId="0">
      <sharedItems>
        <s v="Oconnell"/>
        <s v="Thomas"/>
        <s v="Gallagher"/>
        <s v="Horne"/>
        <s v="West"/>
        <s v="Delacruz"/>
        <s v="Valenzuela"/>
        <s v="Rodriguez"/>
        <s v="Forbes"/>
        <s v="Stewart"/>
        <s v="Brennan"/>
        <s v="Reid"/>
        <s v="Campbell"/>
        <s v="Miller"/>
        <s v="Moreno"/>
        <s v="Mitchell"/>
        <s v="Jones"/>
        <s v="Bates"/>
        <s v="Clayton"/>
        <s v="Henderson"/>
        <s v="Herrera"/>
        <s v="Evans"/>
        <s v="Rose"/>
        <s v="Davis"/>
        <s v="Long"/>
        <s v="Harvey"/>
        <s v="Schneider"/>
        <s v="Carr"/>
        <s v="Estrada"/>
        <s v="Parker"/>
        <s v="Meyer"/>
        <s v="Oneill"/>
        <s v="Castillo"/>
        <s v="Hicks"/>
        <s v="Andersen"/>
        <s v="Thompson"/>
        <s v="Lopez"/>
        <s v="Smith"/>
        <s v="Ramirez"/>
        <s v="Howard"/>
        <s v="Knight"/>
        <s v="Rogers"/>
        <s v="Kennedy"/>
        <s v="Figueroa"/>
        <s v="Cook"/>
        <s v="Hayes"/>
        <s v="Butler"/>
        <s v="Weber"/>
        <s v="Nguyen"/>
        <s v="Cruz"/>
        <s v="Whitney"/>
        <s v="Romero"/>
        <s v="Mann"/>
        <s v="Gaines"/>
        <s v="Ellis"/>
        <s v="Mason"/>
        <s v="Chang"/>
        <s v="Gomez"/>
        <s v="Blevins"/>
        <s v="Lee"/>
        <s v="Allen"/>
        <s v="Levy"/>
        <s v="Fuller"/>
        <s v="Haynes"/>
        <s v="Byrd"/>
        <s v="Black"/>
        <s v="Brown"/>
        <s v="Montgomery"/>
        <s v="Griffin"/>
        <s v="Robinson"/>
        <s v="Michael"/>
        <s v="Aguilar"/>
        <s v="Summers"/>
        <s v="Huff"/>
        <s v="Carter"/>
        <s v="Owens"/>
        <s v="Kelly"/>
        <s v="Ruiz"/>
        <s v="Gutierrez"/>
        <s v="Casey"/>
        <s v="Hunt"/>
        <s v="Horn"/>
        <s v="Benson"/>
        <s v="Lane"/>
        <s v="Richmond"/>
        <s v="Crane"/>
        <s v="Hawkins"/>
        <s v="Jacobs"/>
        <s v="Gordon"/>
        <s v="French"/>
      </sharedItems>
    </cacheField>
    <cacheField name="Age" numFmtId="0">
      <sharedItems containsSemiMixedTypes="0" containsString="0" containsNumber="1" containsInteger="1">
        <n v="37.0"/>
        <n v="53.0"/>
        <n v="60.0"/>
        <n v="49.0"/>
        <n v="26.0"/>
        <n v="39.0"/>
        <n v="48.0"/>
        <n v="20.0"/>
        <n v="30.0"/>
        <n v="25.0"/>
        <n v="44.0"/>
        <n v="24.0"/>
        <n v="46.0"/>
        <n v="36.0"/>
        <n v="42.0"/>
        <n v="34.0"/>
        <n v="23.0"/>
        <n v="33.0"/>
        <n v="64.0"/>
        <n v="52.0"/>
        <n v="54.0"/>
        <n v="45.0"/>
        <n v="29.0"/>
        <n v="70.0"/>
        <n v="32.0"/>
        <n v="31.0"/>
        <n v="50.0"/>
        <n v="47.0"/>
        <n v="40.0"/>
        <n v="28.0"/>
        <n v="69.0"/>
        <n v="63.0"/>
        <n v="18.0"/>
        <n v="68.0"/>
        <n v="57.0"/>
        <n v="51.0"/>
        <n v="35.0"/>
        <n v="21.0"/>
        <n v="38.0"/>
        <n v="65.0"/>
        <n v="43.0"/>
        <n v="27.0"/>
        <n v="55.0"/>
        <n v="59.0"/>
        <n v="19.0"/>
        <n v="62.0"/>
      </sharedItems>
    </cacheField>
    <cacheField name="Gender" numFmtId="0">
      <sharedItems>
        <s v="Male"/>
        <s v="Female"/>
        <s v="Other"/>
      </sharedItems>
    </cacheField>
    <cacheField name="City" numFmtId="0">
      <sharedItems>
        <s v="Phoenix"/>
        <s v="Houston"/>
        <s v="New York"/>
        <s v="Los Angeles"/>
        <s v="Miami"/>
        <s v="Chicago"/>
        <s v="San Francisco"/>
        <s v="Dallas"/>
      </sharedItems>
    </cacheField>
    <cacheField name="Email" numFmtId="0">
      <sharedItems>
        <s v="anne.oconnell@outlook.com"/>
        <s v="anthony.thomas@rediffmail.com"/>
        <s v="karl.gallagher@rediffmail.com"/>
        <s v="angela.horne@outlook.com"/>
        <s v="christine.west@gmail.com"/>
        <s v="david.delacruz@rediffmail.com"/>
        <s v="marcus.valenzuela@yahoo.com"/>
        <s v="debra.rodriguez@rediffmail.com"/>
        <s v="bobby.forbes@gmail.com"/>
        <s v="joseph.stewart@yahoo.com"/>
        <s v="kara.brennan@outlook.com"/>
        <s v="amy.reid@rediffmail.com"/>
        <s v="joshua.campbell@gmail.com"/>
        <s v="erin.miller@gmail.com"/>
        <s v="gina.moreno@rediffmail.com"/>
        <s v="mallory.mitchell@yahoo.com"/>
        <s v="traci.jones@yahoo.com"/>
        <s v="deborah.bates@yahoo.com"/>
        <s v="christian.clayton@yahoo.com"/>
        <s v="mark.henderson@yahoo.com"/>
        <s v="john.herrera@outlook.com"/>
        <s v="angela.evans@outlook.com"/>
        <s v="ashley.rose@gmail.com"/>
        <s v="taylor.davis@yahoo.com"/>
        <s v="lauren.long@gmail.com"/>
        <s v="teresa.harvey@gmail.com"/>
        <s v="heather.schneider@outlook.com"/>
        <s v="valerie.carr@rediffmail.com"/>
        <s v="jenny.estrada@yahoo.com"/>
        <s v="courtney.parker@yahoo.com"/>
        <s v="julie.meyer@yahoo.com"/>
        <s v="donna.oneill@yahoo.com"/>
        <s v="robert.castillo@gmail.com"/>
        <s v="timothy.hicks@gmail.com"/>
        <s v="thomas.andersen@yahoo.com"/>
        <s v="aaron.thompson@gmail.com"/>
        <s v="jason.lopez@outlook.com"/>
        <s v="alexandra.smith@rediffmail.com"/>
        <s v="john.ramirez@outlook.com"/>
        <s v="amanda.howard@outlook.com"/>
        <s v="mary.knight@yahoo.com"/>
        <s v="marcus.rogers@outlook.com"/>
        <s v="brian.kennedy@outlook.com"/>
        <s v="rebecca.figueroa@outlook.com"/>
        <s v="lori.cook@rediffmail.com"/>
        <s v="debra.hayes@yahoo.com"/>
        <s v="brittany.stewart@gmail.com"/>
        <s v="mitchell.parker@yahoo.com"/>
        <s v="sharon.thompson@yahoo.com"/>
        <s v="sarah.butler@rediffmail.com"/>
        <s v="katherine.weber@outlook.com"/>
        <s v="jason.nguyen@yahoo.com"/>
        <s v="brandon.cruz@gmail.com"/>
        <s v="jodi.whitney@yahoo.com"/>
        <s v="ashley.romero@yahoo.com"/>
        <s v="william.mann@yahoo.com"/>
        <s v="kelli.smith@rediffmail.com"/>
        <s v="joseph.gaines@outlook.com"/>
        <s v="amy.ellis@gmail.com"/>
        <s v="beth.mason@outlook.com"/>
        <s v="christy.chang@outlook.com"/>
        <s v="troy.gomez@outlook.com"/>
        <s v="kim.blevins@outlook.com"/>
        <s v="gregory.lee@rediffmail.com"/>
        <s v="bruce.allen@rediffmail.com"/>
        <s v="lisa.miller@gmail.com"/>
        <s v="melissa.levy@rediffmail.com"/>
        <s v="barbara.fuller@rediffmail.com"/>
        <s v="kristina.haynes@yahoo.com"/>
        <s v="lindsey.byrd@rediffmail.com"/>
        <s v="edward.black@gmail.com"/>
        <s v="james.brown@yahoo.com"/>
        <s v="leslie.montgomery@gmail.com"/>
        <s v="susan.thompson@outlook.com"/>
        <s v="amy.griffin@rediffmail.com"/>
        <s v="rachael.robinson@rediffmail.com"/>
        <s v="natasha.michael@gmail.com"/>
        <s v="christine.aguilar@gmail.com"/>
        <s v="mark.summers@outlook.com"/>
        <s v="gary.huff@gmail.com"/>
        <s v="mike.carter@rediffmail.com"/>
        <s v="thomas.owens@outlook.com"/>
        <s v="brendan.kelly@rediffmail.com"/>
        <s v="jessica.ruiz@rediffmail.com"/>
        <s v="hannah.gutierrez@yahoo.com"/>
        <s v="angela.casey@gmail.com"/>
        <s v="megan.hunt@rediffmail.com"/>
        <s v="jared.horn@outlook.com"/>
        <s v="veronica.lopez@gmail.com"/>
        <s v="sarah.benson@outlook.com"/>
        <s v="lauren.lane@gmail.com"/>
        <s v="william.richmond@outlook.com"/>
        <s v="lauren.crane@yahoo.com"/>
        <s v="katie.hicks@rediffmail.com"/>
        <s v="regina.hawkins@rediffmail.com"/>
        <s v="rachel.lopez@outlook.com"/>
        <s v="scott.jones@yahoo.com"/>
        <s v="gary.jacobs@gmail.com"/>
        <s v="janice.gordon@yahoo.com"/>
        <s v="diana.french@outlook.com"/>
      </sharedItems>
    </cacheField>
    <cacheField name="Contact" numFmtId="0">
      <sharedItems>
        <s v="+1-1907565656"/>
        <s v="+1-1365605012"/>
        <s v="+1-2802179041"/>
        <s v="+1-3002859425"/>
        <s v="+1-9124531645"/>
        <s v="+1-7905460592"/>
        <s v="+1-3107089317"/>
        <s v="+1-3285345844"/>
        <s v="+1-2319684657"/>
        <s v="+1-5905919798"/>
        <s v="+1-9963860522"/>
        <s v="+1-5606891385"/>
        <s v="+1-6714373636"/>
        <s v="+1-8198368752"/>
        <s v="+1-8489851865"/>
        <s v="+1-5568786605"/>
        <s v="+1-6252923866"/>
        <s v="+1-4578999201"/>
        <s v="+1-1658053570"/>
        <s v="+1-4479326362"/>
        <s v="+1-1246272495"/>
        <s v="+1-5064601873"/>
        <s v="+1-1469233281"/>
        <s v="+1-7655568476"/>
        <s v="+1-9776413933"/>
        <s v="+1-8519428947"/>
        <s v="+1-3888567280"/>
        <s v="+1-9821167404"/>
        <s v="+1-7008964043"/>
        <s v="+1-1038695332"/>
        <s v="+1-7107895267"/>
        <s v="+1-2526461514"/>
        <s v="+1-4487383562"/>
        <s v="+1-9917480357"/>
        <s v="+1-6141690387"/>
        <s v="+1-5303083048"/>
        <s v="+1-8704573867"/>
        <s v="+1-2117150366"/>
        <s v="+1-6998200211"/>
        <s v="+1-8764365941"/>
        <s v="+1-7022495342"/>
        <s v="+1-5404481937"/>
        <s v="+1-9196003695"/>
        <s v="+1-2777942517"/>
        <s v="+1-2067928085"/>
        <s v="+1-7005863307"/>
        <s v="+1-2572134812"/>
        <s v="+1-3050841099"/>
        <s v="+1-3616584899"/>
        <s v="+1-2200374051"/>
        <s v="+1-5768125472"/>
        <s v="+1-1616387654"/>
        <s v="+1-1986732848"/>
        <s v="+1-2980921203"/>
        <s v="+1-2983785246"/>
        <s v="+1-2967363272"/>
        <s v="+1-2752645856"/>
        <s v="+1-4550884506"/>
        <s v="+1-3315856459"/>
        <s v="+1-2600607313"/>
        <s v="+1-1286744838"/>
        <s v="+1-7115252196"/>
        <s v="+1-3033704901"/>
        <s v="+1-9262665568"/>
        <s v="+1-7183764787"/>
        <s v="+1-5986536783"/>
        <s v="+1-2819338490"/>
        <s v="+1-4979763480"/>
        <s v="+1-7319729780"/>
        <s v="+1-5206547982"/>
        <s v="+1-1790366660"/>
        <s v="+1-8387920274"/>
        <s v="+1-6457583969"/>
        <s v="+1-9580212304"/>
        <s v="+1-6447192638"/>
        <s v="+1-8227219371"/>
        <s v="+1-9437992706"/>
        <s v="+1-6925604471"/>
        <s v="+1-8150421336"/>
        <s v="+1-3399780631"/>
        <s v="+1-3474873299"/>
        <s v="+1-6874958767"/>
        <s v="+1-8650119639"/>
        <s v="+1-3794080609"/>
        <s v="+1-9861161831"/>
        <s v="+1-6915583410"/>
        <s v="+1-2418130991"/>
        <s v="+1-9913869822"/>
        <s v="+1-9296010082"/>
        <s v="+1-2795865294"/>
        <s v="+1-9146404053"/>
        <s v="+1-5823971509"/>
        <s v="+1-6463820710"/>
        <s v="+1-5678668617"/>
        <s v="+1-6151618322"/>
        <s v="+1-5390841769"/>
        <s v="+1-6478016791"/>
        <s v="+1-5557057825"/>
        <s v="+1-9718011628"/>
        <s v="+1-8786631337"/>
      </sharedItems>
    </cacheField>
    <cacheField name="Address" numFmtId="0">
      <sharedItems>
        <s v="2850 Matthew Ford, North Yolandachester, FL 67488"/>
        <s v="931 Christopher Ways Suite 833, North Michelle, IN 53484"/>
        <s v="5016 Snow Mountains Apt. 063, New Seanport, WY 41492"/>
        <s v="USNV Mueller, FPO AP 54648"/>
        <s v="Unit 1433 Box 0246, DPO AP 94952"/>
        <s v="USNS Ray, FPO AE 20238"/>
        <s v="694 Graham Prairie Apt. 887, Jimenezfurt, MI 33044"/>
        <s v="Unit 5964 Box 0721, DPO AP 01840"/>
        <s v="3079 John Parkway Suite 961, Port Kristaview, MT 91019"/>
        <s v="4082 Wang Terrace Suite 040, Victorialand, ME 41532"/>
        <s v="2174 Thomas Avenue, Maciasborough, NJ 41465"/>
        <s v="6262 Simpson Village, North Danielle, RI 76074"/>
        <s v="70426 Lindsey Overpass Apt. 030, Jessicafurt, AR 46269"/>
        <s v="65972 Peterson Route, Port Andrewfurt, SD 32892"/>
        <s v="USS Murray, FPO AP 66559"/>
        <s v="710 Anthony Wall Suite 137, East Davidstad, NV 61494"/>
        <s v="4016 Ryan Passage, Collinsside, PA 88777"/>
        <s v="278 Kathy Estate, Saraville, OH 77292"/>
        <s v="065 Madison Way, Smithstad, CT 68011"/>
        <s v="90155 Hines Spring, North Theresafurt, ME 31920"/>
        <s v="61263 Jacob Isle, Amandatown, TN 34321"/>
        <s v="16031 David Mountain Suite 431, Susanborough, PA 01910"/>
        <s v="424 Nichols Curve Suite 177, Lake Brianview, TX 17289"/>
        <s v="USCGC Simmons, FPO AA 60167"/>
        <s v="258 Michael Brooks Suite 363, Arnoldview, PA 49438"/>
        <s v="02669 Kirk Squares, Davisville, VA 51272"/>
        <s v="57940 Susan Creek Apt. 541, Port Aliciamouth, OR 90221"/>
        <s v="981 Emily Stream, South Brianna, CO 98063"/>
        <s v="792 Carlos Islands, West David, CT 16522"/>
        <s v="087 Jacqueline Rue Apt. 694, East Tasha, SC 04859"/>
        <s v="17381 Smith Ramp Suite 398, Courtneyville, AL 17756"/>
        <s v="464 Carolyn Crest Suite 738, Lake Isaiah, CA 66153"/>
        <s v="7143 Brandon Skyway Suite 899, Tylerton, IA 21756"/>
        <s v="140 Tracy Fields, Lake Cynthiaton, TX 57190"/>
        <s v="480 Summers Lock Suite 819, Sarahborough, IA 59863"/>
        <s v="PSC 0550, Box 2737, APO AE 75772"/>
        <s v="934 Levine View, Brentport, NE 38210"/>
        <s v="48611 Clark Village, West Anne, GA 92865"/>
        <s v="02797 Martin Landing, South Michelle, VT 98781"/>
        <s v="56908 Sydney Park Suite 632, West Anthonyport, NC 15954"/>
        <s v="907 Kimberly Hill, Murrayfort, NH 88384"/>
        <s v="06912 Brown Pine Apt. 763, Teresamouth, HI 24377"/>
        <s v="25126 Nancy Fort Suite 568, Alexandrachester, AZ 44823"/>
        <s v="3959 Bell Dale, North Jacob, LA 07934"/>
        <s v="86837 Bell Meadows, North Jasonshire, UT 51354"/>
        <s v="4601 Miller Lock, Williamsbury, IA 10943"/>
        <s v="6250 David Loaf Suite 561, North Pamelaberg, WV 63652"/>
        <s v="PSC 3316, Box 9303, APO AE 29513"/>
        <s v="598 Jasmine Harbor, Turnerberg, SD 02371"/>
        <s v="14131 Edwin Shore Apt. 190, Deniseberg, MD 90905"/>
        <s v="04887 Kimberly Union Apt. 645, Port Laura, IL 97219"/>
        <s v="7112 Travis Glens Suite 790, Crystalland, WV 38373"/>
        <s v="9296 Villanueva Branch, East Kevin, CO 93912"/>
        <s v="72876 Lara Key Suite 383, Gutierrezton, OR 71683"/>
        <s v="547 Kerry Expressway, Lake Amanda, AR 20321"/>
        <s v="849 Tran Wells, New Lindsayville, WI 22669"/>
        <s v="788 Kristina Lane, Montoyaside, VA 90756"/>
        <s v="37549 Pope Isle Apt. 202, Tylerborough, MO 60042"/>
        <s v="217 Scott Ville, Christophermouth, NH 83776"/>
        <s v="58998 Sherry Haven, East Richard, FL 90775"/>
        <s v="4647 Hannah Centers, Rhodesburgh, NH 89363"/>
        <s v="7510 Jose Knolls, Candicechester, LA 62815"/>
        <s v="089 Rice Shoal Suite 491, Juarezmouth, MI 88715"/>
        <s v="619 Parker Turnpike Apt. 025, West Brucehaven, ID 48437"/>
        <s v="2417 Brown Ford, West Timothyside, RI 45629"/>
        <s v="89748 Campbell Drive, South Tannerland, WI 13143"/>
        <s v="3303 Kennedy Springs Suite 830, East Amybury, MI 95595"/>
        <s v="134 Mcintosh Unions Suite 574, Lake Laura, DE 96577"/>
        <s v="18295 Thomas River, Kochville, NH 80868"/>
        <s v="USCGC Harper, FPO AA 38349"/>
        <s v="5879 Susan Via Apt. 886, Sandovalbury, WV 61449"/>
        <s v="221 Frey Crossing Suite 192, South Taylorland, HI 72875"/>
        <s v="135 Teresa Oval Apt. 825, East Katherineport, WY 13714"/>
        <s v="47821 William Station, East Ashleymouth, FL 20562"/>
        <s v="07350 Aaron Meadow Suite 138, Kiaraberg, AL 79545"/>
        <s v="0889 Brady Points, Port Meganhaven, NM 26553"/>
        <s v="78992 Justin Estates Suite 226, Floresberg, NM 40797"/>
        <s v="3284 Martin Neck, Lopezville, NY 69154"/>
        <s v="08413 Lynch Parkway, Calderonstad, NV 32697"/>
        <s v="58608 Alexander Terrace, South Bryan, SC 85541"/>
        <s v="3971 Ortiz Fields, Lake Jackfort, IA 97132"/>
        <s v="43920 Shaffer Valley Suite 531, South Jerry, MD 67120"/>
        <s v="688 Donald Oval Suite 089, Shepardport, CA 50844"/>
        <s v="02370 Laura Station Suite 309, Brandonville, DE 18875"/>
        <s v="2420 David Manors, Jessicaland, CT 41698"/>
        <s v="089 Farley Terrace, Thomashaven, MT 56607"/>
        <s v="03765 Velazquez Knoll Suite 478, Richardshire, UT 17200"/>
        <s v="43325 Barbara Tunnel, Port James, LA 16246"/>
        <s v="660 Karen Station Apt. 887, Allenside, ID 03170"/>
        <s v="5399 Hayes Well, West Pennystad, IL 93798"/>
        <s v="56985 Sergio Extensions, Port Albert, CO 02898"/>
        <s v="4021 Brown Orchard Apt. 026, Christinahaven, OK 18499"/>
        <s v="30313 Reyes Parkways Suite 392, Port Bradley, SC 24078"/>
        <s v="848 William Port, New Marilyn, SD 58000"/>
        <s v="096 Santos Neck Apt. 937, Benjaminmouth, FL 61454"/>
        <s v="90435 Bonnie Points Suite 886, Jenniferfurt, WV 20187"/>
        <s v="086 Kristin Manor Apt. 829, Marissabury, CT 12152"/>
        <s v="USNV Williams, FPO AP 23197"/>
        <s v="5812 Evelyn Mountains Suite 845, Ortiztown, MN 86166"/>
        <s v="163 Jeffrey Drive, South Mary, NH 23999"/>
      </sharedItems>
    </cacheField>
    <cacheField name="Order_ID" numFmtId="0">
      <sharedItems>
        <s v="OID2497"/>
        <s v="OID7056"/>
        <s v="OID7502"/>
        <s v="OID7077"/>
        <s v="OID2793"/>
        <s v="OID1483"/>
        <s v="OID4105"/>
        <s v="OID4372"/>
        <s v="OID3528"/>
        <s v="OID9634"/>
        <s v="OID1905"/>
        <s v="OID3136"/>
        <s v="OID6886"/>
        <s v="OID3509"/>
        <s v="OID3689"/>
        <s v="OID1911"/>
        <s v="OID6520"/>
        <s v="OID6123"/>
        <s v="OID1699"/>
        <s v="OID3792"/>
        <s v="OID7663"/>
        <s v="OID7609"/>
        <s v="OID8875"/>
        <s v="OID4032"/>
        <s v="OID9964"/>
        <s v="OID2121"/>
        <s v="OID4710"/>
        <s v="OID4295"/>
        <s v="OID2817"/>
        <s v="OID4643"/>
        <s v="OID4558"/>
        <s v="OID9577"/>
        <s v="OID5502"/>
        <s v="OID6974"/>
        <s v="OID2701"/>
        <s v="OID4432"/>
        <s v="OID3502"/>
        <s v="OID4411"/>
        <s v="OID6304"/>
        <s v="OID5126"/>
        <s v="OID8577"/>
        <s v="OID7688"/>
        <s v="OID4670"/>
        <s v="OID3319"/>
        <s v="OID6911"/>
        <s v="OID8494"/>
        <s v="OID6898"/>
        <s v="OID7606"/>
        <s v="OID6503"/>
        <s v="OID3616"/>
        <s v="OID2170"/>
        <s v="OID1956"/>
        <s v="OID8620"/>
        <s v="OID4770"/>
        <s v="OID9880"/>
        <s v="OID2152"/>
        <s v="OID2991"/>
        <s v="OID5607"/>
        <s v="OID8169"/>
        <s v="OID5832"/>
        <s v="OID7806"/>
        <s v="OID4875"/>
        <s v="OID4070"/>
        <s v="OID7679"/>
        <s v="OID3097"/>
        <s v="OID8869"/>
        <s v="OID2686"/>
        <s v="OID1046"/>
        <s v="OID8953"/>
        <s v="OID1157"/>
        <s v="OID7358"/>
        <s v="OID7453"/>
        <s v="OID1573"/>
        <s v="OID5696"/>
        <s v="OID3467"/>
        <s v="OID8542"/>
        <s v="OID1520"/>
        <s v="OID2157"/>
        <s v="OID6374"/>
        <s v="OID6555"/>
        <s v="OID5850"/>
        <s v="OID8041"/>
        <s v="OID5605"/>
        <s v="OID8388"/>
        <s v="OID5787"/>
        <s v="OID3140"/>
        <s v="OID6771"/>
        <s v="OID8988"/>
        <s v="OID9398"/>
        <s v="OID9822"/>
        <s v="OID1269"/>
        <s v="OID9915"/>
        <s v="OID3348"/>
        <s v="OID8431"/>
        <s v="OID6943"/>
        <s v="OID6229"/>
        <s v="OID6912"/>
        <s v="OID5081"/>
        <s v="OID5610"/>
        <s v="OID7759"/>
        <s v="OID4481"/>
        <s v="OID6749"/>
        <s v="OID8681"/>
        <s v="OID9693"/>
        <s v="OID3607"/>
        <s v="OID9743"/>
        <s v="OID7866"/>
        <s v="OID1137"/>
        <s v="OID4685"/>
        <s v="OID9584"/>
        <s v="OID1686"/>
        <s v="OID5272"/>
        <s v="OID7359"/>
        <s v="OID3570"/>
        <s v="OID2519"/>
        <s v="OID1134"/>
        <s v="OID8270"/>
        <s v="OID9515"/>
        <s v="OID6608"/>
        <s v="OID3035"/>
        <s v="OID4548"/>
        <s v="OID5978"/>
        <s v="OID6297"/>
        <s v="OID5108"/>
        <s v="OID4599"/>
        <s v="OID1418"/>
        <s v="OID1411"/>
        <s v="OID8692"/>
        <s v="OID4402"/>
        <s v="OID1309"/>
        <s v="OID2746"/>
        <s v="OID9360"/>
        <s v="OID6453"/>
        <s v="OID9745"/>
        <s v="OID4081"/>
        <s v="OID3967"/>
        <s v="OID9112"/>
        <s v="OID8628"/>
        <s v="OID5996"/>
        <s v="OID5210"/>
        <s v="OID4415"/>
        <s v="OID6716"/>
        <s v="OID9804"/>
        <s v="OID9798"/>
        <s v="OID4965"/>
        <s v="OID3209"/>
        <s v="OID6103"/>
        <s v="OID4368"/>
        <s v="OID1692"/>
        <s v="OID9808"/>
        <s v="OID3568"/>
        <s v="OID3469"/>
        <s v="OID6217"/>
        <s v="OID9257"/>
        <s v="OID7258"/>
        <s v="OID8380"/>
        <s v="OID9224"/>
        <s v="OID4506"/>
        <s v="OID7689"/>
        <s v="OID8699"/>
        <s v="OID1317"/>
        <s v="OID2429"/>
        <s v="OID4514"/>
        <s v="OID6237"/>
        <s v="OID6752"/>
        <s v="OID7059"/>
        <s v="OID6264"/>
        <s v="OID5366"/>
        <s v="OID1663"/>
        <s v="OID7664"/>
        <s v="OID4364"/>
        <s v="OID1153"/>
        <s v="OID5700"/>
        <s v="OID1706"/>
        <s v="OID6420"/>
        <s v="OID2659"/>
        <s v="OID5326"/>
        <s v="OID4465"/>
        <s v="OID9324"/>
        <s v="OID9267"/>
        <s v="OID5402"/>
        <s v="OID8716"/>
        <s v="OID4014"/>
        <s v="OID8569"/>
        <s v="OID6330"/>
        <s v="OID6607"/>
        <s v="OID4892"/>
        <s v="OID9692"/>
        <s v="OID4746"/>
        <s v="OID6057"/>
        <s v="OID3134"/>
        <s v="OID7980"/>
        <s v="OID7432"/>
        <s v="OID9465"/>
        <s v="OID9872"/>
        <s v="OID6856"/>
        <s v="OID1826"/>
        <s v="OID3421"/>
        <s v="OID6869"/>
        <s v="OID6635"/>
        <s v="OID8295"/>
        <s v="OID4642"/>
        <s v="OID7380"/>
        <s v="OID1086"/>
        <s v="OID6936"/>
        <s v="OID2938"/>
        <s v="OID8074"/>
        <s v="OID1076"/>
        <s v="OID8347"/>
        <s v="OID6373"/>
        <s v="OID5913"/>
        <s v="OID2941"/>
        <s v="OID9627"/>
        <s v="OID9705"/>
        <s v="OID7486"/>
        <s v="OID4560"/>
        <s v="OID1379"/>
        <s v="OID8114"/>
        <s v="OID9805"/>
        <s v="OID7003"/>
        <s v="OID5372"/>
        <s v="OID4097"/>
        <s v="OID7090"/>
        <s v="OID8741"/>
        <s v="OID6002"/>
        <s v="OID8585"/>
        <s v="OID6767"/>
        <s v="OID4369"/>
        <s v="OID5283"/>
        <s v="OID2949"/>
        <s v="OID1071"/>
        <s v="OID7412"/>
        <s v="OID6541"/>
        <s v="OID3550"/>
        <s v="OID7812"/>
        <s v="OID4101"/>
        <s v="OID2704"/>
        <s v="OID3902"/>
        <s v="OID6097"/>
        <s v="OID2270"/>
        <s v="OID4575"/>
        <s v="OID2338"/>
        <s v="OID9816"/>
        <s v="OID1586"/>
        <s v="OID9630"/>
        <s v="OID8034"/>
        <s v="OID4815"/>
        <s v="OID1898"/>
        <s v="OID7454"/>
        <s v="OID2597"/>
        <s v="OID6600"/>
        <s v="OID3490"/>
        <s v="OID5561"/>
        <s v="OID8830"/>
        <s v="OID9527"/>
        <s v="OID1067"/>
        <s v="OID2119"/>
        <s v="OID5802"/>
        <s v="OID4569"/>
        <s v="OID1508"/>
        <s v="OID3969"/>
        <s v="OID8974"/>
        <s v="OID6987"/>
        <s v="OID5834"/>
        <s v="OID3980"/>
        <s v="OID9700"/>
        <s v="OID1135"/>
        <s v="OID9451"/>
        <s v="OID4659"/>
        <s v="OID7205"/>
        <s v="OID9735"/>
        <s v="OID3358"/>
        <s v="OID4719"/>
        <s v="OID8203"/>
        <s v="OID2353"/>
        <s v="OID5255"/>
        <s v="OID7946"/>
        <s v="OID1159"/>
        <s v="OID5186"/>
        <s v="OID7156"/>
        <s v="OID3574"/>
        <s v="OID1477"/>
        <s v="OID2944"/>
        <s v="OID5130"/>
        <s v="OID7754"/>
        <s v="OID1246"/>
        <s v="OID8680"/>
        <s v="OID7102"/>
        <s v="OID7555"/>
        <s v="OID3165"/>
        <s v="OID9628"/>
        <s v="OID9782"/>
        <s v="OID7302"/>
        <s v="OID4580"/>
        <s v="OID7954"/>
        <s v="OID6246"/>
        <s v="OID5671"/>
        <s v="OID3145"/>
        <s v="OID8575"/>
        <s v="OID7910"/>
        <s v="OID1179"/>
        <s v="OID1041"/>
        <s v="OID1693"/>
        <s v="OID8609"/>
        <s v="OID9578"/>
        <s v="OID5985"/>
        <s v="OID2571"/>
        <s v="OID6045"/>
        <s v="OID1336"/>
        <s v="OID7117"/>
        <s v="OID3749"/>
        <s v="OID7008"/>
        <s v="OID8913"/>
        <s v="OID1597"/>
        <s v="OID4412"/>
        <s v="OID3900"/>
        <s v="OID9756"/>
        <s v="OID8307"/>
        <s v="OID5575"/>
        <s v="OID5883"/>
        <s v="OID6340"/>
        <s v="OID2501"/>
        <s v="OID6973"/>
        <s v="OID6597"/>
        <s v="OID4840"/>
        <s v="OID5389"/>
        <s v="OID8649"/>
        <s v="OID2779"/>
        <s v="OID4185"/>
        <s v="OID1243"/>
        <s v="OID4147"/>
        <s v="OID3681"/>
        <s v="OID5229"/>
        <s v="OID9990"/>
        <s v="OID1756"/>
        <s v="OID1866"/>
        <s v="OID2619"/>
        <s v="OID2505"/>
        <s v="OID7850"/>
        <s v="OID1966"/>
        <s v="OID3837"/>
        <s v="OID9187"/>
        <s v="OID3760"/>
        <s v="OID7065"/>
        <s v="OID6906"/>
        <s v="OID7996"/>
        <s v="OID9247"/>
        <s v="OID7303"/>
        <s v="OID2173"/>
        <s v="OID5367"/>
        <s v="OID9748"/>
        <s v="OID6469"/>
        <s v="OID1013"/>
        <s v="OID1219"/>
        <s v="OID9988"/>
        <s v="OID1669"/>
        <s v="OID7329"/>
        <s v="OID2873"/>
        <s v="OID4932"/>
        <s v="OID4169"/>
        <s v="OID6945"/>
        <s v="OID6794"/>
        <s v="OID2412"/>
        <s v="OID8162"/>
        <s v="OID8860"/>
        <s v="OID2523"/>
        <s v="OID7382"/>
        <s v="OID7593"/>
        <s v="OID9980"/>
        <s v="OID2440"/>
        <s v="OID7256"/>
        <s v="OID6854"/>
        <s v="OID9600"/>
        <s v="OID3186"/>
        <s v="OID1420"/>
        <s v="OID4436"/>
        <s v="OID6410"/>
        <s v="OID4538"/>
        <s v="OID8225"/>
        <s v="OID2099"/>
        <s v="OID9222"/>
        <s v="OID3523"/>
        <s v="OID3834"/>
        <s v="OID9975"/>
        <s v="OID6893"/>
        <s v="OID8192"/>
        <s v="OID7904"/>
        <s v="OID5999"/>
        <s v="OID7409"/>
        <s v="OID8708"/>
        <s v="OID5745"/>
        <s v="OID9178"/>
        <s v="OID2529"/>
        <s v="OID3125"/>
        <s v="OID4011"/>
        <s v="OID1592"/>
        <s v="OID7667"/>
        <s v="OID5182"/>
        <s v="OID1833"/>
        <s v="OID5190"/>
        <s v="OID4399"/>
        <s v="OID8104"/>
        <s v="OID1054"/>
        <s v="OID7828"/>
        <s v="OID5598"/>
        <s v="OID7417"/>
        <s v="OID8004"/>
        <s v="OID7287"/>
        <s v="OID3637"/>
        <s v="OID2097"/>
        <s v="OID3388"/>
        <s v="OID1114"/>
        <s v="OID3556"/>
        <s v="OID9404"/>
        <s v="OID4552"/>
        <s v="OID8486"/>
        <s v="OID4240"/>
        <s v="OID3727"/>
        <s v="OID8955"/>
        <s v="OID1744"/>
        <s v="OID5831"/>
        <s v="OID2842"/>
        <s v="OID1661"/>
        <s v="OID9123"/>
        <s v="OID3981"/>
        <s v="OID6634"/>
        <s v="OID9069"/>
        <s v="OID6802"/>
        <s v="OID4442"/>
        <s v="OID4995"/>
        <s v="OID7650"/>
        <s v="OID5555"/>
        <s v="OID1769"/>
        <s v="OID2189"/>
        <s v="OID9035"/>
        <s v="OID4219"/>
        <s v="OID1694"/>
        <s v="OID7495"/>
        <s v="OID1080"/>
        <s v="OID4539"/>
        <s v="OID8093"/>
        <s v="OID1707"/>
        <s v="OID5703"/>
        <s v="OID7457"/>
        <s v="OID4784"/>
        <s v="OID1726"/>
        <s v="OID1073"/>
        <s v="OID7443"/>
        <s v="OID1025"/>
        <s v="OID8826"/>
        <s v="OID6254"/>
        <s v="OID7518"/>
        <s v="OID4491"/>
        <s v="OID8288"/>
        <s v="OID6504"/>
        <s v="OID2595"/>
        <s v="OID9478"/>
        <s v="OID1169"/>
        <s v="OID6775"/>
        <s v="OID2383"/>
        <s v="OID3750"/>
        <s v="OID4837"/>
        <s v="OID6975"/>
        <s v="OID1869"/>
        <s v="OID3921"/>
        <s v="OID4056"/>
        <s v="OID4907"/>
        <s v="OID9684"/>
        <s v="OID2044"/>
        <s v="OID6436"/>
        <s v="OID9374"/>
        <s v="OID2767"/>
        <s v="OID8981"/>
        <s v="OID2246"/>
        <s v="OID1779"/>
        <s v="OID2005"/>
        <s v="OID6485"/>
        <s v="OID6319"/>
        <s v="OID9461"/>
        <s v="OID4522"/>
        <s v="OID9862"/>
        <s v="OID6361"/>
        <s v="OID7238"/>
        <s v="OID8446"/>
        <s v="OID9459"/>
        <s v="OID6433"/>
        <s v="OID3128"/>
        <s v="OID8972"/>
        <s v="OID5970"/>
        <s v="OID3491"/>
        <s v="OID6651"/>
        <s v="OID2861"/>
        <s v="OID3302"/>
        <s v="OID9922"/>
        <s v="OID4613"/>
        <s v="OID7483"/>
        <s v="OID7418"/>
        <s v="OID3361"/>
        <s v="OID7475"/>
        <s v="OID6847"/>
      </sharedItems>
    </cacheField>
    <cacheField name="Order_Date" numFmtId="164">
      <sharedItems containsSemiMixedTypes="0" containsNonDate="0" containsDate="1" containsString="0" minDate="2023-02-09T00:00:00Z" maxDate="2025-02-08T00:00:00Z">
        <d v="2024-03-07T00:00:00Z"/>
        <d v="2024-03-27T00:00:00Z"/>
        <d v="2024-02-20T00:00:00Z"/>
        <d v="2024-05-14T00:00:00Z"/>
        <d v="2024-04-09T00:00:00Z"/>
        <d v="2024-09-08T00:00:00Z"/>
        <d v="2025-01-05T00:00:00Z"/>
        <d v="2024-06-16T00:00:00Z"/>
        <d v="2023-04-24T00:00:00Z"/>
        <d v="2023-12-22T00:00:00Z"/>
        <d v="2024-10-23T00:00:00Z"/>
        <d v="2024-07-25T00:00:00Z"/>
        <d v="2023-03-12T00:00:00Z"/>
        <d v="2023-12-07T00:00:00Z"/>
        <d v="2024-03-26T00:00:00Z"/>
        <d v="2023-06-02T00:00:00Z"/>
        <d v="2023-02-09T00:00:00Z"/>
        <d v="2024-09-07T00:00:00Z"/>
        <d v="2025-01-08T00:00:00Z"/>
        <d v="2024-09-21T00:00:00Z"/>
        <d v="2024-08-16T00:00:00Z"/>
        <d v="2024-03-01T00:00:00Z"/>
        <d v="2023-07-18T00:00:00Z"/>
        <d v="2023-09-25T00:00:00Z"/>
        <d v="2023-08-08T00:00:00Z"/>
        <d v="2023-07-31T00:00:00Z"/>
        <d v="2023-05-20T00:00:00Z"/>
        <d v="2023-09-16T00:00:00Z"/>
        <d v="2023-03-02T00:00:00Z"/>
        <d v="2023-10-25T00:00:00Z"/>
        <d v="2024-04-07T00:00:00Z"/>
        <d v="2023-04-23T00:00:00Z"/>
        <d v="2024-09-13T00:00:00Z"/>
        <d v="2024-04-25T00:00:00Z"/>
        <d v="2023-08-30T00:00:00Z"/>
        <d v="2023-11-14T00:00:00Z"/>
        <d v="2023-11-12T00:00:00Z"/>
        <d v="2023-09-24T00:00:00Z"/>
        <d v="2024-12-30T00:00:00Z"/>
        <d v="2024-10-09T00:00:00Z"/>
        <d v="2024-09-22T00:00:00Z"/>
        <d v="2024-10-03T00:00:00Z"/>
        <d v="2023-08-13T00:00:00Z"/>
        <d v="2023-04-04T00:00:00Z"/>
        <d v="2024-02-14T00:00:00Z"/>
        <d v="2024-01-22T00:00:00Z"/>
        <d v="2023-05-08T00:00:00Z"/>
        <d v="2024-11-24T00:00:00Z"/>
        <d v="2024-09-10T00:00:00Z"/>
        <d v="2024-03-14T00:00:00Z"/>
        <d v="2023-08-07T00:00:00Z"/>
        <d v="2024-01-21T00:00:00Z"/>
        <d v="2024-11-03T00:00:00Z"/>
        <d v="2023-10-30T00:00:00Z"/>
        <d v="2023-08-11T00:00:00Z"/>
        <d v="2023-10-14T00:00:00Z"/>
        <d v="2024-12-29T00:00:00Z"/>
        <d v="2023-02-15T00:00:00Z"/>
        <d v="2024-05-23T00:00:00Z"/>
        <d v="2023-03-17T00:00:00Z"/>
        <d v="2025-01-23T00:00:00Z"/>
        <d v="2024-12-03T00:00:00Z"/>
        <d v="2024-02-24T00:00:00Z"/>
        <d v="2024-07-30T00:00:00Z"/>
        <d v="2024-06-08T00:00:00Z"/>
        <d v="2024-01-31T00:00:00Z"/>
        <d v="2023-12-17T00:00:00Z"/>
        <d v="2024-10-21T00:00:00Z"/>
        <d v="2024-10-02T00:00:00Z"/>
        <d v="2024-07-22T00:00:00Z"/>
        <d v="2024-03-04T00:00:00Z"/>
        <d v="2023-07-25T00:00:00Z"/>
        <d v="2024-12-24T00:00:00Z"/>
        <d v="2023-04-25T00:00:00Z"/>
        <d v="2025-01-26T00:00:00Z"/>
        <d v="2024-05-31T00:00:00Z"/>
        <d v="2025-01-18T00:00:00Z"/>
        <d v="2024-08-21T00:00:00Z"/>
        <d v="2024-11-29T00:00:00Z"/>
        <d v="2024-08-01T00:00:00Z"/>
        <d v="2023-11-22T00:00:00Z"/>
        <d v="2024-10-30T00:00:00Z"/>
        <d v="2023-10-28T00:00:00Z"/>
        <d v="2023-05-30T00:00:00Z"/>
        <d v="2024-09-20T00:00:00Z"/>
        <d v="2024-01-16T00:00:00Z"/>
        <d v="2024-07-31T00:00:00Z"/>
        <d v="2024-07-15T00:00:00Z"/>
        <d v="2023-07-11T00:00:00Z"/>
        <d v="2023-09-14T00:00:00Z"/>
        <d v="2025-01-16T00:00:00Z"/>
        <d v="2024-01-30T00:00:00Z"/>
        <d v="2023-10-04T00:00:00Z"/>
        <d v="2024-12-10T00:00:00Z"/>
        <d v="2023-08-27T00:00:00Z"/>
        <d v="2024-07-11T00:00:00Z"/>
        <d v="2023-07-06T00:00:00Z"/>
        <d v="2024-08-26T00:00:00Z"/>
        <d v="2024-05-20T00:00:00Z"/>
        <d v="2024-05-15T00:00:00Z"/>
        <d v="2023-04-05T00:00:00Z"/>
        <d v="2023-03-20T00:00:00Z"/>
        <d v="2024-04-24T00:00:00Z"/>
        <d v="2024-04-15T00:00:00Z"/>
        <d v="2023-12-16T00:00:00Z"/>
        <d v="2023-07-24T00:00:00Z"/>
        <d v="2023-08-18T00:00:00Z"/>
        <d v="2023-04-07T00:00:00Z"/>
        <d v="2023-06-29T00:00:00Z"/>
        <d v="2023-03-18T00:00:00Z"/>
        <d v="2024-07-26T00:00:00Z"/>
        <d v="2024-02-13T00:00:00Z"/>
        <d v="2023-09-17T00:00:00Z"/>
        <d v="2025-01-10T00:00:00Z"/>
        <d v="2024-06-07T00:00:00Z"/>
        <d v="2024-11-02T00:00:00Z"/>
        <d v="2024-10-24T00:00:00Z"/>
        <d v="2025-02-01T00:00:00Z"/>
        <d v="2023-06-17T00:00:00Z"/>
        <d v="2023-12-21T00:00:00Z"/>
        <d v="2023-02-22T00:00:00Z"/>
        <d v="2025-01-06T00:00:00Z"/>
        <d v="2023-10-27T00:00:00Z"/>
        <d v="2023-11-19T00:00:00Z"/>
        <d v="2024-02-09T00:00:00Z"/>
        <d v="2023-07-01T00:00:00Z"/>
        <d v="2023-12-23T00:00:00Z"/>
        <d v="2024-09-02T00:00:00Z"/>
        <d v="2024-11-13T00:00:00Z"/>
        <d v="2024-10-11T00:00:00Z"/>
        <d v="2023-09-30T00:00:00Z"/>
        <d v="2025-01-20T00:00:00Z"/>
        <d v="2024-10-16T00:00:00Z"/>
        <d v="2023-02-26T00:00:00Z"/>
        <d v="2023-03-04T00:00:00Z"/>
        <d v="2023-11-21T00:00:00Z"/>
        <d v="2023-10-01T00:00:00Z"/>
        <d v="2024-02-08T00:00:00Z"/>
        <d v="2023-07-22T00:00:00Z"/>
        <d v="2024-10-19T00:00:00Z"/>
        <d v="2023-12-31T00:00:00Z"/>
        <d v="2024-07-09T00:00:00Z"/>
        <d v="2023-06-12T00:00:00Z"/>
        <d v="2024-11-14T00:00:00Z"/>
        <d v="2023-04-29T00:00:00Z"/>
        <d v="2024-08-25T00:00:00Z"/>
        <d v="2024-08-31T00:00:00Z"/>
        <d v="2023-02-24T00:00:00Z"/>
        <d v="2023-10-08T00:00:00Z"/>
        <d v="2024-08-09T00:00:00Z"/>
        <d v="2024-09-15T00:00:00Z"/>
        <d v="2023-07-13T00:00:00Z"/>
        <d v="2024-10-26T00:00:00Z"/>
        <d v="2024-09-26T00:00:00Z"/>
        <d v="2023-05-05T00:00:00Z"/>
        <d v="2024-01-27T00:00:00Z"/>
        <d v="2024-08-04T00:00:00Z"/>
        <d v="2024-10-15T00:00:00Z"/>
        <d v="2024-07-05T00:00:00Z"/>
        <d v="2023-03-25T00:00:00Z"/>
        <d v="2024-06-14T00:00:00Z"/>
        <d v="2024-02-21T00:00:00Z"/>
        <d v="2023-06-18T00:00:00Z"/>
        <d v="2024-12-25T00:00:00Z"/>
        <d v="2024-06-12T00:00:00Z"/>
        <d v="2023-06-22T00:00:00Z"/>
        <d v="2023-05-14T00:00:00Z"/>
        <d v="2023-05-23T00:00:00Z"/>
        <d v="2023-04-20T00:00:00Z"/>
        <d v="2023-10-09T00:00:00Z"/>
        <d v="2023-11-11T00:00:00Z"/>
        <d v="2023-11-23T00:00:00Z"/>
        <d v="2024-08-19T00:00:00Z"/>
        <d v="2024-07-08T00:00:00Z"/>
        <d v="2023-05-07T00:00:00Z"/>
        <d v="2024-01-29T00:00:00Z"/>
        <d v="2023-05-28T00:00:00Z"/>
        <d v="2023-12-25T00:00:00Z"/>
        <d v="2023-03-16T00:00:00Z"/>
        <d v="2024-02-17T00:00:00Z"/>
        <d v="2024-02-27T00:00:00Z"/>
        <d v="2024-09-14T00:00:00Z"/>
        <d v="2023-07-05T00:00:00Z"/>
        <d v="2023-12-11T00:00:00Z"/>
        <d v="2024-10-13T00:00:00Z"/>
        <d v="2024-09-06T00:00:00Z"/>
        <d v="2024-04-26T00:00:00Z"/>
        <d v="2023-06-28T00:00:00Z"/>
        <d v="2023-10-18T00:00:00Z"/>
        <d v="2023-08-24T00:00:00Z"/>
        <d v="2023-12-13T00:00:00Z"/>
        <d v="2023-07-10T00:00:00Z"/>
        <d v="2024-04-10T00:00:00Z"/>
        <d v="2024-02-26T00:00:00Z"/>
        <d v="2023-11-27T00:00:00Z"/>
        <d v="2024-04-08T00:00:00Z"/>
        <d v="2023-07-02T00:00:00Z"/>
        <d v="2024-11-20T00:00:00Z"/>
        <d v="2024-05-05T00:00:00Z"/>
        <d v="2024-06-27T00:00:00Z"/>
        <d v="2023-02-11T00:00:00Z"/>
        <d v="2024-06-10T00:00:00Z"/>
        <d v="2024-11-12T00:00:00Z"/>
        <d v="2024-04-04T00:00:00Z"/>
        <d v="2024-08-27T00:00:00Z"/>
        <d v="2024-04-01T00:00:00Z"/>
        <d v="2023-11-03T00:00:00Z"/>
        <d v="2025-01-11T00:00:00Z"/>
        <d v="2025-01-02T00:00:00Z"/>
        <d v="2024-08-08T00:00:00Z"/>
        <d v="2024-04-11T00:00:00Z"/>
        <d v="2023-09-19T00:00:00Z"/>
        <d v="2023-04-10T00:00:00Z"/>
        <d v="2024-06-11T00:00:00Z"/>
        <d v="2024-09-12T00:00:00Z"/>
        <d v="2023-03-11T00:00:00Z"/>
        <d v="2025-01-15T00:00:00Z"/>
        <d v="2024-03-15T00:00:00Z"/>
        <d v="2024-02-29T00:00:00Z"/>
        <d v="2023-06-06T00:00:00Z"/>
        <d v="2024-05-16T00:00:00Z"/>
        <d v="2023-03-27T00:00:00Z"/>
        <d v="2024-02-10T00:00:00Z"/>
        <d v="2024-05-10T00:00:00Z"/>
        <d v="2023-04-01T00:00:00Z"/>
        <d v="2023-10-02T00:00:00Z"/>
        <d v="2024-08-18T00:00:00Z"/>
        <d v="2023-06-13T00:00:00Z"/>
        <d v="2023-05-03T00:00:00Z"/>
        <d v="2025-01-19T00:00:00Z"/>
        <d v="2023-06-15T00:00:00Z"/>
        <d v="2023-04-08T00:00:00Z"/>
        <d v="2023-05-12T00:00:00Z"/>
        <d v="2024-05-02T00:00:00Z"/>
        <d v="2024-08-23T00:00:00Z"/>
        <d v="2023-08-19T00:00:00Z"/>
        <d v="2023-06-27T00:00:00Z"/>
        <d v="2024-09-28T00:00:00Z"/>
        <d v="2023-12-19T00:00:00Z"/>
        <d v="2023-10-07T00:00:00Z"/>
        <d v="2024-02-02T00:00:00Z"/>
        <d v="2023-12-12T00:00:00Z"/>
        <d v="2025-01-14T00:00:00Z"/>
        <d v="2023-05-18T00:00:00Z"/>
        <d v="2023-02-16T00:00:00Z"/>
        <d v="2024-08-11T00:00:00Z"/>
        <d v="2023-02-19T00:00:00Z"/>
        <d v="2025-01-27T00:00:00Z"/>
        <d v="2024-04-18T00:00:00Z"/>
        <d v="2023-08-05T00:00:00Z"/>
        <d v="2023-10-12T00:00:00Z"/>
        <d v="2023-08-09T00:00:00Z"/>
        <d v="2024-12-11T00:00:00Z"/>
        <d v="2024-07-06T00:00:00Z"/>
        <d v="2024-07-28T00:00:00Z"/>
        <d v="2023-06-30T00:00:00Z"/>
        <d v="2024-05-08T00:00:00Z"/>
        <d v="2023-09-26T00:00:00Z"/>
        <d v="2024-10-08T00:00:00Z"/>
        <d v="2024-04-02T00:00:00Z"/>
        <d v="2024-04-06T00:00:00Z"/>
        <d v="2024-11-27T00:00:00Z"/>
        <d v="2023-12-29T00:00:00Z"/>
        <d v="2023-07-15T00:00:00Z"/>
        <d v="2024-12-01T00:00:00Z"/>
        <d v="2023-08-10T00:00:00Z"/>
        <d v="2025-01-25T00:00:00Z"/>
        <d v="2024-05-11T00:00:00Z"/>
        <d v="2024-01-12T00:00:00Z"/>
        <d v="2025-01-09T00:00:00Z"/>
        <d v="2023-06-08T00:00:00Z"/>
        <d v="2023-04-12T00:00:00Z"/>
        <d v="2024-04-05T00:00:00Z"/>
        <d v="2024-07-23T00:00:00Z"/>
        <d v="2023-09-18T00:00:00Z"/>
        <d v="2023-09-21T00:00:00Z"/>
        <d v="2023-02-25T00:00:00Z"/>
        <d v="2024-07-01T00:00:00Z"/>
        <d v="2024-11-04T00:00:00Z"/>
        <d v="2024-09-18T00:00:00Z"/>
        <d v="2023-05-13T00:00:00Z"/>
        <d v="2023-03-22T00:00:00Z"/>
        <d v="2025-01-21T00:00:00Z"/>
        <d v="2023-02-21T00:00:00Z"/>
        <d v="2024-05-09T00:00:00Z"/>
        <d v="2023-10-26T00:00:00Z"/>
        <d v="2024-06-30T00:00:00Z"/>
        <d v="2023-02-18T00:00:00Z"/>
        <d v="2024-07-12T00:00:00Z"/>
        <d v="2023-03-21T00:00:00Z"/>
        <d v="2024-11-26T00:00:00Z"/>
        <d v="2024-06-03T00:00:00Z"/>
        <d v="2023-11-17T00:00:00Z"/>
        <d v="2023-11-08T00:00:00Z"/>
        <d v="2023-12-10T00:00:00Z"/>
        <d v="2023-11-13T00:00:00Z"/>
        <d v="2023-12-04T00:00:00Z"/>
        <d v="2024-04-22T00:00:00Z"/>
        <d v="2024-06-26T00:00:00Z"/>
        <d v="2023-07-09T00:00:00Z"/>
        <d v="2024-01-11T00:00:00Z"/>
        <d v="2024-03-10T00:00:00Z"/>
        <d v="2023-06-14T00:00:00Z"/>
        <d v="2023-09-03T00:00:00Z"/>
        <d v="2024-12-31T00:00:00Z"/>
        <d v="2024-02-18T00:00:00Z"/>
        <d v="2024-02-22T00:00:00Z"/>
        <d v="2024-01-04T00:00:00Z"/>
        <d v="2024-07-04T00:00:00Z"/>
        <d v="2024-12-20T00:00:00Z"/>
        <d v="2023-04-17T00:00:00Z"/>
        <d v="2024-02-05T00:00:00Z"/>
        <d v="2024-08-13T00:00:00Z"/>
        <d v="2024-06-28T00:00:00Z"/>
        <d v="2024-02-28T00:00:00Z"/>
        <d v="2024-06-06T00:00:00Z"/>
        <d v="2024-03-08T00:00:00Z"/>
        <d v="2024-02-11T00:00:00Z"/>
        <d v="2025-01-24T00:00:00Z"/>
        <d v="2024-04-17T00:00:00Z"/>
        <d v="2024-04-14T00:00:00Z"/>
        <d v="2023-10-17T00:00:00Z"/>
        <d v="2024-03-17T00:00:00Z"/>
        <d v="2025-01-04T00:00:00Z"/>
        <d v="2024-12-27T00:00:00Z"/>
        <d v="2023-12-09T00:00:00Z"/>
        <d v="2025-02-07T00:00:00Z"/>
        <d v="2024-10-22T00:00:00Z"/>
        <d v="2024-04-16T00:00:00Z"/>
        <d v="2023-09-09T00:00:00Z"/>
        <d v="2024-09-01T00:00:00Z"/>
        <d v="2024-01-19T00:00:00Z"/>
        <d v="2023-08-29T00:00:00Z"/>
        <d v="2024-12-02T00:00:00Z"/>
        <d v="2023-09-06T00:00:00Z"/>
        <d v="2024-03-28T00:00:00Z"/>
        <d v="2024-12-07T00:00:00Z"/>
        <d v="2024-09-04T00:00:00Z"/>
        <d v="2024-05-17T00:00:00Z"/>
        <d v="2024-12-12T00:00:00Z"/>
        <d v="2024-03-29T00:00:00Z"/>
        <d v="2024-10-06T00:00:00Z"/>
        <d v="2023-02-23T00:00:00Z"/>
        <d v="2023-03-30T00:00:00Z"/>
        <d v="2024-10-31T00:00:00Z"/>
        <d v="2023-06-10T00:00:00Z"/>
        <d v="2023-06-26T00:00:00Z"/>
        <d v="2024-04-28T00:00:00Z"/>
        <d v="2024-03-11T00:00:00Z"/>
        <d v="2024-08-24T00:00:00Z"/>
        <d v="2024-03-03T00:00:00Z"/>
        <d v="2024-03-02T00:00:00Z"/>
        <d v="2023-11-29T00:00:00Z"/>
        <d v="2024-03-22T00:00:00Z"/>
        <d v="2023-05-26T00:00:00Z"/>
        <d v="2023-12-30T00:00:00Z"/>
        <d v="2023-07-21T00:00:00Z"/>
        <d v="2024-03-05T00:00:00Z"/>
        <d v="2023-10-05T00:00:00Z"/>
        <d v="2024-10-25T00:00:00Z"/>
        <d v="2023-09-13T00:00:00Z"/>
        <d v="2023-04-16T00:00:00Z"/>
        <d v="2024-07-17T00:00:00Z"/>
        <d v="2024-03-30T00:00:00Z"/>
        <d v="2024-06-29T00:00:00Z"/>
      </sharedItems>
      <fieldGroup base="10">
        <rangePr autoStart="0" autoEnd="0" groupBy="months" startDate="2023-02-09T00:00:00Z" endDate="2025-02-08T00:00:00Z"/>
        <groupItems>
          <s v="&lt;02/09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8/25"/>
        </groupItems>
      </fieldGroup>
    </cacheField>
    <cacheField name="Order_Time" numFmtId="0">
      <sharedItems>
        <s v="18:16:33"/>
        <s v="01:46:33"/>
        <s v="07:31:36"/>
        <s v="18:29:21"/>
        <s v="03:23:21"/>
        <s v="16:55:06"/>
        <s v="09:47:21"/>
        <s v="19:27:45"/>
        <s v="12:07:00"/>
        <s v="13:46:47"/>
        <s v="17:21:43"/>
        <s v="15:09:49"/>
        <s v="22:42:51"/>
        <s v="14:52:54"/>
        <s v="01:19:56"/>
        <s v="04:13:27"/>
        <s v="23:53:21"/>
        <s v="19:16:28"/>
        <s v="11:48:17"/>
        <s v="06:34:00"/>
        <s v="04:06:55"/>
        <s v="10:38:12"/>
        <s v="20:47:13"/>
        <s v="08:09:52"/>
        <s v="19:13:06"/>
        <s v="06:04:50"/>
        <s v="17:44:17"/>
        <s v="18:58:15"/>
        <s v="12:22:52"/>
        <s v="00:40:20"/>
        <s v="21:19:14"/>
        <s v="10:35:41"/>
        <s v="13:50:14"/>
        <s v="01:48:02"/>
        <s v="14:37:48"/>
        <s v="05:01:37"/>
        <s v="12:35:46"/>
        <s v="23:34:14"/>
        <s v="04:09:40"/>
        <s v="04:03:43"/>
        <s v="00:47:19"/>
        <s v="12:37:23"/>
        <s v="17:27:33"/>
        <s v="01:59:03"/>
        <s v="21:46:52"/>
        <s v="18:49:59"/>
        <s v="22:08:17"/>
        <s v="19:20:51"/>
        <s v="00:57:17"/>
        <s v="04:25:34"/>
        <s v="07:52:23"/>
        <s v="15:34:34"/>
        <s v="01:45:28"/>
        <s v="12:30:02"/>
        <s v="04:32:42"/>
        <s v="14:13:38"/>
        <s v="02:09:48"/>
        <s v="16:10:50"/>
        <s v="09:43:27"/>
        <s v="02:34:25"/>
        <s v="02:46:19"/>
        <s v="18:25:37"/>
        <s v="19:18:19"/>
        <s v="09:15:50"/>
        <s v="02:51:35"/>
        <s v="20:59:40"/>
        <s v="17:00:22"/>
        <s v="22:51:56"/>
        <s v="12:19:34"/>
        <s v="15:26:04"/>
        <s v="19:49:32"/>
        <s v="21:08:59"/>
        <s v="05:40:38"/>
        <s v="17:56:01"/>
        <s v="23:34:28"/>
        <s v="03:04:26"/>
        <s v="04:27:04"/>
        <s v="23:24:39"/>
        <s v="18:54:33"/>
        <s v="10:55:08"/>
        <s v="19:40:45"/>
        <s v="02:08:49"/>
        <s v="01:05:15"/>
        <s v="04:27:02"/>
        <s v="15:22:10"/>
        <s v="19:45:13"/>
        <s v="01:09:33"/>
        <s v="07:05:58"/>
        <s v="07:48:29"/>
        <s v="12:17:34"/>
        <s v="19:02:37"/>
        <s v="03:34:35"/>
        <s v="17:05:21"/>
        <s v="23:41:08"/>
        <s v="04:48:30"/>
        <s v="17:09:49"/>
        <s v="07:51:16"/>
        <s v="21:43:03"/>
        <s v="07:53:58"/>
        <s v="01:16:21"/>
        <s v="02:43:38"/>
        <s v="13:25:18"/>
        <s v="18:32:14"/>
        <s v="21:12:50"/>
        <s v="17:19:09"/>
        <s v="15:04:45"/>
        <s v="18:15:56"/>
        <s v="00:17:47"/>
        <s v="01:46:15"/>
        <s v="09:44:25"/>
        <s v="20:32:03"/>
        <s v="12:57:10"/>
        <s v="14:16:13"/>
        <s v="05:44:11"/>
        <s v="19:28:31"/>
        <s v="06:22:42"/>
        <s v="03:53:04"/>
        <s v="13:06:48"/>
        <s v="10:28:03"/>
        <s v="22:11:06"/>
        <s v="14:00:52"/>
        <s v="07:11:09"/>
        <s v="12:09:51"/>
        <s v="10:51:20"/>
        <s v="23:40:15"/>
        <s v="01:24:01"/>
        <s v="11:34:01"/>
        <s v="02:04:13"/>
        <s v="22:18:21"/>
        <s v="08:18:11"/>
        <s v="10:44:36"/>
        <s v="17:09:22"/>
        <s v="07:07:24"/>
        <s v="07:27:27"/>
        <s v="00:30:57"/>
        <s v="20:10:38"/>
        <s v="14:57:06"/>
        <s v="10:20:44"/>
        <s v="14:09:23"/>
        <s v="10:48:56"/>
        <s v="10:33:35"/>
        <s v="22:34:39"/>
        <s v="19:56:54"/>
        <s v="19:28:23"/>
        <s v="09:43:17"/>
        <s v="06:49:56"/>
        <s v="00:43:57"/>
        <s v="15:45:08"/>
        <s v="03:06:30"/>
        <s v="13:02:42"/>
        <s v="10:25:49"/>
        <s v="04:33:43"/>
        <s v="15:45:02"/>
        <s v="18:37:45"/>
        <s v="20:25:23"/>
        <s v="10:35:10"/>
        <s v="21:35:45"/>
        <s v="16:54:11"/>
        <s v="10:04:46"/>
        <s v="02:22:40"/>
        <s v="21:52:14"/>
        <s v="08:31:11"/>
        <s v="20:48:48"/>
        <s v="18:41:53"/>
        <s v="05:35:11"/>
        <s v="11:01:20"/>
        <s v="08:29:32"/>
        <s v="02:56:50"/>
        <s v="11:18:01"/>
        <s v="03:11:30"/>
        <s v="04:35:15"/>
        <s v="08:45:48"/>
        <s v="09:39:48"/>
        <s v="19:48:44"/>
        <s v="18:18:32"/>
        <s v="16:59:55"/>
        <s v="13:40:51"/>
        <s v="08:11:19"/>
        <s v="02:27:18"/>
        <s v="05:33:41"/>
        <s v="18:14:45"/>
        <s v="03:08:05"/>
        <s v="21:06:59"/>
        <s v="14:49:31"/>
        <s v="19:40:44"/>
        <s v="16:25:28"/>
        <s v="05:57:45"/>
        <s v="13:16:36"/>
        <s v="07:44:52"/>
        <s v="12:51:15"/>
        <s v="22:55:27"/>
        <s v="01:31:08"/>
        <s v="15:02:28"/>
        <s v="06:54:02"/>
        <s v="08:20:59"/>
        <s v="14:00:27"/>
        <s v="15:26:43"/>
        <s v="22:25:26"/>
        <s v="00:02:50"/>
        <s v="22:46:23"/>
        <s v="08:00:47"/>
        <s v="09:33:35"/>
        <s v="00:13:11"/>
        <s v="20:01:38"/>
        <s v="06:33:55"/>
        <s v="19:46:32"/>
        <s v="20:47:44"/>
        <s v="14:37:23"/>
        <s v="00:08:51"/>
        <s v="09:31:27"/>
        <s v="09:46:43"/>
        <s v="21:17:39"/>
        <s v="12:28:28"/>
        <s v="03:29:39"/>
        <s v="18:27:23"/>
        <s v="14:41:09"/>
        <s v="11:50:19"/>
        <s v="10:24:24"/>
        <s v="23:35:16"/>
        <s v="04:53:37"/>
        <s v="21:25:23"/>
        <s v="18:03:08"/>
        <s v="02:55:39"/>
        <s v="23:25:51"/>
        <s v="05:28:12"/>
        <s v="16:44:13"/>
        <s v="17:52:44"/>
        <s v="22:31:31"/>
        <s v="18:43:17"/>
        <s v="09:55:21"/>
        <s v="06:47:14"/>
        <s v="22:41:22"/>
        <s v="08:35:05"/>
        <s v="06:30:57"/>
        <s v="09:01:24"/>
        <s v="10:38:44"/>
        <s v="08:44:39"/>
        <s v="10:10:51"/>
        <s v="06:46:28"/>
        <s v="22:27:32"/>
        <s v="18:42:20"/>
        <s v="22:07:35"/>
        <s v="07:28:42"/>
        <s v="14:01:51"/>
        <s v="20:50:23"/>
        <s v="08:30:48"/>
        <s v="05:34:02"/>
        <s v="22:30:30"/>
        <s v="06:13:30"/>
        <s v="14:11:09"/>
        <s v="22:46:20"/>
        <s v="03:47:08"/>
        <s v="07:21:30"/>
        <s v="16:49:20"/>
        <s v="16:59:25"/>
        <s v="06:15:44"/>
        <s v="17:29:54"/>
        <s v="05:25:01"/>
        <s v="00:49:15"/>
        <s v="10:13:34"/>
        <s v="22:48:36"/>
        <s v="03:37:20"/>
        <s v="23:47:53"/>
        <s v="15:54:45"/>
        <s v="21:10:06"/>
        <s v="17:39:16"/>
        <s v="21:59:14"/>
        <s v="21:47:08"/>
        <s v="00:57:26"/>
        <s v="21:16:04"/>
        <s v="20:03:28"/>
        <s v="15:38:50"/>
        <s v="03:13:28"/>
        <s v="12:54:20"/>
        <s v="15:59:36"/>
        <s v="19:52:34"/>
        <s v="20:27:13"/>
        <s v="04:24:31"/>
        <s v="05:26:44"/>
        <s v="13:33:00"/>
        <s v="22:42:24"/>
        <s v="07:28:15"/>
        <s v="05:37:56"/>
        <s v="20:10:43"/>
        <s v="12:34:36"/>
        <s v="05:06:18"/>
        <s v="14:47:52"/>
        <s v="20:27:42"/>
        <s v="13:24:08"/>
        <s v="09:58:35"/>
        <s v="06:20:30"/>
        <s v="17:53:01"/>
        <s v="03:43:05"/>
        <s v="02:56:56"/>
        <s v="04:29:06"/>
        <s v="10:04:49"/>
        <s v="23:44:50"/>
        <s v="17:40:16"/>
        <s v="09:51:24"/>
        <s v="05:56:42"/>
        <s v="06:33:59"/>
        <s v="01:23:40"/>
        <s v="18:29:39"/>
        <s v="13:33:06"/>
        <s v="15:56:55"/>
        <s v="14:57:23"/>
        <s v="19:33:36"/>
        <s v="17:53:46"/>
        <s v="13:40:58"/>
        <s v="04:49:20"/>
        <s v="16:34:44"/>
        <s v="04:12:20"/>
        <s v="20:53:04"/>
        <s v="05:27:44"/>
        <s v="06:35:14"/>
        <s v="20:14:30"/>
        <s v="06:46:07"/>
        <s v="23:19:47"/>
        <s v="12:50:48"/>
        <s v="21:08:26"/>
        <s v="10:50:30"/>
        <s v="11:53:55"/>
        <s v="04:03:12"/>
        <s v="19:44:28"/>
        <s v="12:38:37"/>
        <s v="14:52:37"/>
        <s v="08:43:40"/>
        <s v="03:11:02"/>
        <s v="17:17:44"/>
        <s v="17:27:56"/>
        <s v="03:23:04"/>
        <s v="08:45:23"/>
        <s v="08:36:31"/>
        <s v="21:53:54"/>
        <s v="10:58:30"/>
        <s v="05:53:55"/>
        <s v="11:51:15"/>
        <s v="12:37:13"/>
        <s v="14:59:43"/>
        <s v="14:04:30"/>
        <s v="19:09:08"/>
        <s v="23:47:36"/>
        <s v="09:05:02"/>
        <s v="09:15:42"/>
        <s v="16:29:18"/>
        <s v="17:23:49"/>
        <s v="06:51:49"/>
        <s v="23:40:03"/>
        <s v="00:41:18"/>
        <s v="23:27:24"/>
        <s v="02:46:27"/>
        <s v="06:59:53"/>
        <s v="20:28:31"/>
        <s v="13:39:02"/>
        <s v="09:27:52"/>
        <s v="04:59:13"/>
        <s v="01:19:42"/>
        <s v="05:54:36"/>
        <s v="06:50:14"/>
        <s v="11:52:12"/>
        <s v="19:37:21"/>
        <s v="15:34:31"/>
        <s v="14:35:45"/>
        <s v="07:24:54"/>
        <s v="06:00:55"/>
        <s v="05:46:53"/>
        <s v="08:34:53"/>
        <s v="15:18:11"/>
        <s v="11:00:03"/>
        <s v="08:26:50"/>
        <s v="00:24:43"/>
        <s v="10:05:03"/>
        <s v="04:19:31"/>
        <s v="17:14:37"/>
        <s v="18:45:41"/>
        <s v="23:43:28"/>
        <s v="06:38:04"/>
        <s v="12:27:25"/>
        <s v="10:41:43"/>
        <s v="09:19:53"/>
        <s v="11:38:36"/>
        <s v="10:33:52"/>
        <s v="22:42:39"/>
        <s v="09:31:29"/>
        <s v="09:19:46"/>
        <s v="21:14:38"/>
        <s v="15:58:53"/>
        <s v="17:44:01"/>
        <s v="02:54:23"/>
        <s v="07:05:11"/>
        <s v="02:16:10"/>
        <s v="18:34:02"/>
        <s v="14:35:39"/>
        <s v="02:52:20"/>
        <s v="10:33:07"/>
        <s v="01:25:50"/>
        <s v="20:10:30"/>
        <s v="03:46:35"/>
        <s v="00:31:47"/>
        <s v="04:04:19"/>
        <s v="07:13:46"/>
        <s v="21:07:18"/>
        <s v="13:31:33"/>
        <s v="00:57:10"/>
        <s v="00:07:15"/>
        <s v="08:47:14"/>
        <s v="12:05:04"/>
        <s v="05:45:27"/>
        <s v="18:27:35"/>
        <s v="08:19:07"/>
        <s v="01:16:23"/>
        <s v="07:59:11"/>
        <s v="02:05:06"/>
        <s v="08:18:15"/>
        <s v="12:10:36"/>
        <s v="00:38:36"/>
        <s v="02:46:16"/>
        <s v="05:37:55"/>
        <s v="01:03:02"/>
        <s v="18:12:36"/>
        <s v="15:52:52"/>
        <s v="11:10:43"/>
        <s v="10:50:23"/>
        <s v="12:04:15"/>
        <s v="02:36:45"/>
        <s v="02:29:46"/>
        <s v="03:00:01"/>
        <s v="01:12:34"/>
        <s v="16:46:34"/>
        <s v="12:40:06"/>
        <s v="21:41:18"/>
        <s v="18:51:12"/>
        <s v="16:35:28"/>
        <s v="15:11:02"/>
        <s v="08:03:37"/>
        <s v="04:43:46"/>
        <s v="21:09:31"/>
        <s v="01:04:28"/>
        <s v="15:06:18"/>
        <s v="15:43:42"/>
        <s v="21:05:38"/>
        <s v="16:01:40"/>
        <s v="13:25:17"/>
        <s v="07:19:13"/>
        <s v="11:30:19"/>
        <s v="03:51:26"/>
        <s v="15:44:41"/>
        <s v="02:29:08"/>
        <s v="04:40:06"/>
        <s v="01:51:31"/>
        <s v="11:55:04"/>
        <s v="16:42:26"/>
        <s v="02:55:29"/>
        <s v="12:05:41"/>
        <s v="03:10:32"/>
        <s v="17:54:41"/>
        <s v="07:11:33"/>
        <s v="06:54:03"/>
        <s v="04:44:42"/>
        <s v="04:44:04"/>
        <s v="22:42:38"/>
        <s v="18:23:17"/>
        <s v="12:14:10"/>
        <s v="04:53:45"/>
        <s v="10:23:23"/>
        <s v="20:13:44"/>
        <s v="12:43:07"/>
        <s v="22:16:48"/>
        <s v="13:00:52"/>
        <s v="15:33:07"/>
        <s v="16:58:37"/>
        <s v="15:06:44"/>
        <s v="05:36:29"/>
        <s v="12:50:57"/>
        <s v="12:10:00"/>
        <s v="13:21:50"/>
        <s v="14:34:14"/>
        <s v="00:44:05"/>
        <s v="05:02:45"/>
        <s v="16:28:38"/>
        <s v="08:22:36"/>
        <s v="02:53:11"/>
        <s v="08:17:07"/>
        <s v="01:02:33"/>
        <s v="22:17:42"/>
        <s v="07:36:32"/>
        <s v="07:39:59"/>
        <s v="18:04:56"/>
        <s v="03:18:41"/>
        <s v="20:38:05"/>
        <s v="08:32:59"/>
        <s v="12:42:28"/>
        <s v="10:24:01"/>
        <s v="12:19:38"/>
        <s v="01:15:18"/>
        <s v="09:50:05"/>
        <s v="08:30:03"/>
        <s v="17:02:09"/>
      </sharedItems>
    </cacheField>
    <cacheField name="Product_ID" numFmtId="0">
      <sharedItems>
        <s v="PID022"/>
        <s v="PID015"/>
        <s v="PID023"/>
        <s v="PID031"/>
        <s v="PID043"/>
        <s v="PID046"/>
        <s v="PID034"/>
        <s v="PID033"/>
        <s v="PID007"/>
        <s v="PID042"/>
        <s v="PID047"/>
        <s v="PID039"/>
        <s v="PID014"/>
        <s v="PID024"/>
        <s v="PID003"/>
        <s v="PID008"/>
        <s v="PID012"/>
        <s v="PID028"/>
        <s v="PID030"/>
        <s v="PID026"/>
        <s v="PID018"/>
        <s v="PID036"/>
        <s v="PID050"/>
        <s v="PID021"/>
        <s v="PID027"/>
        <s v="PID037"/>
        <s v="PID041"/>
        <s v="PID004"/>
        <s v="PID020"/>
        <s v="PID010"/>
        <s v="PID001"/>
        <s v="PID019"/>
        <s v="PID009"/>
        <s v="PID038"/>
        <s v="PID048"/>
        <s v="PID049"/>
        <s v="PID017"/>
        <s v="PID016"/>
        <s v="PID006"/>
        <s v="PID025"/>
        <s v="PID005"/>
        <s v="PID035"/>
        <s v="PID013"/>
        <s v="PID032"/>
        <s v="PID040"/>
        <s v="PID029"/>
        <s v="PID044"/>
        <s v="PID011"/>
        <s v="PID002"/>
        <s v="PID045"/>
      </sharedItems>
    </cacheField>
    <cacheField name="Price" numFmtId="0">
      <sharedItems containsSemiMixedTypes="0" containsString="0" containsNumber="1">
        <n v="308.88"/>
        <n v="166.28"/>
        <n v="202.54"/>
        <n v="405.0"/>
        <n v="330.11"/>
        <n v="363.64"/>
        <n v="275.44"/>
        <n v="48.45"/>
        <n v="257.06"/>
        <n v="175.93"/>
        <n v="190.1"/>
        <n v="220.27"/>
        <n v="272.51"/>
        <n v="104.18"/>
        <n v="20.7"/>
        <n v="461.07"/>
        <n v="132.97"/>
        <n v="126.19"/>
        <n v="282.63"/>
        <n v="128.14"/>
        <n v="62.42"/>
        <n v="157.64"/>
        <n v="158.53"/>
        <n v="129.75"/>
        <n v="481.48"/>
        <n v="77.84"/>
        <n v="372.62"/>
        <n v="496.59"/>
        <n v="431.44"/>
        <n v="44.5"/>
        <n v="369.03"/>
        <n v="286.07"/>
        <n v="87.09"/>
        <n v="421.7"/>
        <n v="136.3"/>
        <n v="441.03"/>
        <n v="425.59"/>
        <n v="133.62"/>
        <n v="477.52"/>
        <n v="403.03"/>
        <n v="445.81"/>
        <n v="433.62"/>
        <n v="235.63"/>
        <n v="424.82"/>
        <n v="110.95"/>
        <n v="381.73"/>
        <n v="20.0"/>
        <n v="292.15"/>
        <n v="107.47"/>
        <n v="33.49"/>
      </sharedItems>
    </cacheField>
    <cacheField name="Quantity" numFmtId="0">
      <sharedItems containsSemiMixedTypes="0" containsString="0" containsNumber="1" containsInteger="1">
        <n v="5.0"/>
        <n v="4.0"/>
        <n v="1.0"/>
        <n v="3.0"/>
        <n v="2.0"/>
      </sharedItems>
    </cacheField>
    <cacheField name="Coupon_Code" numFmtId="0">
      <sharedItems>
        <s v="FLAT8"/>
        <s v="FLAT15"/>
        <s v="DEL0"/>
        <s v="FLAT20"/>
        <s v="FLAT10"/>
      </sharedItems>
    </cacheField>
    <cacheField name="Estimated_Days_to_Deliver" numFmtId="0">
      <sharedItems containsSemiMixedTypes="0" containsString="0" containsNumber="1" containsInteger="1">
        <n v="4.0"/>
        <n v="7.0"/>
        <n v="3.0"/>
        <n v="6.0"/>
        <n v="2.0"/>
        <n v="5.0"/>
        <n v="1.0"/>
      </sharedItems>
    </cacheField>
    <cacheField name="Delivery_Charge" numFmtId="0">
      <sharedItems containsSemiMixedTypes="0" containsString="0" containsNumber="1" containsInteger="1">
        <n v="60.0"/>
        <n v="66.0"/>
        <n v="47.0"/>
        <n v="54.0"/>
        <n v="39.0"/>
        <n v="70.0"/>
        <n v="63.0"/>
        <n v="59.0"/>
        <n v="35.0"/>
        <n v="62.0"/>
        <n v="65.0"/>
        <n v="58.0"/>
        <n v="40.0"/>
        <n v="44.0"/>
        <n v="38.0"/>
        <n v="43.0"/>
        <n v="56.0"/>
        <n v="55.0"/>
        <n v="57.0"/>
        <n v="42.0"/>
        <n v="36.0"/>
        <n v="53.0"/>
        <n v="64.0"/>
        <n v="50.0"/>
        <n v="52.0"/>
        <n v="49.0"/>
        <n v="41.0"/>
        <n v="46.0"/>
        <n v="69.0"/>
        <n v="48.0"/>
        <n v="67.0"/>
        <n v="61.0"/>
        <n v="68.0"/>
        <n v="45.0"/>
        <n v="51.0"/>
        <n v="37.0"/>
      </sharedItems>
    </cacheField>
    <cacheField name="Delivery_Date" numFmtId="164">
      <sharedItems containsSemiMixedTypes="0" containsDate="1" containsString="0">
        <d v="2024-03-10T00:00:00Z"/>
        <d v="2024-03-30T00:00:00Z"/>
        <d v="2024-02-22T00:00:00Z"/>
        <d v="2024-05-18T00:00:00Z"/>
        <d v="2024-04-13T00:00:00Z"/>
        <d v="2024-09-12T00:00:00Z"/>
        <d v="2025-01-08T00:00:00Z"/>
        <d v="2024-06-21T00:00:00Z"/>
        <d v="2023-04-26T00:00:00Z"/>
        <d v="2023-12-27T00:00:00Z"/>
        <d v="2024-10-25T00:00:00Z"/>
        <d v="2024-07-26T00:00:00Z"/>
        <d v="2023-03-14T00:00:00Z"/>
        <d v="2023-12-10T00:00:00Z"/>
        <d v="2024-03-31T00:00:00Z"/>
        <d v="2023-06-03T00:00:00Z"/>
        <d v="2023-02-13T00:00:00Z"/>
        <d v="2024-09-10T00:00:00Z"/>
        <d v="2025-01-13T00:00:00Z"/>
        <d v="2024-09-26T00:00:00Z"/>
        <d v="2024-08-17T00:00:00Z"/>
        <d v="2024-03-05T00:00:00Z"/>
        <d v="2023-07-19T00:00:00Z"/>
        <d v="2023-09-29T00:00:00Z"/>
        <d v="2023-08-12T00:00:00Z"/>
        <d v="2023-08-04T00:00:00Z"/>
        <d v="2023-05-23T00:00:00Z"/>
        <d v="2023-09-20T00:00:00Z"/>
        <d v="2023-03-03T00:00:00Z"/>
        <d v="2023-10-30T00:00:00Z"/>
        <d v="2024-04-14T00:00:00Z"/>
        <d v="2023-04-30T00:00:00Z"/>
        <d v="2024-09-18T00:00:00Z"/>
        <d v="2024-05-02T00:00:00Z"/>
        <d v="2023-09-03T00:00:00Z"/>
        <d v="2023-11-16T00:00:00Z"/>
        <d v="2023-11-18T00:00:00Z"/>
        <d v="2023-09-27T00:00:00Z"/>
        <d v="2025-01-04T00:00:00Z"/>
        <d v="2024-10-10T00:00:00Z"/>
        <d v="2024-09-29T00:00:00Z"/>
        <d v="2023-08-14T00:00:00Z"/>
        <d v="2023-04-10T00:00:00Z"/>
        <d v="2024-02-19T00:00:00Z"/>
        <d v="2023-03-07T00:00:00Z"/>
        <d v="2024-01-27T00:00:00Z"/>
        <d v="2023-05-15T00:00:00Z"/>
        <d v="2024-11-30T00:00:00Z"/>
        <d v="2023-10-28T00:00:00Z"/>
        <d v="2024-03-17T00:00:00Z"/>
        <d v="2023-08-09T00:00:00Z"/>
        <d v="2024-11-10T00:00:00Z"/>
        <d v="2023-11-03T00:00:00Z"/>
        <d v="2023-08-16T00:00:00Z"/>
        <d v="2023-10-19T00:00:00Z"/>
        <d v="2025-01-05T00:00:00Z"/>
        <d v="2023-02-20T00:00:00Z"/>
        <d v="2024-05-27T00:00:00Z"/>
        <d v="2023-03-22T00:00:00Z"/>
        <d v="2025-01-27T00:00:00Z"/>
        <d v="2024-12-04T00:00:00Z"/>
        <d v="2024-02-29T00:00:00Z"/>
        <d v="2024-08-06T00:00:00Z"/>
        <d v="2024-06-15T00:00:00Z"/>
        <d v="2024-02-05T00:00:00Z"/>
        <d v="2023-12-20T00:00:00Z"/>
        <d v="2024-10-23T00:00:00Z"/>
        <d v="2024-10-04T00:00:00Z"/>
        <d v="2024-07-23T00:00:00Z"/>
        <d v="2024-03-09T00:00:00Z"/>
        <d v="2023-08-01T00:00:00Z"/>
        <d v="2024-12-25T00:00:00Z"/>
        <d v="2024-06-18T00:00:00Z"/>
        <d v="2023-04-29T00:00:00Z"/>
        <d v="2025-01-28T00:00:00Z"/>
        <d v="2023-05-12T00:00:00Z"/>
        <d v="2024-06-04T00:00:00Z"/>
        <d v="2025-01-21T00:00:00Z"/>
        <d v="2024-08-22T00:00:00Z"/>
        <d v="2024-02-07T00:00:00Z"/>
        <d v="2024-12-01T00:00:00Z"/>
        <d v="2024-08-08T00:00:00Z"/>
        <d v="2023-11-27T00:00:00Z"/>
        <d v="2024-11-02T00:00:00Z"/>
        <d v="2023-10-29T00:00:00Z"/>
        <d v="2024-09-23T00:00:00Z"/>
        <d v="2024-01-22T00:00:00Z"/>
        <d v="2024-07-22T00:00:00Z"/>
        <d v="2023-07-18T00:00:00Z"/>
        <d v="2023-09-17T00:00:00Z"/>
        <d v="2025-01-18T00:00:00Z"/>
        <d v="2024-01-31T00:00:00Z"/>
        <d v="2023-10-09T00:00:00Z"/>
        <d v="2024-12-12T00:00:00Z"/>
        <d v="2023-08-31T00:00:00Z"/>
        <d v="2024-07-12T00:00:00Z"/>
        <d v="2023-07-10T00:00:00Z"/>
        <d v="2024-08-28T00:00:00Z"/>
        <d v="2024-05-24T00:00:00Z"/>
        <d v="2024-05-22T00:00:00Z"/>
        <d v="2023-04-09T00:00:00Z"/>
        <d v="2023-03-25T00:00:00Z"/>
        <d v="2024-04-26T00:00:00Z"/>
        <d v="2025-01-10T00:00:00Z"/>
        <d v="2024-04-19T00:00:00Z"/>
        <d v="2024-04-18T00:00:00Z"/>
        <d v="2023-07-31T00:00:00Z"/>
        <d v="2023-08-21T00:00:00Z"/>
        <d v="2023-09-16T00:00:00Z"/>
        <d v="2023-06-30T00:00:00Z"/>
        <d v="2023-03-23T00:00:00Z"/>
        <d v="2024-07-30T00:00:00Z"/>
        <d v="2023-10-16T00:00:00Z"/>
        <d v="2025-01-17T00:00:00Z"/>
        <d v="2024-12-11T00:00:00Z"/>
        <d v="2024-06-09T00:00:00Z"/>
        <d v="2024-11-03T00:00:00Z"/>
        <d v="2024-10-29T00:00:00Z"/>
        <d v="2025-02-06T00:00:00Z"/>
        <d v="2023-06-20T00:00:00Z"/>
        <d v="2023-12-23T00:00:00Z"/>
        <d v="2023-02-27T00:00:00Z"/>
        <d v="2025-01-11T00:00:00Z"/>
        <d v="2023-11-22T00:00:00Z"/>
        <d v="2024-02-10T00:00:00Z"/>
        <d v="2023-07-04T00:00:00Z"/>
        <d v="2023-12-29T00:00:00Z"/>
        <d v="2024-09-06T00:00:00Z"/>
        <d v="2024-11-16T00:00:00Z"/>
        <d v="2024-10-12T00:00:00Z"/>
        <d v="2023-10-04T00:00:00Z"/>
        <d v="2025-01-23T00:00:00Z"/>
        <d v="2024-11-15T00:00:00Z"/>
        <d v="2023-03-01T00:00:00Z"/>
        <d v="2024-03-29T00:00:00Z"/>
        <d v="2023-03-06T00:00:00Z"/>
        <d v="2023-11-26T00:00:00Z"/>
        <d v="2023-10-07T00:00:00Z"/>
        <d v="2024-02-09T00:00:00Z"/>
        <d v="2023-07-25T00:00:00Z"/>
        <d v="2024-10-26T00:00:00Z"/>
        <d v="2024-01-05T00:00:00Z"/>
        <d v="2023-06-14T00:00:00Z"/>
        <d v="2024-11-17T00:00:00Z"/>
        <d v="2023-05-01T00:00:00Z"/>
        <d v="2024-09-01T00:00:00Z"/>
        <d v="2023-03-02T00:00:00Z"/>
        <d v="2023-10-15T00:00:00Z"/>
        <d v="2023-09-23T00:00:00Z"/>
        <d v="2024-08-11T00:00:00Z"/>
        <d v="2024-09-17T00:00:00Z"/>
        <d v="2023-07-22T00:00:00Z"/>
        <d v="2023-09-24T00:00:00Z"/>
        <d v="2023-07-20T00:00:00Z"/>
        <d v="2024-10-27T00:00:00Z"/>
        <d v="2024-08-27T00:00:00Z"/>
        <d v="2024-09-28T00:00:00Z"/>
        <d v="2023-05-11T00:00:00Z"/>
        <d v="2024-01-30T00:00:00Z"/>
        <d v="2024-08-10T00:00:00Z"/>
        <d v="2024-10-20T00:00:00Z"/>
        <d v="2024-07-07T00:00:00Z"/>
        <d v="2023-03-30T00:00:00Z"/>
        <d v="2023-07-29T00:00:00Z"/>
        <d v="2024-06-20T00:00:00Z"/>
        <d v="2024-02-25T00:00:00Z"/>
        <d v="2023-06-21T00:00:00Z"/>
        <d v="2024-12-27T00:00:00Z"/>
        <d v="2024-10-01T00:00:00Z"/>
        <d v="2023-06-27T00:00:00Z"/>
        <d v="2023-05-20T00:00:00Z"/>
        <d v="2023-05-25T00:00:00Z"/>
        <d v="2023-04-27T00:00:00Z"/>
        <d v="2023-10-14T00:00:00Z"/>
        <d v="2023-11-12T00:00:00Z"/>
        <d v="2023-12-24T00:00:00Z"/>
        <d v="2025-02-07T00:00:00Z"/>
        <d v="2023-05-05T00:00:00Z"/>
        <d v="2024-07-09T00:00:00Z"/>
        <d v="2023-06-08T00:00:00Z"/>
        <d v="2024-07-29T00:00:00Z"/>
        <d v="2023-09-05T00:00:00Z"/>
        <d v="2023-06-02T00:00:00Z"/>
        <d v="2023-12-26T00:00:00Z"/>
        <d v="2023-03-20T00:00:00Z"/>
        <d v="2023-04-28T00:00:00Z"/>
        <d v="2024-03-03T00:00:00Z"/>
        <d v="2024-09-15T00:00:00Z"/>
        <d v="2023-07-08T00:00:00Z"/>
        <d v="2023-12-16T00:00:00Z"/>
        <d v="2024-10-17T00:00:00Z"/>
        <d v="2024-09-09T00:00:00Z"/>
        <d v="2024-08-07T00:00:00Z"/>
        <d v="2024-04-30T00:00:00Z"/>
        <d v="2023-07-05T00:00:00Z"/>
        <d v="2023-09-22T00:00:00Z"/>
        <d v="2023-10-22T00:00:00Z"/>
        <d v="2024-09-21T00:00:00Z"/>
        <d v="2023-08-25T00:00:00Z"/>
        <d v="2024-07-19T00:00:00Z"/>
        <d v="2023-07-11T00:00:00Z"/>
        <d v="2023-11-24T00:00:00Z"/>
        <d v="2023-12-04T00:00:00Z"/>
        <d v="2023-07-07T00:00:00Z"/>
        <d v="2024-11-06T00:00:00Z"/>
        <d v="2024-11-22T00:00:00Z"/>
        <d v="2023-12-15T00:00:00Z"/>
        <d v="2023-07-17T00:00:00Z"/>
        <d v="2024-05-07T00:00:00Z"/>
        <d v="2024-07-02T00:00:00Z"/>
        <d v="2023-02-17T00:00:00Z"/>
        <d v="2024-06-14T00:00:00Z"/>
        <d v="2024-04-09T00:00:00Z"/>
        <d v="2024-06-30T00:00:00Z"/>
        <d v="2024-08-29T00:00:00Z"/>
        <d v="2024-04-02T00:00:00Z"/>
        <d v="2023-11-06T00:00:00Z"/>
        <d v="2024-06-17T00:00:00Z"/>
        <d v="2024-04-17T00:00:00Z"/>
        <d v="2024-02-14T00:00:00Z"/>
        <d v="2023-04-15T00:00:00Z"/>
        <d v="2023-03-16T00:00:00Z"/>
        <d v="2025-01-20T00:00:00Z"/>
        <d v="2024-03-21T00:00:00Z"/>
        <d v="2024-09-11T00:00:00Z"/>
        <d v="2024-04-12T00:00:00Z"/>
        <d v="2024-03-01T00:00:00Z"/>
        <d v="2023-06-13T00:00:00Z"/>
        <d v="2023-03-17T00:00:00Z"/>
        <d v="2023-04-01T00:00:00Z"/>
        <d v="2024-02-16T00:00:00Z"/>
        <d v="2024-11-07T00:00:00Z"/>
        <d v="2024-05-11T00:00:00Z"/>
        <d v="2023-04-06T00:00:00Z"/>
        <d v="2024-05-14T00:00:00Z"/>
        <d v="2023-09-19T00:00:00Z"/>
        <d v="2025-01-22T00:00:00Z"/>
        <d v="2023-10-03T00:00:00Z"/>
        <d v="2024-08-24T00:00:00Z"/>
        <d v="2023-05-06T00:00:00Z"/>
        <d v="2025-01-26T00:00:00Z"/>
        <d v="2023-06-22T00:00:00Z"/>
        <d v="2025-01-03T00:00:00Z"/>
        <d v="2023-04-13T00:00:00Z"/>
        <d v="2024-06-19T00:00:00Z"/>
        <d v="2023-05-13T00:00:00Z"/>
        <d v="2024-05-08T00:00:00Z"/>
        <d v="2023-11-09T00:00:00Z"/>
        <d v="2024-08-16T00:00:00Z"/>
        <d v="2024-10-06T00:00:00Z"/>
        <d v="2023-08-26T00:00:00Z"/>
        <d v="2023-06-29T00:00:00Z"/>
        <d v="2024-09-30T00:00:00Z"/>
        <d v="2023-10-08T00:00:00Z"/>
        <d v="2023-12-18T00:00:00Z"/>
        <d v="2024-11-24T00:00:00Z"/>
        <d v="2024-02-03T00:00:00Z"/>
        <d v="2024-08-14T00:00:00Z"/>
        <d v="2023-02-25T00:00:00Z"/>
        <d v="2025-02-01T00:00:00Z"/>
        <d v="2023-07-03T00:00:00Z"/>
        <d v="2023-08-13T00:00:00Z"/>
        <d v="2024-12-14T00:00:00Z"/>
        <d v="2024-12-31T00:00:00Z"/>
        <d v="2024-08-04T00:00:00Z"/>
        <d v="2023-07-02T00:00:00Z"/>
        <d v="2024-05-10T00:00:00Z"/>
        <d v="2023-09-21T00:00:00Z"/>
        <d v="2024-10-13T00:00:00Z"/>
        <d v="2024-04-07T00:00:00Z"/>
        <d v="2024-04-11T00:00:00Z"/>
        <d v="2024-12-03T00:00:00Z"/>
        <d v="2024-07-31T00:00:00Z"/>
        <d v="2024-01-03T00:00:00Z"/>
        <d v="2023-12-30T00:00:00Z"/>
        <d v="2025-01-29T00:00:00Z"/>
        <d v="2024-06-11T00:00:00Z"/>
        <d v="2023-09-18T00:00:00Z"/>
        <d v="2024-05-17T00:00:00Z"/>
        <d v="2023-02-14T00:00:00Z"/>
        <d v="2024-01-17T00:00:00Z"/>
        <d v="2024-04-10T00:00:00Z"/>
        <d v="2023-06-09T00:00:00Z"/>
        <d v="2023-04-17T00:00:00Z"/>
        <d v="2023-09-28T00:00:00Z"/>
        <d v="2024-04-16T00:00:00Z"/>
        <d v="2024-07-08T00:00:00Z"/>
        <d v="2023-05-16T00:00:00Z"/>
        <d v="2023-03-27T00:00:00Z"/>
        <d v="2023-02-24T00:00:00Z"/>
        <d v="2023-09-25T00:00:00Z"/>
        <d v="2024-07-06T00:00:00Z"/>
        <d v="2023-02-19T00:00:00Z"/>
        <d v="2024-07-14T00:00:00Z"/>
        <d v="2024-12-02T00:00:00Z"/>
        <d v="2024-05-12T00:00:00Z"/>
        <d v="2024-06-08T00:00:00Z"/>
        <d v="2023-11-21T00:00:00Z"/>
        <d v="2024-01-19T00:00:00Z"/>
        <d v="2023-11-10T00:00:00Z"/>
        <d v="2023-04-25T00:00:00Z"/>
        <d v="2023-12-17T00:00:00Z"/>
        <d v="2023-05-21T00:00:00Z"/>
        <d v="2023-11-15T00:00:00Z"/>
        <d v="2024-04-23T00:00:00Z"/>
        <d v="2024-06-28T00:00:00Z"/>
        <d v="2023-07-14T00:00:00Z"/>
        <d v="2024-04-22T00:00:00Z"/>
        <d v="2024-01-16T00:00:00Z"/>
        <d v="2024-03-13T00:00:00Z"/>
        <d v="2023-09-08T00:00:00Z"/>
        <d v="2024-02-26T00:00:00Z"/>
        <d v="2024-01-24T00:00:00Z"/>
        <d v="2024-02-24T00:00:00Z"/>
        <d v="2024-01-10T00:00:00Z"/>
        <d v="2024-07-05T00:00:00Z"/>
        <d v="2024-12-21T00:00:00Z"/>
        <d v="2023-04-21T00:00:00Z"/>
        <d v="2024-02-08T00:00:00Z"/>
        <d v="2024-06-13T00:00:00Z"/>
        <d v="2024-03-14T00:00:00Z"/>
        <d v="2024-02-12T00:00:00Z"/>
        <d v="2025-01-30T00:00:00Z"/>
        <d v="2024-04-24T00:00:00Z"/>
        <d v="2024-04-20T00:00:00Z"/>
        <d v="2023-09-26T00:00:00Z"/>
        <d v="2024-03-20T00:00:00Z"/>
        <d v="2025-01-06T00:00:00Z"/>
        <d v="2023-08-11T00:00:00Z"/>
        <d v="2024-12-29T00:00:00Z"/>
        <d v="2024-03-07T00:00:00Z"/>
        <d v="2023-12-12T00:00:00Z"/>
        <d v="2025-02-13T00:00:00Z"/>
        <d v="2024-10-24T00:00:00Z"/>
        <d v="2024-09-07T00:00:00Z"/>
        <d v="2024-12-26T00:00:00Z"/>
        <d v="2024-08-01T00:00:00Z"/>
        <d v="2024-04-21T00:00:00Z"/>
        <d v="2024-05-21T00:00:00Z"/>
        <d v="2024-06-12T00:00:00Z"/>
        <d v="2023-09-15T00:00:00Z"/>
        <d v="2024-09-05T00:00:00Z"/>
        <d v="2024-01-26T00:00:00Z"/>
        <d v="2023-08-10T00:00:00Z"/>
        <d v="2023-03-31T00:00:00Z"/>
        <d v="2025-02-02T00:00:00Z"/>
        <d v="2024-12-18T00:00:00Z"/>
        <d v="2023-08-15T00:00:00Z"/>
        <d v="2024-10-11T00:00:00Z"/>
        <d v="2024-04-03T00:00:00Z"/>
        <d v="2024-08-23T00:00:00Z"/>
        <d v="2023-11-29T00:00:00Z"/>
        <d v="2023-02-26T00:00:00Z"/>
        <d v="2023-06-15T00:00:00Z"/>
        <d v="2024-08-26T00:00:00Z"/>
        <d v="2024-05-05T00:00:00Z"/>
        <d v="2024-05-13T00:00:00Z"/>
        <d v="2024-06-10T00:00:00Z"/>
        <d v="2024-08-31T00:00:00Z"/>
        <d v="2024-03-06T00:00:00Z"/>
        <d v="2024-02-06T00:00:00Z"/>
        <d v="2023-12-01T00:00:00Z"/>
        <d v="2024-03-28T00:00:00Z"/>
        <d v="2023-05-30T00:00:00Z"/>
        <d v="2023-12-31T00:00:00Z"/>
        <d v="2024-12-10T00:00:00Z"/>
        <d v="2025-01-25T00:00:00Z"/>
        <d v="2024-11-01T00:00:00Z"/>
        <d v="2023-10-20T00:00:00Z"/>
        <d v="2023-07-01T00:00:00Z"/>
        <d v="2023-04-23T00:00:00Z"/>
        <d v="2024-04-06T00:00:00Z"/>
        <d v="2024-07-04T00:00:00Z"/>
      </sharedItems>
    </cacheField>
    <cacheField name="Delivery_Time" numFmtId="0">
      <sharedItems>
        <s v="08:51:31"/>
        <s v="18:46:26"/>
        <s v="14:29:50"/>
        <s v="07:00:32"/>
        <s v="22:10:58"/>
        <s v="11:25:50"/>
        <s v="20:10:50"/>
        <s v="12:36:32"/>
        <s v="23:05:41"/>
        <s v="19:57:06"/>
        <s v="08:00:35"/>
        <s v="22:54:40"/>
        <s v="13:19:45"/>
        <s v="15:16:54"/>
        <s v="21:47:03"/>
        <s v="11:25:46"/>
        <s v="12:55:59"/>
        <s v="03:46:23"/>
        <s v="10:08:54"/>
        <s v="14:05:20"/>
        <s v="13:39:21"/>
        <s v="13:23:35"/>
        <s v="16:23:04"/>
        <s v="00:57:21"/>
        <s v="04:38:19"/>
        <s v="20:36:00"/>
        <s v="09:53:18"/>
        <s v="02:21:23"/>
        <s v="08:01:21"/>
        <s v="20:26:25"/>
        <s v="17:27:57"/>
        <s v="09:28:47"/>
        <s v="08:49:03"/>
        <s v="09:55:32"/>
        <s v="09:09:46"/>
        <s v="14:14:46"/>
        <s v="00:00:51"/>
        <s v="16:46:20"/>
        <s v="01:56:00"/>
        <s v="18:12:43"/>
        <s v="11:25:58"/>
        <s v="09:02:09"/>
        <s v="15:28:39"/>
        <s v="12:37:05"/>
        <s v="16:09:29"/>
        <s v="00:31:21"/>
        <s v="06:23:07"/>
        <s v="07:23:46"/>
        <s v="09:51:58"/>
        <s v="00:47:31"/>
        <s v="17:14:10"/>
        <s v="01:12:58"/>
        <s v="07:09:53"/>
        <s v="07:53:31"/>
        <s v="08:48:02"/>
        <s v="16:08:19"/>
        <s v="03:08:52"/>
        <s v="15:21:29"/>
        <s v="00:00:42"/>
        <s v="13:09:47"/>
        <s v="20:00:32"/>
        <s v="15:52:25"/>
        <s v="02:44:55"/>
        <s v="09:05:06"/>
        <s v="05:56:26"/>
        <s v="23:33:51"/>
        <s v="12:18:47"/>
        <s v="07:24:20"/>
        <s v="10:04:54"/>
        <s v="08:17:58"/>
        <s v="22:41:33"/>
        <s v="10:39:08"/>
        <s v="05:38:59"/>
        <s v="15:52:42"/>
        <s v="02:05:20"/>
        <s v="16:05:07"/>
        <s v="07:38:34"/>
        <s v="01:07:36"/>
        <s v="16:14:09"/>
        <s v="10:56:05"/>
        <s v="20:24:13"/>
        <s v="15:38:07"/>
        <s v="13:48:26"/>
        <s v="09:07:52"/>
        <s v="13:15:51"/>
        <s v="13:53:47"/>
        <s v="21:18:20"/>
        <s v="17:13:41"/>
        <s v="23:09:43"/>
        <s v="11:02:15"/>
        <s v="00:56:16"/>
        <s v="00:26:45"/>
        <s v="06:56:06"/>
        <s v="01:56:42"/>
        <s v="10:01:40"/>
        <s v="22:15:50"/>
        <s v="06:23:31"/>
        <s v="01:29:42"/>
        <s v="10:10:26"/>
        <s v="17:07:06"/>
        <s v="02:45:47"/>
        <s v="14:51:25"/>
        <s v="06:09:27"/>
        <s v="09:07:45"/>
        <s v="09:03:23"/>
        <s v="19:43:27"/>
        <s v="04:57:03"/>
        <s v="21:42:51"/>
        <s v="22:28:20"/>
        <s v="09:50:58"/>
        <s v="16:26:05"/>
        <s v="19:04:22"/>
        <s v="11:54:49"/>
        <s v="18:54:47"/>
        <s v="16:45:09"/>
        <s v="11:58:32"/>
        <s v="15:27:26"/>
        <s v="01:22:23"/>
        <s v="23:08:52"/>
        <s v="11:35:56"/>
        <s v="04:39:06"/>
        <s v="14:05:53"/>
        <s v="05:11:05"/>
        <s v="23:53:27"/>
        <s v="20:14:00"/>
        <s v="16:29:02"/>
        <s v="11:25:35"/>
        <s v="19:20:55"/>
        <s v="12:35:14"/>
        <s v="13:38:46"/>
        <s v="23:51:56"/>
        <s v="16:24:38"/>
        <s v="01:21:39"/>
        <s v="14:08:36"/>
        <s v="15:41:07"/>
        <s v="03:43:44"/>
        <s v="21:20:28"/>
        <s v="23:29:03"/>
        <s v="10:17:52"/>
        <s v="05:48:39"/>
        <s v="05:24:44"/>
        <s v="02:59:45"/>
        <s v="02:22:56"/>
        <s v="11:32:19"/>
        <s v="16:27:25"/>
        <s v="22:10:44"/>
        <s v="04:56:51"/>
        <s v="19:53:01"/>
        <s v="06:57:51"/>
        <s v="06:40:28"/>
        <s v="08:21:37"/>
        <s v="01:47:49"/>
        <s v="19:16:06"/>
        <s v="02:32:24"/>
        <s v="11:54:10"/>
        <s v="00:12:03"/>
        <s v="09:34:31"/>
        <s v="18:09:14"/>
        <s v="22:23:04"/>
        <s v="00:47:16"/>
        <s v="10:43:13"/>
        <s v="09:56:25"/>
        <s v="15:06:55"/>
        <s v="19:58:13"/>
        <s v="04:56:02"/>
        <s v="12:21:09"/>
        <s v="12:32:31"/>
        <s v="05:26:37"/>
        <s v="06:56:11"/>
        <s v="18:17:55"/>
        <s v="15:55:56"/>
        <s v="10:48:42"/>
        <s v="06:37:23"/>
        <s v="16:27:41"/>
        <s v="10:39:26"/>
        <s v="01:05:29"/>
        <s v="00:35:18"/>
        <s v="18:28:53"/>
        <s v="04:48:38"/>
        <s v="13:20:58"/>
        <s v="13:20:38"/>
        <s v="04:04:13"/>
        <s v="00:33:10"/>
        <s v="04:10:37"/>
        <s v="16:30:13"/>
        <s v="13:33:22"/>
        <s v="08:04:55"/>
        <s v="23:44:01"/>
        <s v="00:28:50"/>
        <s v="23:34:55"/>
        <s v="22:37:23"/>
        <s v="14:39:46"/>
        <s v="04:23:57"/>
        <s v="12:39:46"/>
        <s v="17:38:42"/>
        <s v="12:31:34"/>
        <s v="23:02:25"/>
        <s v="20:52:06"/>
        <s v="20:49:10"/>
        <s v="08:30:57"/>
        <s v="17:20:58"/>
        <s v="13:06:14"/>
        <s v="18:31:17"/>
        <s v="12:58:48"/>
        <s v="13:05:17"/>
        <s v="23:22:12"/>
        <s v="00:16:22"/>
        <s v="01:58:28"/>
        <s v="10:47:50"/>
        <s v="22:18:21"/>
        <s v="06:31:08"/>
        <s v="06:07:50"/>
        <s v="12:21:43"/>
        <s v="23:33:34"/>
        <s v="12:42:53"/>
        <s v="07:56:25"/>
        <s v="11:48:40"/>
        <s v="20:08:57"/>
        <s v="01:46:46"/>
        <s v="07:56:46"/>
        <s v="15:58:45"/>
        <s v="10:45:58"/>
        <s v="13:12:04"/>
        <s v="09:03:16"/>
        <s v="09:29:13"/>
        <s v="23:19:19"/>
        <s v="14:18:48"/>
        <s v="17:01:58"/>
        <s v="07:02:28"/>
        <s v="22:38:31"/>
        <s v="05:46:18"/>
        <s v="03:01:00"/>
        <s v="09:50:44"/>
        <s v="08:01:14"/>
        <s v="18:41:50"/>
        <s v="15:48:50"/>
        <s v="13:35:45"/>
        <s v="02:58:17"/>
        <s v="11:47:41"/>
        <s v="22:31:13"/>
        <s v="00:21:21"/>
        <s v="03:39:43"/>
        <s v="12:34:57"/>
        <s v="23:41:13"/>
        <s v="01:51:44"/>
        <s v="01:26:28"/>
        <s v="15:11:50"/>
        <s v="23:12:23"/>
        <s v="00:33:32"/>
        <s v="00:33:26"/>
        <s v="15:31:26"/>
        <s v="03:23:26"/>
        <s v="09:57:13"/>
        <s v="22:40:50"/>
        <s v="13:29:40"/>
        <s v="09:11:07"/>
        <s v="07:27:00"/>
        <s v="02:19:52"/>
        <s v="07:05:22"/>
        <s v="00:06:39"/>
        <s v="11:30:05"/>
        <s v="08:01:11"/>
        <s v="00:49:45"/>
        <s v="19:22:50"/>
        <s v="08:42:57"/>
        <s v="05:28:25"/>
        <s v="00:34:58"/>
        <s v="12:42:34"/>
        <s v="23:16:52"/>
        <s v="10:41:25"/>
        <s v="11:16:12"/>
        <s v="12:50:53"/>
        <s v="07:58:28"/>
        <s v="17:32:38"/>
        <s v="07:38:19"/>
        <s v="07:40:09"/>
        <s v="22:27:12"/>
        <s v="06:44:34"/>
        <s v="06:17:48"/>
        <s v="16:40:47"/>
        <s v="19:19:52"/>
        <s v="12:59:43"/>
        <s v="15:40:22"/>
        <s v="08:44:22"/>
        <s v="10:14:17"/>
        <s v="20:00:01"/>
        <s v="17:06:11"/>
        <s v="10:15:00"/>
        <s v="07:39:38"/>
        <s v="14:02:18"/>
        <s v="20:45:00"/>
        <s v="05:26:03"/>
        <s v="17:57:56"/>
        <s v="11:28:09"/>
        <s v="22:44:53"/>
        <s v="22:07:13"/>
        <s v="04:23:25"/>
        <s v="19:38:50"/>
        <s v="00:10:27"/>
        <s v="03:42:23"/>
        <s v="13:29:05"/>
        <s v="19:01:55"/>
        <s v="02:01:44"/>
        <s v="04:01:49"/>
        <s v="18:16:24"/>
        <s v="09:49:51"/>
        <s v="06:30:50"/>
        <s v="18:13:08"/>
        <s v="02:14:28"/>
        <s v="16:13:35"/>
        <s v="16:28:56"/>
        <s v="01:46:13"/>
        <s v="00:48:16"/>
        <s v="21:00:17"/>
        <s v="23:36:21"/>
        <s v="12:31:00"/>
        <s v="19:17:45"/>
        <s v="16:06:37"/>
        <s v="19:56:33"/>
        <s v="09:20:03"/>
        <s v="16:59:14"/>
        <s v="00:56:01"/>
        <s v="13:27:06"/>
        <s v="02:51:48"/>
        <s v="19:14:57"/>
        <s v="09:59:33"/>
        <s v="05:13:28"/>
        <s v="19:39:57"/>
        <s v="11:45:52"/>
        <s v="05:22:25"/>
        <s v="05:02:16"/>
        <s v="15:13:07"/>
        <s v="19:33:15"/>
        <s v="23:00:06"/>
        <s v="13:36:46"/>
        <s v="02:00:46"/>
        <s v="10:20:47"/>
        <s v="14:41:40"/>
        <s v="06:29:31"/>
        <s v="02:17:23"/>
        <s v="23:23:19"/>
        <s v="04:39:51"/>
        <s v="05:31:50"/>
        <s v="09:33:25"/>
        <s v="19:58:19"/>
        <s v="08:40:53"/>
        <s v="09:33:08"/>
        <s v="09:19:40"/>
        <s v="06:00:22"/>
        <s v="06:40:47"/>
        <s v="21:07:49"/>
        <s v="22:26:18"/>
        <s v="06:39:28"/>
        <s v="20:53:18"/>
        <s v="16:22:11"/>
        <s v="01:52:14"/>
        <s v="17:18:51"/>
        <s v="13:55:34"/>
        <s v="23:25:32"/>
        <s v="03:13:08"/>
        <s v="10:35:02"/>
        <s v="07:09:27"/>
        <s v="03:15:28"/>
        <s v="22:23:18"/>
        <s v="01:30:58"/>
        <s v="13:26:32"/>
        <s v="23:05:05"/>
        <s v="15:17:48"/>
        <s v="19:28:55"/>
        <s v="08:45:35"/>
        <s v="10:06:44"/>
        <s v="17:52:11"/>
        <s v="12:54:21"/>
        <s v="21:20:42"/>
        <s v="12:35:16"/>
        <s v="08:13:41"/>
        <s v="23:59:41"/>
        <s v="19:20:26"/>
        <s v="14:30:24"/>
        <s v="21:12:03"/>
        <s v="11:21:30"/>
        <s v="23:12:16"/>
        <s v="07:20:39"/>
        <s v="02:07:12"/>
        <s v="14:14:53"/>
        <s v="16:03:33"/>
        <s v="18:15:03"/>
        <s v="14:16:13"/>
        <s v="06:31:20"/>
        <s v="13:27:30"/>
        <s v="17:37:51"/>
        <s v="04:02:49"/>
        <s v="06:32:27"/>
        <s v="18:04:09"/>
        <s v="15:08:52"/>
        <s v="11:20:17"/>
        <s v="11:06:01"/>
        <s v="00:48:55"/>
        <s v="09:05:57"/>
        <s v="00:38:35"/>
        <s v="02:03:42"/>
        <s v="03:55:32"/>
        <s v="06:30:27"/>
        <s v="19:25:43"/>
        <s v="18:05:47"/>
        <s v="16:20:46"/>
        <s v="15:09:01"/>
        <s v="03:55:26"/>
        <s v="21:24:42"/>
        <s v="05:33:08"/>
        <s v="02:03:44"/>
        <s v="08:36:13"/>
        <s v="23:31:23"/>
        <s v="20:13:27"/>
        <s v="09:28:52"/>
        <s v="07:58:32"/>
        <s v="12:11:43"/>
        <s v="08:40:48"/>
        <s v="04:54:21"/>
        <s v="22:30:31"/>
        <s v="14:43:30"/>
        <s v="10:39:52"/>
        <s v="05:18:08"/>
        <s v="14:57:01"/>
        <s v="13:28:57"/>
        <s v="06:03:03"/>
        <s v="10:01:43"/>
        <s v="04:45:34"/>
        <s v="03:46:12"/>
        <s v="21:10:12"/>
        <s v="01:58:20"/>
        <s v="07:06:38"/>
        <s v="14:16:59"/>
        <s v="13:50:58"/>
        <s v="01:46:40"/>
        <s v="06:09:19"/>
        <s v="16:40:55"/>
        <s v="03:50:06"/>
        <s v="15:41:25"/>
        <s v="17:28:07"/>
        <s v="02:24:54"/>
        <s v="13:52:42"/>
        <s v="04:47:20"/>
        <s v="02:44:11"/>
        <s v="12:59:30"/>
        <s v="03:08:53"/>
        <s v="01:57:29"/>
        <s v="02:03:57"/>
        <s v="05:04:36"/>
        <s v="05:45:33"/>
        <s v="08:22:44"/>
        <s v="04:21:49"/>
        <s v="04:38:50"/>
        <s v="11:44:11"/>
        <s v="08:42:42"/>
        <s v="03:38:41"/>
        <s v="01:13:09"/>
        <s v="02:15:04"/>
        <s v="21:00:20"/>
        <s v="12:41:59"/>
        <s v="19:23:44"/>
        <s v="03:34:04"/>
        <s v="05:48:22"/>
        <s v="21:18:46"/>
        <s v="09:06:18"/>
        <s v="05:09:35"/>
        <s v="16:09:18"/>
        <s v="00:18:32"/>
        <s v="15:51:15"/>
        <s v="01:05:53"/>
        <s v="14:31:29"/>
        <s v="07:21:52"/>
        <s v="01:24:34"/>
        <s v="09:31:36"/>
        <s v="18:29:46"/>
        <s v="09:32:58"/>
        <s v="17:45:57"/>
        <s v="19:29:03"/>
        <s v="14:00:57"/>
        <s v="01:06:14"/>
        <s v="07:46:17"/>
        <s v="03:53:13"/>
        <s v="07:01:18"/>
        <s v="03:31:58"/>
        <s v="09:42:50"/>
        <s v="09:34:23"/>
        <s v="04:52:06"/>
        <s v="06:42:40"/>
        <s v="01:31:23"/>
        <s v="02:58:16"/>
        <s v="03:32:40"/>
        <s v="16:13:49"/>
        <s v="06:25:35"/>
        <s v="00:24:54"/>
        <s v="16:11:48"/>
        <s v="23:38:57"/>
        <s v="17:07:47"/>
        <s v="05:55:32"/>
      </sharedItems>
    </cacheField>
    <cacheField name="Days to Deliver" numFmtId="0">
      <sharedItems containsSemiMixedTypes="0" containsString="0" containsNumber="1" containsInteger="1">
        <n v="3.0"/>
        <n v="2.0"/>
        <n v="4.0"/>
        <n v="5.0"/>
        <n v="1.0"/>
        <n v="7.0"/>
        <n v="6.0"/>
      </sharedItems>
    </cacheField>
    <cacheField name="Order_Hour" numFmtId="0">
      <sharedItems containsSemiMixedTypes="0" containsString="0" containsNumber="1" containsInteger="1">
        <n v="18.0"/>
        <n v="1.0"/>
        <n v="7.0"/>
        <n v="3.0"/>
        <n v="16.0"/>
        <n v="9.0"/>
        <n v="19.0"/>
        <n v="12.0"/>
        <n v="13.0"/>
        <n v="17.0"/>
        <n v="15.0"/>
        <n v="22.0"/>
        <n v="14.0"/>
        <n v="4.0"/>
        <n v="23.0"/>
        <n v="11.0"/>
        <n v="6.0"/>
        <n v="10.0"/>
        <n v="20.0"/>
        <n v="8.0"/>
        <n v="0.0"/>
        <n v="21.0"/>
        <n v="5.0"/>
        <n v="2.0"/>
      </sharedItems>
    </cacheField>
    <cacheField name="Amount" numFmtId="0">
      <sharedItems containsSemiMixedTypes="0" containsString="0" containsNumber="1">
        <n v="1544.4"/>
        <n v="665.12"/>
        <n v="202.54"/>
        <n v="2025.0"/>
        <n v="166.28"/>
        <n v="1320.44"/>
        <n v="1090.92"/>
        <n v="275.44"/>
        <n v="48.45"/>
        <n v="1454.56"/>
        <n v="771.1800000000001"/>
        <n v="703.72"/>
        <n v="190.1"/>
        <n v="440.54"/>
        <n v="1090.04"/>
        <n v="208.36"/>
        <n v="193.8"/>
        <n v="103.5"/>
        <n v="926.64"/>
        <n v="520.9000000000001"/>
        <n v="461.07"/>
        <n v="132.97"/>
        <n v="252.38"/>
        <n v="847.89"/>
        <n v="384.41999999999996"/>
        <n v="727.28"/>
        <n v="62.42"/>
        <n v="630.56"/>
        <n v="792.65"/>
        <n v="187.26"/>
        <n v="129.75"/>
        <n v="788.1999999999999"/>
        <n v="962.96"/>
        <n v="405.0"/>
        <n v="389.20000000000005"/>
        <n v="1117.8600000000001"/>
        <n v="1489.77"/>
        <n v="950.5"/>
        <n v="2157.2"/>
        <n v="41.4"/>
        <n v="259.5"/>
        <n v="178.0"/>
        <n v="640.6999999999999"/>
        <n v="738.06"/>
        <n v="363.64"/>
        <n v="124.84"/>
        <n v="858.21"/>
        <n v="348.36"/>
        <n v="1101.76"/>
        <n v="421.7"/>
        <n v="272.51"/>
        <n v="527.79"/>
        <n v="681.5"/>
        <n v="882.06"/>
        <n v="1476.12"/>
        <n v="1986.36"/>
        <n v="993.18"/>
        <n v="308.88"/>
        <n v="1702.36"/>
        <n v="267.24"/>
        <n v="128.14"/>
        <n v="955.04"/>
        <n v="378.57"/>
        <n v="1925.92"/>
        <n v="403.03"/>
        <n v="660.22"/>
        <n v="330.11"/>
        <n v="810.0"/>
        <n v="431.44"/>
        <n v="1430.35"/>
        <n v="2229.05"/>
        <n v="867.24"/>
        <n v="942.52"/>
        <n v="990.33"/>
        <n v="826.3199999999999"/>
        <n v="1432.56"/>
        <n v="424.82"/>
        <n v="272.6"/>
        <n v="881.08"/>
        <n v="668.1"/>
        <n v="617.76"/>
        <n v="2482.95"/>
        <n v="221.9"/>
        <n v="1028.24"/>
        <n v="1526.92"/>
        <n v="879.6500000000001"/>
        <n v="1012.6999999999999"/>
        <n v="20.0"/>
        <n v="763.46"/>
        <n v="481.48"/>
        <n v="155.68"/>
        <n v="136.3"/>
        <n v="1274.46"/>
        <n v="1725.76"/>
        <n v="664.85"/>
        <n v="405.08"/>
        <n v="2015.1499999999999"/>
        <n v="1612.12"/>
        <n v="545.2"/>
        <n v="235.63"/>
        <n v="1734.48"/>
        <n v="443.8"/>
        <n v="2407.4"/>
        <n v="1168.6"/>
        <n v="100.0"/>
        <n v="242.25"/>
        <n v="810.16"/>
        <n v="133.5"/>
        <n v="660.8100000000001"/>
        <n v="572.14"/>
        <n v="554.75"/>
        <n v="416.72"/>
        <n v="537.35"/>
        <n v="282.63"/>
        <n v="369.03"/>
        <n v="1178.15"/>
        <n v="514.12"/>
        <n v="89.0"/>
        <n v="648.75"/>
        <n v="249.68"/>
        <n v="1686.8"/>
        <n v="33.49"/>
        <n v="706.89"/>
        <n v="843.4"/>
        <n v="372.62"/>
        <n v="107.47"/>
        <n v="126.19"/>
        <n v="1460.75"/>
        <n v="408.90000000000003"/>
        <n v="1209.09"/>
        <n v="891.62"/>
        <n v="100.47"/>
        <n v="584.3"/>
        <n v="472.91999999999996"/>
        <n v="1910.08"/>
        <n v="87.09"/>
        <n v="332.85"/>
        <n v="1276.77"/>
        <n v="2205.1499999999996"/>
        <n v="389.25"/>
        <n v="429.88"/>
        <n v="550.88"/>
        <n v="214.94"/>
        <n v="1107.09"/>
        <n v="1265.1"/>
        <n v="1444.44"/>
        <n v="531.88"/>
        <n v="1490.48"/>
        <n v="630.95"/>
        <n v="806.06"/>
        <n v="315.28"/>
        <n v="545.02"/>
        <n v="133.62"/>
        <n v="1130.52"/>
        <n v="498.84000000000003"/>
        <n v="2127.95"/>
        <n v="1818.1999999999998"/>
        <n v="2108.5"/>
        <n v="351.86"/>
        <n v="1323.09"/>
        <n v="1908.65"/>
        <n v="381.73"/>
        <n v="425.59"/>
        <n v="475.59000000000003"/>
        <n v="471.26"/>
        <n v="62.099999999999994"/>
        <n v="570.3"/>
        <n v="104.18"/>
        <n v="851.18"/>
        <n v="1844.28"/>
        <n v="257.06"/>
        <n v="1383.21"/>
        <n v="66.98"/>
        <n v="1620.0"/>
        <n v="849.64"/>
        <n v="44.5"/>
        <n v="445.81"/>
        <n v="398.90999999999997"/>
        <n v="40.0"/>
        <n v="1101.3500000000001"/>
        <n v="145.35000000000002"/>
        <n v="265.94"/>
        <n v="477.52"/>
        <n v="133.96"/>
        <n v="1362.55"/>
        <n v="322.40999999999997"/>
        <n v="317.06"/>
        <n v="435.45000000000005"/>
        <n v="20.7"/>
        <n v="2124.1"/>
        <n v="1300.8600000000001"/>
        <n v="311.36"/>
        <n v="174.18"/>
        <n v="312.54"/>
        <n v="222.5"/>
        <n v="876.4499999999999"/>
        <n v="565.26"/>
        <n v="817.53"/>
        <n v="745.24"/>
        <n v="157.64"/>
        <n v="1863.1"/>
        <n v="1699.28"/>
        <n v="1337.43"/>
        <n v="2387.6"/>
        <n v="292.15"/>
        <n v="80.0"/>
        <n v="96.9"/>
        <n v="504.76"/>
        <n v="167.45000000000002"/>
        <n v="60.0"/>
        <n v="312.1"/>
        <n v="286.07"/>
        <n v="332.56"/>
        <n v="1215.0"/>
        <n v="1294.32"/>
        <n v="82.8"/>
      </sharedItems>
    </cacheField>
    <cacheField name="Amount with Del Charg" numFmtId="0">
      <sharedItems containsSemiMixedTypes="0" containsString="0" containsNumber="1">
        <n v="1604.4"/>
        <n v="731.12"/>
        <n v="249.54"/>
        <n v="2072.0"/>
        <n v="220.28"/>
        <n v="1359.44"/>
        <n v="1591.4"/>
        <n v="1160.92"/>
        <n v="338.44"/>
        <n v="107.45"/>
        <n v="1489.56"/>
        <n v="833.1800000000001"/>
        <n v="768.72"/>
        <n v="260.1"/>
        <n v="479.54"/>
        <n v="1378.44"/>
        <n v="1130.04"/>
        <n v="252.36"/>
        <n v="263.8"/>
        <n v="141.5"/>
        <n v="969.64"/>
        <n v="578.9000000000001"/>
        <n v="517.0699999999999"/>
        <n v="187.97"/>
        <n v="315.38"/>
        <n v="887.89"/>
        <n v="454.41999999999996"/>
        <n v="1129.92"/>
        <n v="770.28"/>
        <n v="120.42"/>
        <n v="189.97"/>
        <n v="689.56"/>
        <n v="834.65"/>
        <n v="223.26"/>
        <n v="199.75"/>
        <n v="841.1999999999999"/>
        <n v="167.5"/>
        <n v="1012.96"/>
        <n v="441.0"/>
        <n v="436.20000000000005"/>
        <n v="1176.8600000000001"/>
        <n v="1169.8600000000001"/>
        <n v="1538.77"/>
        <n v="172.75"/>
        <n v="985.5"/>
        <n v="253.1"/>
        <n v="2214.2"/>
        <n v="674.56"/>
        <n v="706.12"/>
        <n v="91.4"/>
        <n v="301.5"/>
        <n v="218.0"/>
        <n v="697.6999999999999"/>
        <n v="784.06"/>
        <n v="433.64"/>
        <n v="449.0"/>
        <n v="177.84"/>
        <n v="160.5"/>
        <n v="1159.92"/>
        <n v="912.21"/>
        <n v="411.36"/>
        <n v="1141.76"/>
        <n v="480.7"/>
        <n v="315.51"/>
        <n v="573.79"/>
        <n v="720.5"/>
        <n v="931.06"/>
        <n v="1528.12"/>
        <n v="2022.36"/>
        <n v="1034.1799999999998"/>
        <n v="370.88"/>
        <n v="1755.36"/>
        <n v="364.88"/>
        <n v="2216.2"/>
        <n v="317.24"/>
        <n v="1131.92"/>
        <n v="198.14"/>
        <n v="1010.04"/>
        <n v="418.57"/>
        <n v="1961.92"/>
        <n v="974.64"/>
        <n v="455.03"/>
        <n v="724.22"/>
        <n v="115.42"/>
        <n v="397.11"/>
        <n v="114.45"/>
        <n v="880.0"/>
        <n v="1039.1799999999998"/>
        <n v="466.44"/>
        <n v="1495.35"/>
        <n v="300.38"/>
        <n v="2285.05"/>
        <n v="1532.12"/>
        <n v="908.24"/>
        <n v="1002.52"/>
        <n v="849.65"/>
        <n v="1055.33"/>
        <n v="503.54"/>
        <n v="873.3199999999999"/>
        <n v="1498.56"/>
        <n v="468.82"/>
        <n v="326.6"/>
        <n v="946.08"/>
        <n v="732.1"/>
        <n v="678.76"/>
        <n v="518.0699999999999"/>
        <n v="2522.95"/>
        <n v="248.36"/>
        <n v="289.9"/>
        <n v="1033.1799999999998"/>
        <n v="1078.24"/>
        <n v="1592.92"/>
        <n v="2199.2"/>
        <n v="942.6500000000001"/>
        <n v="1080.6999999999998"/>
        <n v="1093.24"/>
        <n v="88.0"/>
        <n v="84.4"/>
        <n v="804.46"/>
        <n v="550.48"/>
        <n v="191.68"/>
        <n v="177.3"/>
        <n v="1341.46"/>
        <n v="340.6"/>
        <n v="1791.76"/>
        <n v="709.85"/>
        <n v="1132.04"/>
        <n v="475.08"/>
        <n v="323.6"/>
        <n v="2067.1499999999996"/>
        <n v="1659.12"/>
        <n v="987.5"/>
        <n v="606.2"/>
        <n v="301.63"/>
        <n v="1770.48"/>
        <n v="824.1999999999999"/>
        <n v="858.65"/>
        <n v="836.1800000000001"/>
        <n v="503.8"/>
        <n v="2451.4"/>
        <n v="1226.6"/>
        <n v="140.0"/>
        <n v="865.0"/>
        <n v="295.25"/>
        <n v="250.54"/>
        <n v="1482.35"/>
        <n v="846.16"/>
        <n v="179.5"/>
        <n v="1979.92"/>
        <n v="430.20000000000005"/>
        <n v="708.8100000000001"/>
        <n v="173.75"/>
        <n v="200.3"/>
        <n v="626.14"/>
        <n v="767.28"/>
        <n v="2299.05"/>
        <n v="616.75"/>
        <n v="461.72"/>
        <n v="2045.36"/>
        <n v="585.35"/>
        <n v="327.63"/>
        <n v="417.03"/>
        <n v="265.36"/>
        <n v="482.54"/>
        <n v="1230.15"/>
        <n v="701.12"/>
        <n v="2061.0"/>
        <n v="573.12"/>
        <n v="141.0"/>
        <n v="691.75"/>
        <n v="286.68"/>
        <n v="1755.8"/>
        <n v="92.49000000000001"/>
        <n v="1141.04"/>
        <n v="315.24"/>
        <n v="1080.24"/>
        <n v="136.0"/>
        <n v="750.89"/>
        <n v="726.1"/>
        <n v="888.4"/>
        <n v="407.62"/>
        <n v="1367.44"/>
        <n v="163.47"/>
        <n v="194.19"/>
        <n v="801.46"/>
        <n v="1528.75"/>
        <n v="450.90000000000003"/>
        <n v="1276.09"/>
        <n v="958.62"/>
        <n v="686.75"/>
        <n v="162.47"/>
        <n v="1389.44"/>
        <n v="1059.6999999999998"/>
        <n v="709.12"/>
        <n v="642.3"/>
        <n v="1128.04"/>
        <n v="519.92"/>
        <n v="249.26"/>
        <n v="1143.92"/>
        <n v="1965.08"/>
        <n v="311.38"/>
        <n v="148.09"/>
        <n v="397.85"/>
        <n v="100.49000000000001"/>
        <n v="1344.77"/>
        <n v="2242.1499999999996"/>
        <n v="426.25"/>
        <n v="293.63"/>
        <n v="480.88"/>
        <n v="586.88"/>
        <n v="269.94"/>
        <n v="856.65"/>
        <n v="764.28"/>
        <n v="319.6"/>
        <n v="1172.09"/>
        <n v="833.46"/>
        <n v="1303.1"/>
        <n v="1030.33"/>
        <n v="408.62"/>
        <n v="1486.44"/>
        <n v="362.88"/>
        <n v="574.88"/>
        <n v="1535.48"/>
        <n v="677.95"/>
        <n v="851.06"/>
        <n v="379.28"/>
        <n v="180.14"/>
        <n v="834.1800000000001"/>
        <n v="593.02"/>
        <n v="1137.92"/>
        <n v="1154.92"/>
        <n v="1241.15"/>
        <n v="190.62"/>
        <n v="1190.52"/>
        <n v="557.84"/>
        <n v="2184.95"/>
        <n v="1878.1999999999998"/>
        <n v="407.03"/>
        <n v="2169.5"/>
        <n v="1584.92"/>
        <n v="412.86"/>
        <n v="831.46"/>
        <n v="1370.09"/>
        <n v="330.6"/>
        <n v="1253.09"/>
        <n v="1953.65"/>
        <n v="417.73"/>
        <n v="465.59"/>
        <n v="1992.92"/>
        <n v="897.4"/>
        <n v="379.85"/>
        <n v="1182.52"/>
        <n v="538.59"/>
        <n v="224.26"/>
        <n v="515.26"/>
        <n v="371.28"/>
        <n v="1532.48"/>
        <n v="867.06"/>
        <n v="129.1"/>
        <n v="317.6"/>
        <n v="257.9"/>
        <n v="1171.8600000000001"/>
        <n v="376.28"/>
        <n v="633.3"/>
        <n v="143.47"/>
        <n v="585.79"/>
        <n v="1316.46"/>
        <n v="1986.92"/>
        <n v="152.18"/>
        <n v="898.18"/>
        <n v="1890.28"/>
        <n v="316.68"/>
        <n v="321.06"/>
        <n v="1129.04"/>
        <n v="876.06"/>
        <n v="1444.21"/>
        <n v="1363.09"/>
        <n v="748.72"/>
        <n v="1157.09"/>
        <n v="1020.96"/>
        <n v="1331.77"/>
        <n v="111.98"/>
        <n v="1690.0"/>
        <n v="1493.44"/>
        <n v="303.24"/>
        <n v="292.68"/>
        <n v="1048.1799999999998"/>
        <n v="1790.76"/>
        <n v="906.64"/>
        <n v="1319.1"/>
        <n v="417.62"/>
        <n v="164.18"/>
        <n v="400.86"/>
        <n v="108.42"/>
        <n v="80.4"/>
        <n v="513.59"/>
        <n v="93.5"/>
        <n v="312.5"/>
        <n v="401.86"/>
        <n v="2164.5"/>
        <n v="486.81"/>
        <n v="918.18"/>
        <n v="487.59"/>
        <n v="167.14"/>
        <n v="281.63"/>
        <n v="372.28"/>
        <n v="434.90999999999997"/>
        <n v="548.48"/>
        <n v="1028.96"/>
        <n v="838.65"/>
        <n v="582.02"/>
        <n v="273.36"/>
        <n v="78.0"/>
        <n v="473.82"/>
        <n v="1158.3500000000001"/>
        <n v="2170.95"/>
        <n v="208.35000000000002"/>
        <n v="251.36"/>
        <n v="496.81"/>
        <n v="334.94"/>
        <n v="1741.8"/>
        <n v="525.52"/>
        <n v="95.0"/>
        <n v="273.63"/>
        <n v="200.96"/>
        <n v="580.2"/>
        <n v="1178.52"/>
        <n v="1407.55"/>
        <n v="604.88"/>
        <n v="944.06"/>
        <n v="321.5"/>
        <n v="1473.56"/>
        <n v="381.40999999999997"/>
        <n v="373.06"/>
        <n v="937.06"/>
        <n v="491.45000000000005"/>
        <n v="456.72"/>
        <n v="94.49000000000001"/>
        <n v="1790.48"/>
        <n v="71.7"/>
        <n v="942.06"/>
        <n v="913.24"/>
        <n v="2161.1"/>
        <n v="1339.8600000000001"/>
        <n v="294.63"/>
        <n v="2166.5"/>
        <n v="370.36"/>
        <n v="236.18"/>
        <n v="372.54"/>
        <n v="385.40999999999997"/>
        <n v="203.35000000000002"/>
        <n v="1097.24"/>
        <n v="1677.12"/>
        <n v="89.45"/>
        <n v="277.5"/>
        <n v="708.6999999999999"/>
        <n v="793.06"/>
        <n v="299.06"/>
        <n v="927.4499999999999"/>
        <n v="627.26"/>
        <n v="883.53"/>
        <n v="715.22"/>
        <n v="305.94"/>
        <n v="241.18"/>
        <n v="574.35"/>
        <n v="584.35"/>
        <n v="172.62"/>
        <n v="593.88"/>
        <n v="1046.33"/>
        <n v="861.53"/>
        <n v="757.72"/>
        <n v="1164.09"/>
        <n v="792.24"/>
        <n v="81.5"/>
        <n v="205.64"/>
        <n v="108.1"/>
        <n v="433.41999999999996"/>
        <n v="538.92"/>
        <n v="438.62"/>
        <n v="1510.56"/>
        <n v="1471.35"/>
        <n v="913.89"/>
        <n v="1929.1"/>
        <n v="1757.28"/>
        <n v="1321.1"/>
        <n v="644.3"/>
        <n v="422.62"/>
        <n v="187.35000000000002"/>
        <n v="611.3"/>
        <n v="1910.28"/>
        <n v="834.1999999999999"/>
        <n v="1374.43"/>
        <n v="1963.92"/>
        <n v="199.62"/>
        <n v="1327.77"/>
        <n v="2447.6"/>
        <n v="883.89"/>
        <n v="216.64"/>
        <n v="86.45"/>
        <n v="349.15"/>
        <n v="131.0"/>
        <n v="152.9"/>
        <n v="319.38"/>
        <n v="573.76"/>
        <n v="1769.28"/>
        <n v="108.0"/>
        <n v="1070.6999999999998"/>
        <n v="597.2"/>
        <n v="672.56"/>
        <n v="183.14"/>
        <n v="915.18"/>
        <n v="231.45000000000002"/>
        <n v="270.63"/>
        <n v="125.0"/>
        <n v="225.45000000000002"/>
        <n v="110.42"/>
        <n v="2174.95"/>
        <n v="895.18"/>
        <n v="503.07"/>
        <n v="290.63"/>
        <n v="141.18"/>
        <n v="1496.56"/>
        <n v="150.47"/>
        <n v="380.28"/>
        <n v="2241.1499999999996"/>
        <n v="1524.12"/>
        <n v="306.5"/>
        <n v="102.4"/>
        <n v="802.24"/>
        <n v="471.88"/>
        <n v="672.76"/>
        <n v="381.1"/>
        <n v="329.07"/>
        <n v="372.56"/>
        <n v="906.24"/>
        <n v="1251.0"/>
        <n v="369.11"/>
        <n v="950.62"/>
        <n v="102.49000000000001"/>
        <n v="203.64"/>
        <n v="304.06"/>
        <n v="1364.32"/>
        <n v="169.97"/>
        <n v="1007.96"/>
        <n v="475.45000000000005"/>
        <n v="1961.65"/>
        <n v="1352.32"/>
        <n v="747.89"/>
        <n v="1538.48"/>
        <n v="1395.43"/>
        <n v="845.06"/>
        <n v="2543.95"/>
        <n v="173.5"/>
        <n v="359.1"/>
        <n v="393.36"/>
        <n v="366.36"/>
        <n v="442.20000000000005"/>
        <n v="594.88"/>
        <n v="1437.21"/>
        <n v="204.28"/>
        <n v="1964.08"/>
        <n v="2440.6"/>
        <n v="386.06"/>
        <n v="1269.0"/>
        <n v="494.88"/>
        <n v="443.41999999999996"/>
        <n v="75.7"/>
        <n v="226.26"/>
        <n v="551.48"/>
        <n v="994.64"/>
        <n v="188.35000000000002"/>
        <n v="464.88"/>
        <n v="2267.1499999999996"/>
        <n v="187.96"/>
        <n v="77.49000000000001"/>
        <n v="185.75"/>
        <n v="143.8"/>
        <n v="710.8100000000001"/>
        <n v="923.24"/>
        <n v="1428.55"/>
        <n v="912.64"/>
        <n v="223.0"/>
      </sharedItems>
    </cacheField>
    <cacheField name="Discount_Percent" numFmtId="0">
      <sharedItems containsSemiMixedTypes="0" containsString="0" containsNumber="1" containsInteger="1">
        <n v="0.0"/>
      </sharedItems>
    </cacheField>
    <cacheField name="Discounted_Amt" numFmtId="0">
      <sharedItems containsSemiMixedTypes="0" containsString="0" containsNumber="1">
        <n v="1544.4"/>
        <n v="665.12"/>
        <n v="202.54"/>
        <n v="2025.0"/>
        <n v="166.28"/>
        <n v="1320.44"/>
        <n v="1090.92"/>
        <n v="275.44"/>
        <n v="48.45"/>
        <n v="1454.56"/>
        <n v="771.1800000000001"/>
        <n v="703.72"/>
        <n v="190.1"/>
        <n v="440.54"/>
        <n v="1090.04"/>
        <n v="208.36"/>
        <n v="193.8"/>
        <n v="103.5"/>
        <n v="926.64"/>
        <n v="520.9000000000001"/>
        <n v="461.07"/>
        <n v="132.97"/>
        <n v="252.38"/>
        <n v="847.89"/>
        <n v="384.41999999999996"/>
        <n v="727.28"/>
        <n v="62.42"/>
        <n v="630.56"/>
        <n v="792.65"/>
        <n v="187.26"/>
        <n v="129.75"/>
        <n v="788.1999999999999"/>
        <n v="962.96"/>
        <n v="405.0"/>
        <n v="389.20000000000005"/>
        <n v="1117.8600000000001"/>
        <n v="1489.77"/>
        <n v="950.5"/>
        <n v="2157.2"/>
        <n v="41.4"/>
        <n v="259.5"/>
        <n v="178.0"/>
        <n v="640.6999999999999"/>
        <n v="738.06"/>
        <n v="363.64"/>
        <n v="124.84"/>
        <n v="858.21"/>
        <n v="348.36"/>
        <n v="1101.76"/>
        <n v="421.7"/>
        <n v="272.51"/>
        <n v="527.79"/>
        <n v="681.5"/>
        <n v="882.06"/>
        <n v="1476.12"/>
        <n v="1986.36"/>
        <n v="993.18"/>
        <n v="308.88"/>
        <n v="1702.36"/>
        <n v="267.24"/>
        <n v="128.14"/>
        <n v="955.04"/>
        <n v="378.57"/>
        <n v="1925.92"/>
        <n v="403.03"/>
        <n v="660.22"/>
        <n v="330.11"/>
        <n v="810.0"/>
        <n v="431.44"/>
        <n v="1430.35"/>
        <n v="2229.05"/>
        <n v="867.24"/>
        <n v="942.52"/>
        <n v="990.33"/>
        <n v="826.3199999999999"/>
        <n v="1432.56"/>
        <n v="424.82"/>
        <n v="272.6"/>
        <n v="881.08"/>
        <n v="668.1"/>
        <n v="617.76"/>
        <n v="2482.95"/>
        <n v="221.9"/>
        <n v="1028.24"/>
        <n v="1526.92"/>
        <n v="879.6500000000001"/>
        <n v="1012.6999999999999"/>
        <n v="20.0"/>
        <n v="763.46"/>
        <n v="481.48"/>
        <n v="155.68"/>
        <n v="136.3"/>
        <n v="1274.46"/>
        <n v="1725.76"/>
        <n v="664.85"/>
        <n v="405.08"/>
        <n v="2015.1499999999999"/>
        <n v="1612.12"/>
        <n v="545.2"/>
        <n v="235.63"/>
        <n v="1734.48"/>
        <n v="443.8"/>
        <n v="2407.4"/>
        <n v="1168.6"/>
        <n v="100.0"/>
        <n v="242.25"/>
        <n v="810.16"/>
        <n v="133.5"/>
        <n v="660.8100000000001"/>
        <n v="572.14"/>
        <n v="554.75"/>
        <n v="416.72"/>
        <n v="537.35"/>
        <n v="282.63"/>
        <n v="369.03"/>
        <n v="1178.15"/>
        <n v="514.12"/>
        <n v="89.0"/>
        <n v="648.75"/>
        <n v="249.68"/>
        <n v="1686.8"/>
        <n v="33.49"/>
        <n v="706.89"/>
        <n v="843.4"/>
        <n v="372.62"/>
        <n v="107.47"/>
        <n v="126.19"/>
        <n v="1460.75"/>
        <n v="408.90000000000003"/>
        <n v="1209.09"/>
        <n v="891.62"/>
        <n v="100.47"/>
        <n v="584.3"/>
        <n v="472.91999999999996"/>
        <n v="1910.08"/>
        <n v="87.09"/>
        <n v="332.85"/>
        <n v="1276.77"/>
        <n v="2205.1499999999996"/>
        <n v="389.25"/>
        <n v="429.88"/>
        <n v="550.88"/>
        <n v="214.94"/>
        <n v="1107.09"/>
        <n v="1265.1"/>
        <n v="1444.44"/>
        <n v="531.88"/>
        <n v="1490.48"/>
        <n v="630.95"/>
        <n v="806.06"/>
        <n v="315.28"/>
        <n v="545.02"/>
        <n v="133.62"/>
        <n v="1130.52"/>
        <n v="498.84000000000003"/>
        <n v="2127.95"/>
        <n v="1818.1999999999998"/>
        <n v="2108.5"/>
        <n v="351.86"/>
        <n v="1323.09"/>
        <n v="1908.65"/>
        <n v="381.73"/>
        <n v="425.59"/>
        <n v="475.59000000000003"/>
        <n v="471.26"/>
        <n v="62.099999999999994"/>
        <n v="570.3"/>
        <n v="104.18"/>
        <n v="851.18"/>
        <n v="1844.28"/>
        <n v="257.06"/>
        <n v="1383.21"/>
        <n v="66.98"/>
        <n v="1620.0"/>
        <n v="849.64"/>
        <n v="44.5"/>
        <n v="445.81"/>
        <n v="398.90999999999997"/>
        <n v="40.0"/>
        <n v="1101.3500000000001"/>
        <n v="145.35000000000002"/>
        <n v="265.94"/>
        <n v="477.52"/>
        <n v="133.96"/>
        <n v="1362.55"/>
        <n v="322.40999999999997"/>
        <n v="317.06"/>
        <n v="435.45000000000005"/>
        <n v="20.7"/>
        <n v="2124.1"/>
        <n v="1300.8600000000001"/>
        <n v="311.36"/>
        <n v="174.18"/>
        <n v="312.54"/>
        <n v="222.5"/>
        <n v="876.4499999999999"/>
        <n v="565.26"/>
        <n v="817.53"/>
        <n v="745.24"/>
        <n v="157.64"/>
        <n v="1863.1"/>
        <n v="1699.28"/>
        <n v="1337.43"/>
        <n v="2387.6"/>
        <n v="292.15"/>
        <n v="80.0"/>
        <n v="96.9"/>
        <n v="504.76"/>
        <n v="167.45000000000002"/>
        <n v="60.0"/>
        <n v="312.1"/>
        <n v="286.07"/>
        <n v="332.56"/>
        <n v="1215.0"/>
        <n v="1294.32"/>
        <n v="82.8"/>
      </sharedItems>
    </cacheField>
    <cacheField name="Final Amount" numFmtId="0">
      <sharedItems containsSemiMixedTypes="0" containsString="0" containsNumber="1">
        <n v="1604.4"/>
        <n v="731.12"/>
        <n v="249.54"/>
        <n v="2025.0"/>
        <n v="220.28"/>
        <n v="1359.44"/>
        <n v="1591.4"/>
        <n v="1160.92"/>
        <n v="338.44"/>
        <n v="107.45"/>
        <n v="1454.56"/>
        <n v="771.1800000000001"/>
        <n v="768.72"/>
        <n v="190.1"/>
        <n v="440.54"/>
        <n v="1320.44"/>
        <n v="1130.04"/>
        <n v="208.36"/>
        <n v="263.8"/>
        <n v="103.5"/>
        <n v="969.64"/>
        <n v="578.9000000000001"/>
        <n v="517.0699999999999"/>
        <n v="187.97"/>
        <n v="252.38"/>
        <n v="847.89"/>
        <n v="454.41999999999996"/>
        <n v="1129.92"/>
        <n v="770.28"/>
        <n v="62.42"/>
        <n v="132.97"/>
        <n v="689.56"/>
        <n v="834.65"/>
        <n v="223.26"/>
        <n v="199.75"/>
        <n v="841.1999999999999"/>
        <n v="1012.96"/>
        <n v="405.0"/>
        <n v="389.20000000000005"/>
        <n v="1176.8600000000001"/>
        <n v="1169.8600000000001"/>
        <n v="1538.77"/>
        <n v="172.75"/>
        <n v="985.5"/>
        <n v="253.1"/>
        <n v="2214.2"/>
        <n v="674.56"/>
        <n v="665.12"/>
        <n v="91.4"/>
        <n v="301.5"/>
        <n v="218.0"/>
        <n v="697.6999999999999"/>
        <n v="784.06"/>
        <n v="433.64"/>
        <n v="177.84"/>
        <n v="160.5"/>
        <n v="1159.92"/>
        <n v="912.21"/>
        <n v="348.36"/>
        <n v="1141.76"/>
        <n v="480.7"/>
        <n v="315.51"/>
        <n v="573.79"/>
        <n v="720.5"/>
        <n v="931.06"/>
        <n v="1528.12"/>
        <n v="2022.36"/>
        <n v="1034.1799999999998"/>
        <n v="308.88"/>
        <n v="1702.36"/>
        <n v="364.88"/>
        <n v="2216.2"/>
        <n v="317.24"/>
        <n v="1090.92"/>
        <n v="198.14"/>
        <n v="1010.04"/>
        <n v="378.57"/>
        <n v="1961.92"/>
        <n v="974.64"/>
        <n v="455.03"/>
        <n v="724.22"/>
        <n v="115.42"/>
        <n v="397.11"/>
        <n v="114.45"/>
        <n v="810.0"/>
        <n v="1039.1799999999998"/>
        <n v="431.44"/>
        <n v="1495.35"/>
        <n v="300.38"/>
        <n v="2285.05"/>
        <n v="1532.12"/>
        <n v="908.24"/>
        <n v="1002.52"/>
        <n v="849.65"/>
        <n v="1055.33"/>
        <n v="503.54"/>
        <n v="873.3199999999999"/>
        <n v="1498.56"/>
        <n v="424.82"/>
        <n v="326.6"/>
        <n v="946.08"/>
        <n v="732.1"/>
        <n v="678.76"/>
        <n v="518.0699999999999"/>
        <n v="2522.95"/>
        <n v="248.36"/>
        <n v="289.9"/>
        <n v="993.18"/>
        <n v="1078.24"/>
        <n v="1592.92"/>
        <n v="2199.2"/>
        <n v="879.6500000000001"/>
        <n v="1080.6999999999998"/>
        <n v="1093.24"/>
        <n v="88.0"/>
        <n v="41.4"/>
        <n v="763.46"/>
        <n v="550.48"/>
        <n v="191.68"/>
        <n v="177.3"/>
        <n v="1341.46"/>
        <n v="340.6"/>
        <n v="1791.76"/>
        <n v="709.85"/>
        <n v="1090.04"/>
        <n v="475.08"/>
        <n v="323.6"/>
        <n v="2015.1499999999999"/>
        <n v="1659.12"/>
        <n v="987.5"/>
        <n v="545.2"/>
        <n v="301.63"/>
        <n v="1770.48"/>
        <n v="788.1999999999999"/>
        <n v="792.65"/>
        <n v="836.1800000000001"/>
        <n v="503.8"/>
        <n v="2451.4"/>
        <n v="1226.6"/>
        <n v="140.0"/>
        <n v="865.0"/>
        <n v="295.25"/>
        <n v="250.54"/>
        <n v="1482.35"/>
        <n v="846.16"/>
        <n v="179.5"/>
        <n v="1925.92"/>
        <n v="430.20000000000005"/>
        <n v="1033.1799999999998"/>
        <n v="708.8100000000001"/>
        <n v="129.75"/>
        <n v="200.3"/>
        <n v="626.14"/>
        <n v="727.28"/>
        <n v="2299.05"/>
        <n v="616.75"/>
        <n v="461.72"/>
        <n v="2045.36"/>
        <n v="585.35"/>
        <n v="282.63"/>
        <n v="417.03"/>
        <n v="482.54"/>
        <n v="1230.15"/>
        <n v="701.12"/>
        <n v="2061.0"/>
        <n v="573.12"/>
        <n v="141.0"/>
        <n v="648.75"/>
        <n v="286.68"/>
        <n v="1755.8"/>
        <n v="33.49"/>
        <n v="315.24"/>
        <n v="1028.24"/>
        <n v="136.0"/>
        <n v="750.89"/>
        <n v="668.1"/>
        <n v="888.4"/>
        <n v="407.62"/>
        <n v="1367.44"/>
        <n v="163.47"/>
        <n v="194.19"/>
        <n v="1528.75"/>
        <n v="450.90000000000003"/>
        <n v="1276.09"/>
        <n v="891.62"/>
        <n v="686.75"/>
        <n v="162.47"/>
        <n v="1389.44"/>
        <n v="1059.6999999999998"/>
        <n v="709.12"/>
        <n v="642.3"/>
        <n v="519.92"/>
        <n v="249.26"/>
        <n v="1143.92"/>
        <n v="1965.08"/>
        <n v="148.09"/>
        <n v="397.85"/>
        <n v="100.49000000000001"/>
        <n v="1344.77"/>
        <n v="2242.1499999999996"/>
        <n v="426.25"/>
        <n v="293.63"/>
        <n v="480.88"/>
        <n v="586.88"/>
        <n v="269.94"/>
        <n v="856.65"/>
        <n v="764.28"/>
        <n v="319.6"/>
        <n v="1172.09"/>
        <n v="833.46"/>
        <n v="1303.1"/>
        <n v="1030.33"/>
        <n v="408.62"/>
        <n v="1486.44"/>
        <n v="362.88"/>
        <n v="574.88"/>
        <n v="1535.48"/>
        <n v="677.95"/>
        <n v="851.06"/>
        <n v="379.28"/>
        <n v="180.14"/>
        <n v="593.02"/>
        <n v="1137.92"/>
        <n v="1154.92"/>
        <n v="1241.15"/>
        <n v="190.62"/>
        <n v="1190.52"/>
        <n v="557.84"/>
        <n v="2184.95"/>
        <n v="1878.1999999999998"/>
        <n v="2067.1499999999996"/>
        <n v="407.03"/>
        <n v="2169.5"/>
        <n v="1584.92"/>
        <n v="412.86"/>
        <n v="831.46"/>
        <n v="1323.09"/>
        <n v="330.6"/>
        <n v="1253.09"/>
        <n v="1953.65"/>
        <n v="417.73"/>
        <n v="465.59"/>
        <n v="1992.92"/>
        <n v="897.4"/>
        <n v="332.85"/>
        <n v="1182.52"/>
        <n v="538.59"/>
        <n v="224.26"/>
        <n v="515.26"/>
        <n v="371.28"/>
        <n v="1532.48"/>
        <n v="867.06"/>
        <n v="62.099999999999994"/>
        <n v="317.6"/>
        <n v="257.9"/>
        <n v="1117.8600000000001"/>
        <n v="376.28"/>
        <n v="633.3"/>
        <n v="143.47"/>
        <n v="527.79"/>
        <n v="1274.46"/>
        <n v="152.18"/>
        <n v="898.18"/>
        <n v="1844.28"/>
        <n v="316.68"/>
        <n v="321.06"/>
        <n v="1129.04"/>
        <n v="876.06"/>
        <n v="1444.21"/>
        <n v="1363.09"/>
        <n v="748.72"/>
        <n v="1157.09"/>
        <n v="1020.96"/>
        <n v="1331.77"/>
        <n v="111.98"/>
        <n v="1690.0"/>
        <n v="1493.44"/>
        <n v="303.24"/>
        <n v="292.68"/>
        <n v="1048.1799999999998"/>
        <n v="1725.76"/>
        <n v="849.64"/>
        <n v="1319.1"/>
        <n v="417.62"/>
        <n v="164.18"/>
        <n v="400.86"/>
        <n v="108.42"/>
        <n v="80.4"/>
        <n v="513.59"/>
        <n v="93.5"/>
        <n v="259.5"/>
        <n v="351.86"/>
        <n v="2164.5"/>
        <n v="486.81"/>
        <n v="851.18"/>
        <n v="487.59"/>
        <n v="167.14"/>
        <n v="281.63"/>
        <n v="372.28"/>
        <n v="434.90999999999997"/>
        <n v="548.48"/>
        <n v="1028.96"/>
        <n v="838.65"/>
        <n v="582.02"/>
        <n v="273.36"/>
        <n v="78.0"/>
        <n v="473.82"/>
        <n v="1158.3500000000001"/>
        <n v="2127.95"/>
        <n v="208.35000000000002"/>
        <n v="251.36"/>
        <n v="445.81"/>
        <n v="334.94"/>
        <n v="1741.8"/>
        <n v="477.52"/>
        <n v="40.0"/>
        <n v="273.63"/>
        <n v="200.96"/>
        <n v="580.2"/>
        <n v="1178.52"/>
        <n v="1407.55"/>
        <n v="604.88"/>
        <n v="944.06"/>
        <n v="321.5"/>
        <n v="1473.56"/>
        <n v="381.40999999999997"/>
        <n v="373.06"/>
        <n v="882.06"/>
        <n v="435.45000000000005"/>
        <n v="416.72"/>
        <n v="94.49000000000001"/>
        <n v="1734.48"/>
        <n v="20.7"/>
        <n v="942.06"/>
        <n v="867.24"/>
        <n v="2161.1"/>
        <n v="1339.8600000000001"/>
        <n v="294.63"/>
        <n v="2166.5"/>
        <n v="370.36"/>
        <n v="236.18"/>
        <n v="372.54"/>
        <n v="322.40999999999997"/>
        <n v="145.35000000000002"/>
        <n v="1097.24"/>
        <n v="1677.12"/>
        <n v="89.45"/>
        <n v="277.5"/>
        <n v="708.6999999999999"/>
        <n v="793.06"/>
        <n v="299.06"/>
        <n v="876.4499999999999"/>
        <n v="627.26"/>
        <n v="883.53"/>
        <n v="660.22"/>
        <n v="305.94"/>
        <n v="174.18"/>
        <n v="574.35"/>
        <n v="584.35"/>
        <n v="172.62"/>
        <n v="593.88"/>
        <n v="1046.33"/>
        <n v="861.53"/>
        <n v="757.72"/>
        <n v="1164.09"/>
        <n v="792.24"/>
        <n v="44.5"/>
        <n v="205.64"/>
        <n v="108.1"/>
        <n v="433.41999999999996"/>
        <n v="538.92"/>
        <n v="438.62"/>
        <n v="1430.35"/>
        <n v="1929.1"/>
        <n v="1757.28"/>
        <n v="1265.1"/>
        <n v="644.3"/>
        <n v="422.62"/>
        <n v="187.35000000000002"/>
        <n v="611.3"/>
        <n v="1910.28"/>
        <n v="834.1999999999999"/>
        <n v="1374.43"/>
        <n v="1963.92"/>
        <n v="199.62"/>
        <n v="1327.77"/>
        <n v="2447.6"/>
        <n v="883.89"/>
        <n v="216.64"/>
        <n v="86.45"/>
        <n v="349.15"/>
        <n v="131.0"/>
        <n v="152.9"/>
        <n v="319.38"/>
        <n v="573.76"/>
        <n v="1489.77"/>
        <n v="1769.28"/>
        <n v="108.0"/>
        <n v="1070.6999999999998"/>
        <n v="597.2"/>
        <n v="630.56"/>
        <n v="128.14"/>
        <n v="915.18"/>
        <n v="231.45000000000002"/>
        <n v="235.63"/>
        <n v="125.0"/>
        <n v="225.45000000000002"/>
        <n v="110.42"/>
        <n v="315.28"/>
        <n v="895.18"/>
        <n v="503.07"/>
        <n v="290.63"/>
        <n v="141.18"/>
        <n v="1496.56"/>
        <n v="150.47"/>
        <n v="380.28"/>
        <n v="2241.1499999999996"/>
        <n v="1524.12"/>
        <n v="306.5"/>
        <n v="102.4"/>
        <n v="802.24"/>
        <n v="471.88"/>
        <n v="672.76"/>
        <n v="381.1"/>
        <n v="286.07"/>
        <n v="372.56"/>
        <n v="906.24"/>
        <n v="1251.0"/>
        <n v="369.11"/>
        <n v="950.62"/>
        <n v="203.64"/>
        <n v="304.06"/>
        <n v="1364.32"/>
        <n v="169.97"/>
        <n v="962.96"/>
        <n v="475.45000000000005"/>
        <n v="1961.65"/>
        <n v="1352.32"/>
        <n v="706.89"/>
        <n v="1538.48"/>
        <n v="1395.43"/>
        <n v="845.06"/>
        <n v="2543.95"/>
        <n v="173.5"/>
        <n v="312.1"/>
        <n v="393.36"/>
        <n v="366.36"/>
        <n v="442.20000000000005"/>
        <n v="531.88"/>
        <n v="1437.21"/>
        <n v="166.28"/>
        <n v="1964.08"/>
        <n v="2440.6"/>
        <n v="317.06"/>
        <n v="1269.0"/>
        <n v="494.88"/>
        <n v="443.41999999999996"/>
        <n v="75.7"/>
        <n v="226.26"/>
        <n v="551.48"/>
        <n v="994.64"/>
        <n v="188.35000000000002"/>
        <n v="464.88"/>
        <n v="2267.1499999999996"/>
        <n v="187.96"/>
        <n v="77.49000000000001"/>
        <n v="249.68"/>
        <n v="185.75"/>
        <n v="143.8"/>
        <n v="660.8100000000001"/>
        <n v="923.24"/>
        <n v="1362.55"/>
        <n v="178.0"/>
      </sharedItems>
    </cacheField>
    <cacheField name="Order_Day" numFmtId="0">
      <sharedItems>
        <s v="Thursday"/>
        <s v="Wednesday"/>
        <s v="Tuesday"/>
        <s v="Sunday"/>
        <s v="Monday"/>
        <s v="Friday"/>
        <s v="Saturday"/>
      </sharedItems>
    </cacheField>
    <cacheField name="Is_Weekend" numFmtId="0">
      <sharedItems>
        <s v="Weekday"/>
        <s v="Weekend"/>
      </sharedItems>
    </cacheField>
    <cacheField name="User_Name" numFmtId="0">
      <sharedItems>
        <s v="anne.oconnell"/>
        <s v="anthony.thomas"/>
        <s v="karl.gallagher"/>
        <s v="angela.horne"/>
        <s v="christine.west"/>
        <s v="david.delacruz"/>
        <s v="marcus.valenzuela"/>
        <s v="debra.rodriguez"/>
        <s v="bobby.forbes"/>
        <s v="joseph.stewart"/>
        <s v="kara.brennan"/>
        <s v="amy.reid"/>
        <s v="joshua.campbell"/>
        <s v="erin.miller"/>
        <s v="gina.moreno"/>
        <s v="mallory.mitchell"/>
        <s v="traci.jones"/>
        <s v="deborah.bates"/>
        <s v="christian.clayton"/>
        <s v="mark.henderson"/>
        <s v="john.herrera"/>
        <s v="angela.evans"/>
        <s v="ashley.rose"/>
        <s v="taylor.davis"/>
        <s v="lauren.long"/>
        <s v="teresa.harvey"/>
        <s v="heather.schneider"/>
        <s v="valerie.carr"/>
        <s v="jenny.estrada"/>
        <s v="courtney.parker"/>
        <s v="julie.meyer"/>
        <s v="donna.oneill"/>
        <s v="robert.castillo"/>
        <s v="timothy.hicks"/>
        <s v="thomas.andersen"/>
        <s v="aaron.thompson"/>
        <s v="jason.lopez"/>
        <s v="alexandra.smith"/>
        <s v="john.ramirez"/>
        <s v="amanda.howard"/>
        <s v="mary.knight"/>
        <s v="marcus.rogers"/>
        <s v="brian.kennedy"/>
        <s v="rebecca.figueroa"/>
        <s v="lori.cook"/>
        <s v="debra.hayes"/>
        <s v="brittany.stewart"/>
        <s v="mitchell.parker"/>
        <s v="sharon.thompson"/>
        <s v="sarah.butler"/>
        <s v="katherine.weber"/>
        <s v="jason.nguyen"/>
        <s v="brandon.cruz"/>
        <s v="jodi.whitney"/>
        <s v="ashley.romero"/>
        <s v="william.mann"/>
        <s v="kelli.smith"/>
        <s v="joseph.gaines"/>
        <s v="amy.ellis"/>
        <s v="beth.mason"/>
        <s v="christy.chang"/>
        <s v="troy.gomez"/>
        <s v="kim.blevins"/>
        <s v="gregory.lee"/>
        <s v="bruce.allen"/>
        <s v="lisa.miller"/>
        <s v="melissa.levy"/>
        <s v="barbara.fuller"/>
        <s v="kristina.haynes"/>
        <s v="lindsey.byrd"/>
        <s v="edward.black"/>
        <s v="james.brown"/>
        <s v="leslie.montgomery"/>
        <s v="susan.thompson"/>
        <s v="amy.griffin"/>
        <s v="rachael.robinson"/>
        <s v="natasha.michael"/>
        <s v="christine.aguilar"/>
        <s v="mark.summers"/>
        <s v="gary.huff"/>
        <s v="mike.carter"/>
        <s v="thomas.owens"/>
        <s v="brendan.kelly"/>
        <s v="jessica.ruiz"/>
        <s v="hannah.gutierrez"/>
        <s v="angela.casey"/>
        <s v="megan.hunt"/>
        <s v="jared.horn"/>
        <s v="veronica.lopez"/>
        <s v="sarah.benson"/>
        <s v="lauren.lane"/>
        <s v="william.richmond"/>
        <s v="lauren.crane"/>
        <s v="katie.hicks"/>
        <s v="regina.hawkins"/>
        <s v="rachel.lopez"/>
        <s v="scott.jones"/>
        <s v="gary.jacobs"/>
        <s v="janice.gordon"/>
        <s v="diana.french"/>
      </sharedItems>
    </cacheField>
    <cacheField name="Domain" numFmtId="0">
      <sharedItems>
        <s v="outlook"/>
        <s v="rediffmail"/>
        <s v="gmail"/>
        <s v="yahoo"/>
      </sharedItems>
    </cacheField>
    <cacheField name="Full_Name" numFmtId="0">
      <sharedItems>
        <s v="Anne Oconnell"/>
        <s v="Anthony Thomas"/>
        <s v="Karl Gallagher"/>
        <s v="Angela Horne"/>
        <s v="Christine West"/>
        <s v="David Delacruz"/>
        <s v="Marcus Valenzuela"/>
        <s v="Debra Rodriguez"/>
        <s v="Bobby Forbes"/>
        <s v="Joseph Stewart"/>
        <s v="Kara Brennan"/>
        <s v="Amy Reid"/>
        <s v="Joshua Campbell"/>
        <s v="Erin Miller"/>
        <s v="Gina Moreno"/>
        <s v="Mallory Mitchell"/>
        <s v="Traci Jones"/>
        <s v="Deborah Bates"/>
        <s v="Christian Clayton"/>
        <s v="Mark Henderson"/>
        <s v="John Herrera"/>
        <s v="Angela Evans"/>
        <s v="Ashley Rose"/>
        <s v="Taylor Davis"/>
        <s v="Lauren Long"/>
        <s v="Teresa Harvey"/>
        <s v="Heather Schneider"/>
        <s v="Valerie Carr"/>
        <s v="Jenny Estrada"/>
        <s v="Courtney Parker"/>
        <s v="Julie Meyer"/>
        <s v="Donna Oneill"/>
        <s v="Robert Castillo"/>
        <s v="Timothy Hicks"/>
        <s v="Thomas Andersen"/>
        <s v="Aaron Thompson"/>
        <s v="Jason Lopez"/>
        <s v="Alexandra Smith"/>
        <s v="John Ramirez"/>
        <s v="Amanda Howard"/>
        <s v="Mary Knight"/>
        <s v="Marcus Rogers"/>
        <s v="Brian Kennedy"/>
        <s v="Rebecca Figueroa"/>
        <s v="Lori Cook"/>
        <s v="Debra Hayes"/>
        <s v="Brittany Stewart"/>
        <s v="Mitchell Parker"/>
        <s v="Sharon Thompson"/>
        <s v="Sarah Butler"/>
        <s v="Katherine Weber"/>
        <s v="Jason Nguyen"/>
        <s v="Brandon Cruz"/>
        <s v="Jodi Whitney"/>
        <s v="Ashley Romero"/>
        <s v="William Mann"/>
        <s v="Kelli Smith"/>
        <s v="Joseph Gaines"/>
        <s v="Amy Ellis"/>
        <s v="Beth Mason"/>
        <s v="Christy Chang"/>
        <s v="Troy Gomez"/>
        <s v="Kim Blevins"/>
        <s v="Gregory Lee"/>
        <s v="Bruce Allen"/>
        <s v="Lisa Miller"/>
        <s v="Melissa Levy"/>
        <s v="Barbara Fuller"/>
        <s v="Kristina Haynes"/>
        <s v="Lindsey Byrd"/>
        <s v="Edward Black"/>
        <s v="James Brown"/>
        <s v="Leslie Montgomery"/>
        <s v="Susan Thompson"/>
        <s v="Amy Griffin"/>
        <s v="Rachael Robinson"/>
        <s v="Natasha Michael"/>
        <s v="Christine Aguilar"/>
        <s v="Mark Summers"/>
        <s v="Gary Huff"/>
        <s v="Mike Carter"/>
        <s v="Thomas Owens"/>
        <s v="Brendan Kelly"/>
        <s v="Jessica Ruiz"/>
        <s v="Hannah Gutierrez"/>
        <s v="Angela Casey"/>
        <s v="Megan Hunt"/>
        <s v="Jared Horn"/>
        <s v="Veronica Lopez"/>
        <s v="Sarah Benson"/>
        <s v="Lauren Lane"/>
        <s v="William Richmond"/>
        <s v="Lauren Crane"/>
        <s v="Katie Hicks"/>
        <s v="Regina Hawkins"/>
        <s v="Rachel Lopez"/>
        <s v="Scott Jones"/>
        <s v="Gary Jacobs"/>
        <s v="Janice Gordon"/>
        <s v="Diana French"/>
      </sharedItems>
    </cacheField>
    <cacheField name="Fname" numFmtId="0">
      <sharedItems>
        <s v="Anne"/>
        <s v="Anthony"/>
        <s v="Karl"/>
        <s v="Angela"/>
        <s v="Christine"/>
        <s v="David"/>
        <s v="Marcus"/>
        <s v="Debra"/>
        <s v="Bobby"/>
        <s v="Joseph"/>
        <s v="Kara"/>
        <s v="Amy"/>
        <s v="Joshua"/>
        <s v="Erin"/>
        <s v="Gina"/>
        <s v="Mallory"/>
        <s v="Traci"/>
        <s v="Deborah"/>
        <s v="Christian"/>
        <s v="Mark"/>
        <s v="John"/>
        <s v="Ashley"/>
        <s v="Taylor"/>
        <s v="Lauren"/>
        <s v="Teresa"/>
        <s v="Heather"/>
        <s v="Valerie"/>
        <s v="Jenny"/>
        <s v="Courtney"/>
        <s v="Julie"/>
        <s v="Donna"/>
        <s v="Robert"/>
        <s v="Timothy"/>
        <s v="Thomas"/>
        <s v="Aaron"/>
        <s v="Jason"/>
        <s v="Alexandra"/>
        <s v="Amanda"/>
        <s v="Mary"/>
        <s v="Brian"/>
        <s v="Rebecca"/>
        <s v="Lori"/>
        <s v="Brittany"/>
        <s v="Mitchell"/>
        <s v="Sharon"/>
        <s v="Sarah"/>
        <s v="Katherine"/>
        <s v="Brandon"/>
        <s v="Jodi"/>
        <s v="William"/>
        <s v="Kelli"/>
        <s v="Beth"/>
        <s v="Christy"/>
        <s v="Troy"/>
        <s v="Kim"/>
        <s v="Gregory"/>
        <s v="Bruce"/>
        <s v="Lisa"/>
        <s v="Melissa"/>
        <s v="Barbara"/>
        <s v="Kristina"/>
        <s v="Lindsey"/>
        <s v="Edward"/>
        <s v="James"/>
        <s v="Leslie"/>
        <s v="Susan"/>
        <s v="Rachael"/>
        <s v="Natasha"/>
        <s v="Gary"/>
        <s v="Mike"/>
        <s v="Brendan"/>
        <s v="Jessica"/>
        <s v="Hannah"/>
        <s v="Megan"/>
        <s v="Jared"/>
        <s v="Veronica"/>
        <s v="Katie"/>
        <s v="Regina"/>
        <s v="Rachel"/>
        <s v="Scott"/>
        <s v="Janice"/>
        <s v="Diana"/>
      </sharedItems>
    </cacheField>
    <cacheField name="Lname" numFmtId="0">
      <sharedItems>
        <s v="Oconnell"/>
        <s v="Thomas"/>
        <s v="Gallagher"/>
        <s v="Horne"/>
        <s v="West"/>
        <s v="Delacruz"/>
        <s v="Valenzuela"/>
        <s v="Rodriguez"/>
        <s v="Forbes"/>
        <s v="Stewart"/>
        <s v="Brennan"/>
        <s v="Reid"/>
        <s v="Campbell"/>
        <s v="Miller"/>
        <s v="Moreno"/>
        <s v="Mitchell"/>
        <s v="Jones"/>
        <s v="Bates"/>
        <s v="Clayton"/>
        <s v="Henderson"/>
        <s v="Herrera"/>
        <s v="Evans"/>
        <s v="Rose"/>
        <s v="Davis"/>
        <s v="Long"/>
        <s v="Harvey"/>
        <s v="Schneider"/>
        <s v="Carr"/>
        <s v="Estrada"/>
        <s v="Parker"/>
        <s v="Meyer"/>
        <s v="Oneill"/>
        <s v="Castillo"/>
        <s v="Hicks"/>
        <s v="Andersen"/>
        <s v="Thompson"/>
        <s v="Lopez"/>
        <s v="Smith"/>
        <s v="Ramirez"/>
        <s v="Howard"/>
        <s v="Knight"/>
        <s v="Rogers"/>
        <s v="Kennedy"/>
        <s v="Figueroa"/>
        <s v="Cook"/>
        <s v="Hayes"/>
        <s v="Butler"/>
        <s v="Weber"/>
        <s v="Nguyen"/>
        <s v="Cruz"/>
        <s v="Whitney"/>
        <s v="Romero"/>
        <s v="Mann"/>
        <s v="Gaines"/>
        <s v="Ellis"/>
        <s v="Mason"/>
        <s v="Chang"/>
        <s v="Gomez"/>
        <s v="Blevins"/>
        <s v="Lee"/>
        <s v="Allen"/>
        <s v="Levy"/>
        <s v="Fuller"/>
        <s v="Haynes"/>
        <s v="Byrd"/>
        <s v="Black"/>
        <s v="Brown"/>
        <s v="Montgomery"/>
        <s v="Griffin"/>
        <s v="Robinson"/>
        <s v="Michael"/>
        <s v="Aguilar"/>
        <s v="Summers"/>
        <s v="Huff"/>
        <s v="Carter"/>
        <s v="Owens"/>
        <s v="Kelly"/>
        <s v="Ruiz"/>
        <s v="Gutierrez"/>
        <s v="Casey"/>
        <s v="Hunt"/>
        <s v="Horn"/>
        <s v="Benson"/>
        <s v="Lane"/>
        <s v="Richmond"/>
        <s v="Crane"/>
        <s v="Hawkins"/>
        <s v="Jacobs"/>
        <s v="Gordon"/>
        <s v="French"/>
      </sharedItems>
    </cacheField>
    <cacheField name="Delivery_Status" numFmtId="0">
      <sharedItems>
        <s v="Before Time"/>
        <s v="Late"/>
        <s v="InTime"/>
      </sharedItems>
    </cacheField>
    <cacheField name="Mobile_Num" numFmtId="0">
      <sharedItems>
        <e v="#NAME?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J501" sheet="Solutions"/>
  </cacheSource>
  <cacheFields>
    <cacheField name="Customer_ID" numFmtId="0">
      <sharedItems>
        <s v="CID186"/>
        <s v="CID150"/>
        <s v="CID115"/>
        <s v="CID149"/>
        <s v="CID159"/>
        <s v="CID198"/>
        <s v="CID152"/>
        <s v="CID130"/>
        <s v="CID101"/>
        <s v="CID105"/>
        <s v="CID172"/>
        <s v="CID178"/>
        <s v="CID176"/>
        <s v="CID148"/>
        <s v="CID137"/>
        <s v="CID147"/>
        <s v="CID128"/>
        <s v="CID168"/>
        <s v="CID179"/>
        <s v="CID163"/>
        <s v="CID182"/>
        <s v="CID158"/>
        <s v="CID193"/>
        <s v="CID166"/>
        <s v="CID191"/>
        <s v="CID108"/>
        <s v="CID161"/>
        <s v="CID190"/>
        <s v="CID120"/>
        <s v="CID155"/>
        <s v="CID121"/>
        <s v="CID133"/>
        <s v="CID169"/>
        <s v="CID132"/>
        <s v="CID180"/>
        <s v="CID184"/>
        <s v="CID187"/>
        <s v="CID181"/>
        <s v="CID116"/>
        <s v="CID135"/>
        <s v="CID165"/>
        <s v="CID126"/>
        <s v="CID111"/>
        <s v="CID129"/>
        <s v="CID199"/>
        <s v="CID134"/>
        <s v="CID136"/>
        <s v="CID153"/>
        <s v="CID100"/>
        <s v="CID195"/>
        <s v="CID175"/>
        <s v="CID103"/>
        <s v="CID192"/>
        <s v="CID174"/>
        <s v="CID145"/>
        <s v="CID144"/>
        <s v="CID125"/>
        <s v="CID139"/>
        <s v="CID118"/>
        <s v="CID140"/>
        <s v="CID123"/>
        <s v="CID183"/>
        <s v="CID143"/>
        <s v="CID156"/>
        <s v="CID170"/>
        <s v="CID107"/>
        <s v="CID185"/>
        <s v="CID194"/>
        <s v="CID188"/>
        <s v="CID112"/>
        <s v="CID124"/>
        <s v="CID160"/>
        <s v="CID171"/>
        <s v="CID173"/>
        <s v="CID119"/>
        <s v="CID109"/>
        <s v="CID127"/>
        <s v="CID189"/>
        <s v="CID162"/>
        <s v="CID104"/>
        <s v="CID138"/>
        <s v="CID142"/>
        <s v="CID113"/>
        <s v="CID102"/>
        <s v="CID117"/>
        <s v="CID154"/>
        <s v="CID141"/>
        <s v="CID122"/>
        <s v="CID131"/>
        <s v="CID157"/>
        <s v="CID164"/>
        <s v="CID151"/>
        <s v="CID114"/>
        <s v="CID110"/>
        <s v="CID196"/>
        <s v="CID177"/>
        <s v="CID106"/>
        <s v="CID197"/>
        <s v="CID146"/>
        <s v="CID167"/>
      </sharedItems>
    </cacheField>
    <cacheField name="First_Name" numFmtId="0">
      <sharedItems>
        <s v="Anne"/>
        <s v="Anthony"/>
        <s v="Karl"/>
        <s v="Angela"/>
        <s v="Christine"/>
        <s v="David"/>
        <s v="Marcus"/>
        <s v="Debra"/>
        <s v="Bobby"/>
        <s v="Joseph"/>
        <s v="Kara"/>
        <s v="Amy"/>
        <s v="Joshua"/>
        <s v="Erin"/>
        <s v="Gina"/>
        <s v="Mallory"/>
        <s v="Traci"/>
        <s v="Deborah"/>
        <s v="Christian"/>
        <s v="Mark"/>
        <s v="John"/>
        <s v="Ashley"/>
        <s v="Taylor"/>
        <s v="Lauren"/>
        <s v="Teresa"/>
        <s v="Heather"/>
        <s v="Valerie"/>
        <s v="Jenny"/>
        <s v="Courtney"/>
        <s v="Julie"/>
        <s v="Donna"/>
        <s v="Robert"/>
        <s v="Timothy"/>
        <s v="Thomas"/>
        <s v="Aaron"/>
        <s v="Jason"/>
        <s v="Alexandra"/>
        <s v="Amanda"/>
        <s v="Mary"/>
        <s v="Brian"/>
        <s v="Rebecca"/>
        <s v="Lori"/>
        <s v="Brittany"/>
        <s v="Mitchell"/>
        <s v="Sharon"/>
        <s v="Sarah"/>
        <s v="Katherine"/>
        <s v="Brandon"/>
        <s v="Jodi"/>
        <s v="William"/>
        <s v="Kelli"/>
        <s v="Beth"/>
        <s v="Christy"/>
        <s v="Troy"/>
        <s v="Kim"/>
        <s v="Gregory"/>
        <s v="Bruce"/>
        <s v="Lisa"/>
        <s v="Melissa"/>
        <s v="Barbara"/>
        <s v="Kristina"/>
        <s v="Lindsey"/>
        <s v="Edward"/>
        <s v="James"/>
        <s v="Leslie"/>
        <s v="Susan"/>
        <s v="Rachael"/>
        <s v="Natasha"/>
        <s v="Gary"/>
        <s v="Mike"/>
        <s v="Brendan"/>
        <s v="Jessica"/>
        <s v="Hannah"/>
        <s v="Megan"/>
        <s v="Jared"/>
        <s v="Veronica"/>
        <s v="Katie"/>
        <s v="Regina"/>
        <s v="Rachel"/>
        <s v="Scott"/>
        <s v="Janice"/>
        <s v="Diana"/>
      </sharedItems>
    </cacheField>
    <cacheField name="Last_Name" numFmtId="0">
      <sharedItems>
        <s v="Oconnell"/>
        <s v="Thomas"/>
        <s v="Gallagher"/>
        <s v="Horne"/>
        <s v="West"/>
        <s v="Delacruz"/>
        <s v="Valenzuela"/>
        <s v="Rodriguez"/>
        <s v="Forbes"/>
        <s v="Stewart"/>
        <s v="Brennan"/>
        <s v="Reid"/>
        <s v="Campbell"/>
        <s v="Miller"/>
        <s v="Moreno"/>
        <s v="Mitchell"/>
        <s v="Jones"/>
        <s v="Bates"/>
        <s v="Clayton"/>
        <s v="Henderson"/>
        <s v="Herrera"/>
        <s v="Evans"/>
        <s v="Rose"/>
        <s v="Davis"/>
        <s v="Long"/>
        <s v="Harvey"/>
        <s v="Schneider"/>
        <s v="Carr"/>
        <s v="Estrada"/>
        <s v="Parker"/>
        <s v="Meyer"/>
        <s v="Oneill"/>
        <s v="Castillo"/>
        <s v="Hicks"/>
        <s v="Andersen"/>
        <s v="Thompson"/>
        <s v="Lopez"/>
        <s v="Smith"/>
        <s v="Ramirez"/>
        <s v="Howard"/>
        <s v="Knight"/>
        <s v="Rogers"/>
        <s v="Kennedy"/>
        <s v="Figueroa"/>
        <s v="Cook"/>
        <s v="Hayes"/>
        <s v="Butler"/>
        <s v="Weber"/>
        <s v="Nguyen"/>
        <s v="Cruz"/>
        <s v="Whitney"/>
        <s v="Romero"/>
        <s v="Mann"/>
        <s v="Gaines"/>
        <s v="Ellis"/>
        <s v="Mason"/>
        <s v="Chang"/>
        <s v="Gomez"/>
        <s v="Blevins"/>
        <s v="Lee"/>
        <s v="Allen"/>
        <s v="Levy"/>
        <s v="Fuller"/>
        <s v="Haynes"/>
        <s v="Byrd"/>
        <s v="Black"/>
        <s v="Brown"/>
        <s v="Montgomery"/>
        <s v="Griffin"/>
        <s v="Robinson"/>
        <s v="Michael"/>
        <s v="Aguilar"/>
        <s v="Summers"/>
        <s v="Huff"/>
        <s v="Carter"/>
        <s v="Owens"/>
        <s v="Kelly"/>
        <s v="Ruiz"/>
        <s v="Gutierrez"/>
        <s v="Casey"/>
        <s v="Hunt"/>
        <s v="Horn"/>
        <s v="Benson"/>
        <s v="Lane"/>
        <s v="Richmond"/>
        <s v="Crane"/>
        <s v="Hawkins"/>
        <s v="Jacobs"/>
        <s v="Gordon"/>
        <s v="French"/>
      </sharedItems>
    </cacheField>
    <cacheField name="Age" numFmtId="0">
      <sharedItems containsSemiMixedTypes="0" containsString="0" containsNumber="1" containsInteger="1">
        <n v="37.0"/>
        <n v="53.0"/>
        <n v="60.0"/>
        <n v="49.0"/>
        <n v="26.0"/>
        <n v="39.0"/>
        <n v="48.0"/>
        <n v="20.0"/>
        <n v="30.0"/>
        <n v="25.0"/>
        <n v="44.0"/>
        <n v="24.0"/>
        <n v="46.0"/>
        <n v="36.0"/>
        <n v="42.0"/>
        <n v="34.0"/>
        <n v="23.0"/>
        <n v="33.0"/>
        <n v="64.0"/>
        <n v="52.0"/>
        <n v="54.0"/>
        <n v="45.0"/>
        <n v="29.0"/>
        <n v="70.0"/>
        <n v="32.0"/>
        <n v="31.0"/>
        <n v="50.0"/>
        <n v="47.0"/>
        <n v="40.0"/>
        <n v="28.0"/>
        <n v="69.0"/>
        <n v="63.0"/>
        <n v="18.0"/>
        <n v="68.0"/>
        <n v="57.0"/>
        <n v="51.0"/>
        <n v="35.0"/>
        <n v="21.0"/>
        <n v="38.0"/>
        <n v="65.0"/>
        <n v="43.0"/>
        <n v="27.0"/>
        <n v="55.0"/>
        <n v="59.0"/>
        <n v="19.0"/>
        <n v="62.0"/>
      </sharedItems>
    </cacheField>
    <cacheField name="Gender" numFmtId="0">
      <sharedItems>
        <s v="Male"/>
        <s v="Female"/>
        <s v="Other"/>
      </sharedItems>
    </cacheField>
    <cacheField name="City" numFmtId="0">
      <sharedItems>
        <s v="Phoenix"/>
        <s v="Houston"/>
        <s v="New York"/>
        <s v="Los Angeles"/>
        <s v="Miami"/>
        <s v="Chicago"/>
        <s v="San Francisco"/>
        <s v="Dallas"/>
      </sharedItems>
    </cacheField>
    <cacheField name="Email" numFmtId="0">
      <sharedItems>
        <s v="anne.oconnell@outlook.com"/>
        <s v="anthony.thomas@rediffmail.com"/>
        <s v="karl.gallagher@rediffmail.com"/>
        <s v="angela.horne@outlook.com"/>
        <s v="christine.west@gmail.com"/>
        <s v="david.delacruz@rediffmail.com"/>
        <s v="marcus.valenzuela@yahoo.com"/>
        <s v="debra.rodriguez@rediffmail.com"/>
        <s v="bobby.forbes@gmail.com"/>
        <s v="joseph.stewart@yahoo.com"/>
        <s v="kara.brennan@outlook.com"/>
        <s v="amy.reid@rediffmail.com"/>
        <s v="joshua.campbell@gmail.com"/>
        <s v="erin.miller@gmail.com"/>
        <s v="gina.moreno@rediffmail.com"/>
        <s v="mallory.mitchell@yahoo.com"/>
        <s v="traci.jones@yahoo.com"/>
        <s v="deborah.bates@yahoo.com"/>
        <s v="christian.clayton@yahoo.com"/>
        <s v="mark.henderson@yahoo.com"/>
        <s v="john.herrera@outlook.com"/>
        <s v="angela.evans@outlook.com"/>
        <s v="ashley.rose@gmail.com"/>
        <s v="taylor.davis@yahoo.com"/>
        <s v="lauren.long@gmail.com"/>
        <s v="teresa.harvey@gmail.com"/>
        <s v="heather.schneider@outlook.com"/>
        <s v="valerie.carr@rediffmail.com"/>
        <s v="jenny.estrada@yahoo.com"/>
        <s v="courtney.parker@yahoo.com"/>
        <s v="julie.meyer@yahoo.com"/>
        <s v="donna.oneill@yahoo.com"/>
        <s v="robert.castillo@gmail.com"/>
        <s v="timothy.hicks@gmail.com"/>
        <s v="thomas.andersen@yahoo.com"/>
        <s v="aaron.thompson@gmail.com"/>
        <s v="jason.lopez@outlook.com"/>
        <s v="alexandra.smith@rediffmail.com"/>
        <s v="john.ramirez@outlook.com"/>
        <s v="amanda.howard@outlook.com"/>
        <s v="mary.knight@yahoo.com"/>
        <s v="marcus.rogers@outlook.com"/>
        <s v="brian.kennedy@outlook.com"/>
        <s v="rebecca.figueroa@outlook.com"/>
        <s v="lori.cook@rediffmail.com"/>
        <s v="debra.hayes@yahoo.com"/>
        <s v="brittany.stewart@gmail.com"/>
        <s v="mitchell.parker@yahoo.com"/>
        <s v="sharon.thompson@yahoo.com"/>
        <s v="sarah.butler@rediffmail.com"/>
        <s v="katherine.weber@outlook.com"/>
        <s v="jason.nguyen@yahoo.com"/>
        <s v="brandon.cruz@gmail.com"/>
        <s v="jodi.whitney@yahoo.com"/>
        <s v="ashley.romero@yahoo.com"/>
        <s v="william.mann@yahoo.com"/>
        <s v="kelli.smith@rediffmail.com"/>
        <s v="joseph.gaines@outlook.com"/>
        <s v="amy.ellis@gmail.com"/>
        <s v="beth.mason@outlook.com"/>
        <s v="christy.chang@outlook.com"/>
        <s v="troy.gomez@outlook.com"/>
        <s v="kim.blevins@outlook.com"/>
        <s v="gregory.lee@rediffmail.com"/>
        <s v="bruce.allen@rediffmail.com"/>
        <s v="lisa.miller@gmail.com"/>
        <s v="melissa.levy@rediffmail.com"/>
        <s v="barbara.fuller@rediffmail.com"/>
        <s v="kristina.haynes@yahoo.com"/>
        <s v="lindsey.byrd@rediffmail.com"/>
        <s v="edward.black@gmail.com"/>
        <s v="james.brown@yahoo.com"/>
        <s v="leslie.montgomery@gmail.com"/>
        <s v="susan.thompson@outlook.com"/>
        <s v="amy.griffin@rediffmail.com"/>
        <s v="rachael.robinson@rediffmail.com"/>
        <s v="natasha.michael@gmail.com"/>
        <s v="christine.aguilar@gmail.com"/>
        <s v="mark.summers@outlook.com"/>
        <s v="gary.huff@gmail.com"/>
        <s v="mike.carter@rediffmail.com"/>
        <s v="thomas.owens@outlook.com"/>
        <s v="brendan.kelly@rediffmail.com"/>
        <s v="jessica.ruiz@rediffmail.com"/>
        <s v="hannah.gutierrez@yahoo.com"/>
        <s v="angela.casey@gmail.com"/>
        <s v="megan.hunt@rediffmail.com"/>
        <s v="jared.horn@outlook.com"/>
        <s v="veronica.lopez@gmail.com"/>
        <s v="sarah.benson@outlook.com"/>
        <s v="lauren.lane@gmail.com"/>
        <s v="william.richmond@outlook.com"/>
        <s v="lauren.crane@yahoo.com"/>
        <s v="katie.hicks@rediffmail.com"/>
        <s v="regina.hawkins@rediffmail.com"/>
        <s v="rachel.lopez@outlook.com"/>
        <s v="scott.jones@yahoo.com"/>
        <s v="gary.jacobs@gmail.com"/>
        <s v="janice.gordon@yahoo.com"/>
        <s v="diana.french@outlook.com"/>
      </sharedItems>
    </cacheField>
    <cacheField name="Contact" numFmtId="0">
      <sharedItems>
        <s v="+1-1907565656"/>
        <s v="+1-1365605012"/>
        <s v="+1-2802179041"/>
        <s v="+1-3002859425"/>
        <s v="+1-9124531645"/>
        <s v="+1-7905460592"/>
        <s v="+1-3107089317"/>
        <s v="+1-3285345844"/>
        <s v="+1-2319684657"/>
        <s v="+1-5905919798"/>
        <s v="+1-9963860522"/>
        <s v="+1-5606891385"/>
        <s v="+1-6714373636"/>
        <s v="+1-8198368752"/>
        <s v="+1-8489851865"/>
        <s v="+1-5568786605"/>
        <s v="+1-6252923866"/>
        <s v="+1-4578999201"/>
        <s v="+1-1658053570"/>
        <s v="+1-4479326362"/>
        <s v="+1-1246272495"/>
        <s v="+1-5064601873"/>
        <s v="+1-1469233281"/>
        <s v="+1-7655568476"/>
        <s v="+1-9776413933"/>
        <s v="+1-8519428947"/>
        <s v="+1-3888567280"/>
        <s v="+1-9821167404"/>
        <s v="+1-7008964043"/>
        <s v="+1-1038695332"/>
        <s v="+1-7107895267"/>
        <s v="+1-2526461514"/>
        <s v="+1-4487383562"/>
        <s v="+1-9917480357"/>
        <s v="+1-6141690387"/>
        <s v="+1-5303083048"/>
        <s v="+1-8704573867"/>
        <s v="+1-2117150366"/>
        <s v="+1-6998200211"/>
        <s v="+1-8764365941"/>
        <s v="+1-7022495342"/>
        <s v="+1-5404481937"/>
        <s v="+1-9196003695"/>
        <s v="+1-2777942517"/>
        <s v="+1-2067928085"/>
        <s v="+1-7005863307"/>
        <s v="+1-2572134812"/>
        <s v="+1-3050841099"/>
        <s v="+1-3616584899"/>
        <s v="+1-2200374051"/>
        <s v="+1-5768125472"/>
        <s v="+1-1616387654"/>
        <s v="+1-1986732848"/>
        <s v="+1-2980921203"/>
        <s v="+1-2983785246"/>
        <s v="+1-2967363272"/>
        <s v="+1-2752645856"/>
        <s v="+1-4550884506"/>
        <s v="+1-3315856459"/>
        <s v="+1-2600607313"/>
        <s v="+1-1286744838"/>
        <s v="+1-7115252196"/>
        <s v="+1-3033704901"/>
        <s v="+1-9262665568"/>
        <s v="+1-7183764787"/>
        <s v="+1-5986536783"/>
        <s v="+1-2819338490"/>
        <s v="+1-4979763480"/>
        <s v="+1-7319729780"/>
        <s v="+1-5206547982"/>
        <s v="+1-1790366660"/>
        <s v="+1-8387920274"/>
        <s v="+1-6457583969"/>
        <s v="+1-9580212304"/>
        <s v="+1-6447192638"/>
        <s v="+1-8227219371"/>
        <s v="+1-9437992706"/>
        <s v="+1-6925604471"/>
        <s v="+1-8150421336"/>
        <s v="+1-3399780631"/>
        <s v="+1-3474873299"/>
        <s v="+1-6874958767"/>
        <s v="+1-8650119639"/>
        <s v="+1-3794080609"/>
        <s v="+1-9861161831"/>
        <s v="+1-6915583410"/>
        <s v="+1-2418130991"/>
        <s v="+1-9913869822"/>
        <s v="+1-9296010082"/>
        <s v="+1-2795865294"/>
        <s v="+1-9146404053"/>
        <s v="+1-5823971509"/>
        <s v="+1-6463820710"/>
        <s v="+1-5678668617"/>
        <s v="+1-6151618322"/>
        <s v="+1-5390841769"/>
        <s v="+1-6478016791"/>
        <s v="+1-5557057825"/>
        <s v="+1-9718011628"/>
        <s v="+1-8786631337"/>
      </sharedItems>
    </cacheField>
    <cacheField name="Address" numFmtId="0">
      <sharedItems>
        <s v="2850 Matthew Ford, North Yolandachester, FL 67488"/>
        <s v="931 Christopher Ways Suite 833, North Michelle, IN 53484"/>
        <s v="5016 Snow Mountains Apt. 063, New Seanport, WY 41492"/>
        <s v="USNV Mueller, FPO AP 54648"/>
        <s v="Unit 1433 Box 0246, DPO AP 94952"/>
        <s v="USNS Ray, FPO AE 20238"/>
        <s v="694 Graham Prairie Apt. 887, Jimenezfurt, MI 33044"/>
        <s v="Unit 5964 Box 0721, DPO AP 01840"/>
        <s v="3079 John Parkway Suite 961, Port Kristaview, MT 91019"/>
        <s v="4082 Wang Terrace Suite 040, Victorialand, ME 41532"/>
        <s v="2174 Thomas Avenue, Maciasborough, NJ 41465"/>
        <s v="6262 Simpson Village, North Danielle, RI 76074"/>
        <s v="70426 Lindsey Overpass Apt. 030, Jessicafurt, AR 46269"/>
        <s v="65972 Peterson Route, Port Andrewfurt, SD 32892"/>
        <s v="USS Murray, FPO AP 66559"/>
        <s v="710 Anthony Wall Suite 137, East Davidstad, NV 61494"/>
        <s v="4016 Ryan Passage, Collinsside, PA 88777"/>
        <s v="278 Kathy Estate, Saraville, OH 77292"/>
        <s v="065 Madison Way, Smithstad, CT 68011"/>
        <s v="90155 Hines Spring, North Theresafurt, ME 31920"/>
        <s v="61263 Jacob Isle, Amandatown, TN 34321"/>
        <s v="16031 David Mountain Suite 431, Susanborough, PA 01910"/>
        <s v="424 Nichols Curve Suite 177, Lake Brianview, TX 17289"/>
        <s v="USCGC Simmons, FPO AA 60167"/>
        <s v="258 Michael Brooks Suite 363, Arnoldview, PA 49438"/>
        <s v="02669 Kirk Squares, Davisville, VA 51272"/>
        <s v="57940 Susan Creek Apt. 541, Port Aliciamouth, OR 90221"/>
        <s v="981 Emily Stream, South Brianna, CO 98063"/>
        <s v="792 Carlos Islands, West David, CT 16522"/>
        <s v="087 Jacqueline Rue Apt. 694, East Tasha, SC 04859"/>
        <s v="17381 Smith Ramp Suite 398, Courtneyville, AL 17756"/>
        <s v="464 Carolyn Crest Suite 738, Lake Isaiah, CA 66153"/>
        <s v="7143 Brandon Skyway Suite 899, Tylerton, IA 21756"/>
        <s v="140 Tracy Fields, Lake Cynthiaton, TX 57190"/>
        <s v="480 Summers Lock Suite 819, Sarahborough, IA 59863"/>
        <s v="PSC 0550, Box 2737, APO AE 75772"/>
        <s v="934 Levine View, Brentport, NE 38210"/>
        <s v="48611 Clark Village, West Anne, GA 92865"/>
        <s v="02797 Martin Landing, South Michelle, VT 98781"/>
        <s v="56908 Sydney Park Suite 632, West Anthonyport, NC 15954"/>
        <s v="907 Kimberly Hill, Murrayfort, NH 88384"/>
        <s v="06912 Brown Pine Apt. 763, Teresamouth, HI 24377"/>
        <s v="25126 Nancy Fort Suite 568, Alexandrachester, AZ 44823"/>
        <s v="3959 Bell Dale, North Jacob, LA 07934"/>
        <s v="86837 Bell Meadows, North Jasonshire, UT 51354"/>
        <s v="4601 Miller Lock, Williamsbury, IA 10943"/>
        <s v="6250 David Loaf Suite 561, North Pamelaberg, WV 63652"/>
        <s v="PSC 3316, Box 9303, APO AE 29513"/>
        <s v="598 Jasmine Harbor, Turnerberg, SD 02371"/>
        <s v="14131 Edwin Shore Apt. 190, Deniseberg, MD 90905"/>
        <s v="04887 Kimberly Union Apt. 645, Port Laura, IL 97219"/>
        <s v="7112 Travis Glens Suite 790, Crystalland, WV 38373"/>
        <s v="9296 Villanueva Branch, East Kevin, CO 93912"/>
        <s v="72876 Lara Key Suite 383, Gutierrezton, OR 71683"/>
        <s v="547 Kerry Expressway, Lake Amanda, AR 20321"/>
        <s v="849 Tran Wells, New Lindsayville, WI 22669"/>
        <s v="788 Kristina Lane, Montoyaside, VA 90756"/>
        <s v="37549 Pope Isle Apt. 202, Tylerborough, MO 60042"/>
        <s v="217 Scott Ville, Christophermouth, NH 83776"/>
        <s v="58998 Sherry Haven, East Richard, FL 90775"/>
        <s v="4647 Hannah Centers, Rhodesburgh, NH 89363"/>
        <s v="7510 Jose Knolls, Candicechester, LA 62815"/>
        <s v="089 Rice Shoal Suite 491, Juarezmouth, MI 88715"/>
        <s v="619 Parker Turnpike Apt. 025, West Brucehaven, ID 48437"/>
        <s v="2417 Brown Ford, West Timothyside, RI 45629"/>
        <s v="89748 Campbell Drive, South Tannerland, WI 13143"/>
        <s v="3303 Kennedy Springs Suite 830, East Amybury, MI 95595"/>
        <s v="134 Mcintosh Unions Suite 574, Lake Laura, DE 96577"/>
        <s v="18295 Thomas River, Kochville, NH 80868"/>
        <s v="USCGC Harper, FPO AA 38349"/>
        <s v="5879 Susan Via Apt. 886, Sandovalbury, WV 61449"/>
        <s v="221 Frey Crossing Suite 192, South Taylorland, HI 72875"/>
        <s v="135 Teresa Oval Apt. 825, East Katherineport, WY 13714"/>
        <s v="47821 William Station, East Ashleymouth, FL 20562"/>
        <s v="07350 Aaron Meadow Suite 138, Kiaraberg, AL 79545"/>
        <s v="0889 Brady Points, Port Meganhaven, NM 26553"/>
        <s v="78992 Justin Estates Suite 226, Floresberg, NM 40797"/>
        <s v="3284 Martin Neck, Lopezville, NY 69154"/>
        <s v="08413 Lynch Parkway, Calderonstad, NV 32697"/>
        <s v="58608 Alexander Terrace, South Bryan, SC 85541"/>
        <s v="3971 Ortiz Fields, Lake Jackfort, IA 97132"/>
        <s v="43920 Shaffer Valley Suite 531, South Jerry, MD 67120"/>
        <s v="688 Donald Oval Suite 089, Shepardport, CA 50844"/>
        <s v="02370 Laura Station Suite 309, Brandonville, DE 18875"/>
        <s v="2420 David Manors, Jessicaland, CT 41698"/>
        <s v="089 Farley Terrace, Thomashaven, MT 56607"/>
        <s v="03765 Velazquez Knoll Suite 478, Richardshire, UT 17200"/>
        <s v="43325 Barbara Tunnel, Port James, LA 16246"/>
        <s v="660 Karen Station Apt. 887, Allenside, ID 03170"/>
        <s v="5399 Hayes Well, West Pennystad, IL 93798"/>
        <s v="56985 Sergio Extensions, Port Albert, CO 02898"/>
        <s v="4021 Brown Orchard Apt. 026, Christinahaven, OK 18499"/>
        <s v="30313 Reyes Parkways Suite 392, Port Bradley, SC 24078"/>
        <s v="848 William Port, New Marilyn, SD 58000"/>
        <s v="096 Santos Neck Apt. 937, Benjaminmouth, FL 61454"/>
        <s v="90435 Bonnie Points Suite 886, Jenniferfurt, WV 20187"/>
        <s v="086 Kristin Manor Apt. 829, Marissabury, CT 12152"/>
        <s v="USNV Williams, FPO AP 23197"/>
        <s v="5812 Evelyn Mountains Suite 845, Ortiztown, MN 86166"/>
        <s v="163 Jeffrey Drive, South Mary, NH 23999"/>
      </sharedItems>
    </cacheField>
    <cacheField name="Order_ID" numFmtId="0">
      <sharedItems>
        <s v="OID2497"/>
        <s v="OID7056"/>
        <s v="OID7502"/>
        <s v="OID7077"/>
        <s v="OID2793"/>
        <s v="OID1483"/>
        <s v="OID4105"/>
        <s v="OID4372"/>
        <s v="OID3528"/>
        <s v="OID9634"/>
        <s v="OID1905"/>
        <s v="OID3136"/>
        <s v="OID6886"/>
        <s v="OID3509"/>
        <s v="OID3689"/>
        <s v="OID1911"/>
        <s v="OID6520"/>
        <s v="OID6123"/>
        <s v="OID1699"/>
        <s v="OID3792"/>
        <s v="OID7663"/>
        <s v="OID7609"/>
        <s v="OID8875"/>
        <s v="OID4032"/>
        <s v="OID9964"/>
        <s v="OID2121"/>
        <s v="OID4710"/>
        <s v="OID4295"/>
        <s v="OID2817"/>
        <s v="OID4643"/>
        <s v="OID4558"/>
        <s v="OID9577"/>
        <s v="OID5502"/>
        <s v="OID6974"/>
        <s v="OID2701"/>
        <s v="OID4432"/>
        <s v="OID3502"/>
        <s v="OID4411"/>
        <s v="OID6304"/>
        <s v="OID5126"/>
        <s v="OID8577"/>
        <s v="OID7688"/>
        <s v="OID4670"/>
        <s v="OID3319"/>
        <s v="OID6911"/>
        <s v="OID8494"/>
        <s v="OID6898"/>
        <s v="OID7606"/>
        <s v="OID6503"/>
        <s v="OID3616"/>
        <s v="OID2170"/>
        <s v="OID1956"/>
        <s v="OID8620"/>
        <s v="OID4770"/>
        <s v="OID9880"/>
        <s v="OID2152"/>
        <s v="OID2991"/>
        <s v="OID5607"/>
        <s v="OID8169"/>
        <s v="OID5832"/>
        <s v="OID7806"/>
        <s v="OID4875"/>
        <s v="OID4070"/>
        <s v="OID7679"/>
        <s v="OID3097"/>
        <s v="OID8869"/>
        <s v="OID2686"/>
        <s v="OID1046"/>
        <s v="OID8953"/>
        <s v="OID1157"/>
        <s v="OID7358"/>
        <s v="OID7453"/>
        <s v="OID1573"/>
        <s v="OID5696"/>
        <s v="OID3467"/>
        <s v="OID8542"/>
        <s v="OID1520"/>
        <s v="OID2157"/>
        <s v="OID6374"/>
        <s v="OID6555"/>
        <s v="OID5850"/>
        <s v="OID8041"/>
        <s v="OID5605"/>
        <s v="OID8388"/>
        <s v="OID5787"/>
        <s v="OID3140"/>
        <s v="OID6771"/>
        <s v="OID8988"/>
        <s v="OID9398"/>
        <s v="OID9822"/>
        <s v="OID1269"/>
        <s v="OID9915"/>
        <s v="OID3348"/>
        <s v="OID8431"/>
        <s v="OID6943"/>
        <s v="OID6229"/>
        <s v="OID6912"/>
        <s v="OID5081"/>
        <s v="OID5610"/>
        <s v="OID7759"/>
        <s v="OID4481"/>
        <s v="OID6749"/>
        <s v="OID8681"/>
        <s v="OID9693"/>
        <s v="OID3607"/>
        <s v="OID9743"/>
        <s v="OID7866"/>
        <s v="OID1137"/>
        <s v="OID4685"/>
        <s v="OID9584"/>
        <s v="OID1686"/>
        <s v="OID5272"/>
        <s v="OID7359"/>
        <s v="OID3570"/>
        <s v="OID2519"/>
        <s v="OID1134"/>
        <s v="OID8270"/>
        <s v="OID9515"/>
        <s v="OID6608"/>
        <s v="OID3035"/>
        <s v="OID4548"/>
        <s v="OID5978"/>
        <s v="OID6297"/>
        <s v="OID5108"/>
        <s v="OID4599"/>
        <s v="OID1418"/>
        <s v="OID1411"/>
        <s v="OID8692"/>
        <s v="OID4402"/>
        <s v="OID1309"/>
        <s v="OID2746"/>
        <s v="OID9360"/>
        <s v="OID6453"/>
        <s v="OID9745"/>
        <s v="OID4081"/>
        <s v="OID3967"/>
        <s v="OID9112"/>
        <s v="OID8628"/>
        <s v="OID5996"/>
        <s v="OID5210"/>
        <s v="OID4415"/>
        <s v="OID6716"/>
        <s v="OID9804"/>
        <s v="OID9798"/>
        <s v="OID4965"/>
        <s v="OID3209"/>
        <s v="OID6103"/>
        <s v="OID4368"/>
        <s v="OID1692"/>
        <s v="OID9808"/>
        <s v="OID3568"/>
        <s v="OID3469"/>
        <s v="OID6217"/>
        <s v="OID9257"/>
        <s v="OID7258"/>
        <s v="OID8380"/>
        <s v="OID9224"/>
        <s v="OID4506"/>
        <s v="OID7689"/>
        <s v="OID8699"/>
        <s v="OID1317"/>
        <s v="OID2429"/>
        <s v="OID4514"/>
        <s v="OID6237"/>
        <s v="OID6752"/>
        <s v="OID7059"/>
        <s v="OID6264"/>
        <s v="OID5366"/>
        <s v="OID1663"/>
        <s v="OID7664"/>
        <s v="OID4364"/>
        <s v="OID1153"/>
        <s v="OID5700"/>
        <s v="OID1706"/>
        <s v="OID6420"/>
        <s v="OID2659"/>
        <s v="OID5326"/>
        <s v="OID4465"/>
        <s v="OID9324"/>
        <s v="OID9267"/>
        <s v="OID5402"/>
        <s v="OID8716"/>
        <s v="OID4014"/>
        <s v="OID8569"/>
        <s v="OID6330"/>
        <s v="OID6607"/>
        <s v="OID4892"/>
        <s v="OID9692"/>
        <s v="OID4746"/>
        <s v="OID6057"/>
        <s v="OID3134"/>
        <s v="OID7980"/>
        <s v="OID7432"/>
        <s v="OID9465"/>
        <s v="OID9872"/>
        <s v="OID6856"/>
        <s v="OID1826"/>
        <s v="OID3421"/>
        <s v="OID6869"/>
        <s v="OID6635"/>
        <s v="OID8295"/>
        <s v="OID4642"/>
        <s v="OID7380"/>
        <s v="OID1086"/>
        <s v="OID6936"/>
        <s v="OID2938"/>
        <s v="OID8074"/>
        <s v="OID1076"/>
        <s v="OID8347"/>
        <s v="OID6373"/>
        <s v="OID5913"/>
        <s v="OID2941"/>
        <s v="OID9627"/>
        <s v="OID9705"/>
        <s v="OID7486"/>
        <s v="OID4560"/>
        <s v="OID1379"/>
        <s v="OID8114"/>
        <s v="OID9805"/>
        <s v="OID7003"/>
        <s v="OID5372"/>
        <s v="OID4097"/>
        <s v="OID7090"/>
        <s v="OID8741"/>
        <s v="OID6002"/>
        <s v="OID8585"/>
        <s v="OID6767"/>
        <s v="OID4369"/>
        <s v="OID5283"/>
        <s v="OID2949"/>
        <s v="OID1071"/>
        <s v="OID7412"/>
        <s v="OID6541"/>
        <s v="OID3550"/>
        <s v="OID7812"/>
        <s v="OID4101"/>
        <s v="OID2704"/>
        <s v="OID3902"/>
        <s v="OID6097"/>
        <s v="OID2270"/>
        <s v="OID4575"/>
        <s v="OID2338"/>
        <s v="OID9816"/>
        <s v="OID1586"/>
        <s v="OID9630"/>
        <s v="OID8034"/>
        <s v="OID4815"/>
        <s v="OID1898"/>
        <s v="OID7454"/>
        <s v="OID2597"/>
        <s v="OID6600"/>
        <s v="OID3490"/>
        <s v="OID5561"/>
        <s v="OID8830"/>
        <s v="OID9527"/>
        <s v="OID1067"/>
        <s v="OID2119"/>
        <s v="OID5802"/>
        <s v="OID4569"/>
        <s v="OID1508"/>
        <s v="OID3969"/>
        <s v="OID8974"/>
        <s v="OID6987"/>
        <s v="OID5834"/>
        <s v="OID3980"/>
        <s v="OID9700"/>
        <s v="OID1135"/>
        <s v="OID9451"/>
        <s v="OID4659"/>
        <s v="OID7205"/>
        <s v="OID9735"/>
        <s v="OID3358"/>
        <s v="OID4719"/>
        <s v="OID8203"/>
        <s v="OID2353"/>
        <s v="OID5255"/>
        <s v="OID7946"/>
        <s v="OID1159"/>
        <s v="OID5186"/>
        <s v="OID7156"/>
        <s v="OID3574"/>
        <s v="OID1477"/>
        <s v="OID2944"/>
        <s v="OID5130"/>
        <s v="OID7754"/>
        <s v="OID1246"/>
        <s v="OID8680"/>
        <s v="OID7102"/>
        <s v="OID7555"/>
        <s v="OID3165"/>
        <s v="OID9628"/>
        <s v="OID9782"/>
        <s v="OID7302"/>
        <s v="OID4580"/>
        <s v="OID7954"/>
        <s v="OID6246"/>
        <s v="OID5671"/>
        <s v="OID3145"/>
        <s v="OID8575"/>
        <s v="OID7910"/>
        <s v="OID1179"/>
        <s v="OID1041"/>
        <s v="OID1693"/>
        <s v="OID8609"/>
        <s v="OID9578"/>
        <s v="OID5985"/>
        <s v="OID2571"/>
        <s v="OID6045"/>
        <s v="OID1336"/>
        <s v="OID7117"/>
        <s v="OID3749"/>
        <s v="OID7008"/>
        <s v="OID8913"/>
        <s v="OID1597"/>
        <s v="OID4412"/>
        <s v="OID3900"/>
        <s v="OID9756"/>
        <s v="OID8307"/>
        <s v="OID5575"/>
        <s v="OID5883"/>
        <s v="OID6340"/>
        <s v="OID2501"/>
        <s v="OID6973"/>
        <s v="OID6597"/>
        <s v="OID4840"/>
        <s v="OID5389"/>
        <s v="OID8649"/>
        <s v="OID2779"/>
        <s v="OID4185"/>
        <s v="OID1243"/>
        <s v="OID4147"/>
        <s v="OID3681"/>
        <s v="OID5229"/>
        <s v="OID9990"/>
        <s v="OID1756"/>
        <s v="OID1866"/>
        <s v="OID2619"/>
        <s v="OID2505"/>
        <s v="OID7850"/>
        <s v="OID1966"/>
        <s v="OID3837"/>
        <s v="OID9187"/>
        <s v="OID3760"/>
        <s v="OID7065"/>
        <s v="OID6906"/>
        <s v="OID7996"/>
        <s v="OID9247"/>
        <s v="OID7303"/>
        <s v="OID2173"/>
        <s v="OID5367"/>
        <s v="OID9748"/>
        <s v="OID6469"/>
        <s v="OID1013"/>
        <s v="OID1219"/>
        <s v="OID9988"/>
        <s v="OID1669"/>
        <s v="OID7329"/>
        <s v="OID2873"/>
        <s v="OID4932"/>
        <s v="OID4169"/>
        <s v="OID6945"/>
        <s v="OID6794"/>
        <s v="OID2412"/>
        <s v="OID8162"/>
        <s v="OID8860"/>
        <s v="OID2523"/>
        <s v="OID7382"/>
        <s v="OID7593"/>
        <s v="OID9980"/>
        <s v="OID2440"/>
        <s v="OID7256"/>
        <s v="OID6854"/>
        <s v="OID9600"/>
        <s v="OID3186"/>
        <s v="OID1420"/>
        <s v="OID4436"/>
        <s v="OID6410"/>
        <s v="OID4538"/>
        <s v="OID8225"/>
        <s v="OID2099"/>
        <s v="OID9222"/>
        <s v="OID3523"/>
        <s v="OID3834"/>
        <s v="OID9975"/>
        <s v="OID6893"/>
        <s v="OID8192"/>
        <s v="OID7904"/>
        <s v="OID5999"/>
        <s v="OID7409"/>
        <s v="OID8708"/>
        <s v="OID5745"/>
        <s v="OID9178"/>
        <s v="OID2529"/>
        <s v="OID3125"/>
        <s v="OID4011"/>
        <s v="OID1592"/>
        <s v="OID7667"/>
        <s v="OID5182"/>
        <s v="OID1833"/>
        <s v="OID5190"/>
        <s v="OID4399"/>
        <s v="OID8104"/>
        <s v="OID1054"/>
        <s v="OID7828"/>
        <s v="OID5598"/>
        <s v="OID7417"/>
        <s v="OID8004"/>
        <s v="OID7287"/>
        <s v="OID3637"/>
        <s v="OID2097"/>
        <s v="OID3388"/>
        <s v="OID1114"/>
        <s v="OID3556"/>
        <s v="OID9404"/>
        <s v="OID4552"/>
        <s v="OID8486"/>
        <s v="OID4240"/>
        <s v="OID3727"/>
        <s v="OID8955"/>
        <s v="OID1744"/>
        <s v="OID5831"/>
        <s v="OID2842"/>
        <s v="OID1661"/>
        <s v="OID9123"/>
        <s v="OID3981"/>
        <s v="OID6634"/>
        <s v="OID9069"/>
        <s v="OID6802"/>
        <s v="OID4442"/>
        <s v="OID4995"/>
        <s v="OID7650"/>
        <s v="OID5555"/>
        <s v="OID1769"/>
        <s v="OID2189"/>
        <s v="OID9035"/>
        <s v="OID4219"/>
        <s v="OID1694"/>
        <s v="OID7495"/>
        <s v="OID1080"/>
        <s v="OID4539"/>
        <s v="OID8093"/>
        <s v="OID1707"/>
        <s v="OID5703"/>
        <s v="OID7457"/>
        <s v="OID4784"/>
        <s v="OID1726"/>
        <s v="OID1073"/>
        <s v="OID7443"/>
        <s v="OID1025"/>
        <s v="OID8826"/>
        <s v="OID6254"/>
        <s v="OID7518"/>
        <s v="OID4491"/>
        <s v="OID8288"/>
        <s v="OID6504"/>
        <s v="OID2595"/>
        <s v="OID9478"/>
        <s v="OID1169"/>
        <s v="OID6775"/>
        <s v="OID2383"/>
        <s v="OID3750"/>
        <s v="OID4837"/>
        <s v="OID6975"/>
        <s v="OID1869"/>
        <s v="OID3921"/>
        <s v="OID4056"/>
        <s v="OID4907"/>
        <s v="OID9684"/>
        <s v="OID2044"/>
        <s v="OID6436"/>
        <s v="OID9374"/>
        <s v="OID2767"/>
        <s v="OID8981"/>
        <s v="OID2246"/>
        <s v="OID1779"/>
        <s v="OID2005"/>
        <s v="OID6485"/>
        <s v="OID6319"/>
        <s v="OID9461"/>
        <s v="OID4522"/>
        <s v="OID9862"/>
        <s v="OID6361"/>
        <s v="OID7238"/>
        <s v="OID8446"/>
        <s v="OID9459"/>
        <s v="OID6433"/>
        <s v="OID3128"/>
        <s v="OID8972"/>
        <s v="OID5970"/>
        <s v="OID3491"/>
        <s v="OID6651"/>
        <s v="OID2861"/>
        <s v="OID3302"/>
        <s v="OID9922"/>
        <s v="OID4613"/>
        <s v="OID7483"/>
        <s v="OID7418"/>
        <s v="OID3361"/>
        <s v="OID7475"/>
        <s v="OID6847"/>
      </sharedItems>
    </cacheField>
    <cacheField name="Order_Date" numFmtId="164">
      <sharedItems containsSemiMixedTypes="0" containsNonDate="0" containsDate="1" containsString="0" minDate="2023-02-09T00:00:00Z" maxDate="2025-02-08T00:00:00Z">
        <d v="2024-03-07T00:00:00Z"/>
        <d v="2024-03-27T00:00:00Z"/>
        <d v="2024-02-20T00:00:00Z"/>
        <d v="2024-05-14T00:00:00Z"/>
        <d v="2024-04-09T00:00:00Z"/>
        <d v="2024-09-08T00:00:00Z"/>
        <d v="2025-01-05T00:00:00Z"/>
        <d v="2024-06-16T00:00:00Z"/>
        <d v="2023-04-24T00:00:00Z"/>
        <d v="2023-12-22T00:00:00Z"/>
        <d v="2024-10-23T00:00:00Z"/>
        <d v="2024-07-25T00:00:00Z"/>
        <d v="2023-03-12T00:00:00Z"/>
        <d v="2023-12-07T00:00:00Z"/>
        <d v="2024-03-26T00:00:00Z"/>
        <d v="2023-06-02T00:00:00Z"/>
        <d v="2023-02-09T00:00:00Z"/>
        <d v="2024-09-07T00:00:00Z"/>
        <d v="2025-01-08T00:00:00Z"/>
        <d v="2024-09-21T00:00:00Z"/>
        <d v="2024-08-16T00:00:00Z"/>
        <d v="2024-03-01T00:00:00Z"/>
        <d v="2023-07-18T00:00:00Z"/>
        <d v="2023-09-25T00:00:00Z"/>
        <d v="2023-08-08T00:00:00Z"/>
        <d v="2023-07-31T00:00:00Z"/>
        <d v="2023-05-20T00:00:00Z"/>
        <d v="2023-09-16T00:00:00Z"/>
        <d v="2023-03-02T00:00:00Z"/>
        <d v="2023-10-25T00:00:00Z"/>
        <d v="2024-04-07T00:00:00Z"/>
        <d v="2023-04-23T00:00:00Z"/>
        <d v="2024-09-13T00:00:00Z"/>
        <d v="2024-04-25T00:00:00Z"/>
        <d v="2023-08-30T00:00:00Z"/>
        <d v="2023-11-14T00:00:00Z"/>
        <d v="2023-11-12T00:00:00Z"/>
        <d v="2023-09-24T00:00:00Z"/>
        <d v="2024-12-30T00:00:00Z"/>
        <d v="2024-10-09T00:00:00Z"/>
        <d v="2024-09-22T00:00:00Z"/>
        <d v="2024-10-03T00:00:00Z"/>
        <d v="2023-08-13T00:00:00Z"/>
        <d v="2023-04-04T00:00:00Z"/>
        <d v="2024-02-14T00:00:00Z"/>
        <d v="2024-01-22T00:00:00Z"/>
        <d v="2023-05-08T00:00:00Z"/>
        <d v="2024-11-24T00:00:00Z"/>
        <d v="2024-09-10T00:00:00Z"/>
        <d v="2024-03-14T00:00:00Z"/>
        <d v="2023-08-07T00:00:00Z"/>
        <d v="2024-01-21T00:00:00Z"/>
        <d v="2024-11-03T00:00:00Z"/>
        <d v="2023-10-30T00:00:00Z"/>
        <d v="2023-08-11T00:00:00Z"/>
        <d v="2023-10-14T00:00:00Z"/>
        <d v="2024-12-29T00:00:00Z"/>
        <d v="2023-02-15T00:00:00Z"/>
        <d v="2024-05-23T00:00:00Z"/>
        <d v="2023-03-17T00:00:00Z"/>
        <d v="2025-01-23T00:00:00Z"/>
        <d v="2024-12-03T00:00:00Z"/>
        <d v="2024-02-24T00:00:00Z"/>
        <d v="2024-07-30T00:00:00Z"/>
        <d v="2024-06-08T00:00:00Z"/>
        <d v="2024-01-31T00:00:00Z"/>
        <d v="2023-12-17T00:00:00Z"/>
        <d v="2024-10-21T00:00:00Z"/>
        <d v="2024-10-02T00:00:00Z"/>
        <d v="2024-07-22T00:00:00Z"/>
        <d v="2024-03-04T00:00:00Z"/>
        <d v="2023-07-25T00:00:00Z"/>
        <d v="2024-12-24T00:00:00Z"/>
        <d v="2023-04-25T00:00:00Z"/>
        <d v="2025-01-26T00:00:00Z"/>
        <d v="2024-05-31T00:00:00Z"/>
        <d v="2025-01-18T00:00:00Z"/>
        <d v="2024-08-21T00:00:00Z"/>
        <d v="2024-11-29T00:00:00Z"/>
        <d v="2024-08-01T00:00:00Z"/>
        <d v="2023-11-22T00:00:00Z"/>
        <d v="2024-10-30T00:00:00Z"/>
        <d v="2023-10-28T00:00:00Z"/>
        <d v="2023-05-30T00:00:00Z"/>
        <d v="2024-09-20T00:00:00Z"/>
        <d v="2024-01-16T00:00:00Z"/>
        <d v="2024-07-31T00:00:00Z"/>
        <d v="2024-07-15T00:00:00Z"/>
        <d v="2023-07-11T00:00:00Z"/>
        <d v="2023-09-14T00:00:00Z"/>
        <d v="2025-01-16T00:00:00Z"/>
        <d v="2024-01-30T00:00:00Z"/>
        <d v="2023-10-04T00:00:00Z"/>
        <d v="2024-12-10T00:00:00Z"/>
        <d v="2023-08-27T00:00:00Z"/>
        <d v="2024-07-11T00:00:00Z"/>
        <d v="2023-07-06T00:00:00Z"/>
        <d v="2024-08-26T00:00:00Z"/>
        <d v="2024-05-20T00:00:00Z"/>
        <d v="2024-05-15T00:00:00Z"/>
        <d v="2023-04-05T00:00:00Z"/>
        <d v="2023-03-20T00:00:00Z"/>
        <d v="2024-04-24T00:00:00Z"/>
        <d v="2024-04-15T00:00:00Z"/>
        <d v="2023-12-16T00:00:00Z"/>
        <d v="2023-07-24T00:00:00Z"/>
        <d v="2023-08-18T00:00:00Z"/>
        <d v="2023-04-07T00:00:00Z"/>
        <d v="2023-06-29T00:00:00Z"/>
        <d v="2023-03-18T00:00:00Z"/>
        <d v="2024-07-26T00:00:00Z"/>
        <d v="2024-02-13T00:00:00Z"/>
        <d v="2023-09-17T00:00:00Z"/>
        <d v="2025-01-10T00:00:00Z"/>
        <d v="2024-06-07T00:00:00Z"/>
        <d v="2024-11-02T00:00:00Z"/>
        <d v="2024-10-24T00:00:00Z"/>
        <d v="2025-02-01T00:00:00Z"/>
        <d v="2023-06-17T00:00:00Z"/>
        <d v="2023-12-21T00:00:00Z"/>
        <d v="2023-02-22T00:00:00Z"/>
        <d v="2025-01-06T00:00:00Z"/>
        <d v="2023-10-27T00:00:00Z"/>
        <d v="2023-11-19T00:00:00Z"/>
        <d v="2024-02-09T00:00:00Z"/>
        <d v="2023-07-01T00:00:00Z"/>
        <d v="2023-12-23T00:00:00Z"/>
        <d v="2024-09-02T00:00:00Z"/>
        <d v="2024-11-13T00:00:00Z"/>
        <d v="2024-10-11T00:00:00Z"/>
        <d v="2023-09-30T00:00:00Z"/>
        <d v="2025-01-20T00:00:00Z"/>
        <d v="2024-10-16T00:00:00Z"/>
        <d v="2023-02-26T00:00:00Z"/>
        <d v="2023-03-04T00:00:00Z"/>
        <d v="2023-11-21T00:00:00Z"/>
        <d v="2023-10-01T00:00:00Z"/>
        <d v="2024-02-08T00:00:00Z"/>
        <d v="2023-07-22T00:00:00Z"/>
        <d v="2024-10-19T00:00:00Z"/>
        <d v="2023-12-31T00:00:00Z"/>
        <d v="2024-07-09T00:00:00Z"/>
        <d v="2023-06-12T00:00:00Z"/>
        <d v="2024-11-14T00:00:00Z"/>
        <d v="2023-04-29T00:00:00Z"/>
        <d v="2024-08-25T00:00:00Z"/>
        <d v="2024-08-31T00:00:00Z"/>
        <d v="2023-02-24T00:00:00Z"/>
        <d v="2023-10-08T00:00:00Z"/>
        <d v="2024-08-09T00:00:00Z"/>
        <d v="2024-09-15T00:00:00Z"/>
        <d v="2023-07-13T00:00:00Z"/>
        <d v="2024-10-26T00:00:00Z"/>
        <d v="2024-09-26T00:00:00Z"/>
        <d v="2023-05-05T00:00:00Z"/>
        <d v="2024-01-27T00:00:00Z"/>
        <d v="2024-08-04T00:00:00Z"/>
        <d v="2024-10-15T00:00:00Z"/>
        <d v="2024-07-05T00:00:00Z"/>
        <d v="2023-03-25T00:00:00Z"/>
        <d v="2024-06-14T00:00:00Z"/>
        <d v="2024-02-21T00:00:00Z"/>
        <d v="2023-06-18T00:00:00Z"/>
        <d v="2024-12-25T00:00:00Z"/>
        <d v="2024-06-12T00:00:00Z"/>
        <d v="2023-06-22T00:00:00Z"/>
        <d v="2023-05-14T00:00:00Z"/>
        <d v="2023-05-23T00:00:00Z"/>
        <d v="2023-04-20T00:00:00Z"/>
        <d v="2023-10-09T00:00:00Z"/>
        <d v="2023-11-11T00:00:00Z"/>
        <d v="2023-11-23T00:00:00Z"/>
        <d v="2024-08-19T00:00:00Z"/>
        <d v="2024-07-08T00:00:00Z"/>
        <d v="2023-05-07T00:00:00Z"/>
        <d v="2024-01-29T00:00:00Z"/>
        <d v="2023-05-28T00:00:00Z"/>
        <d v="2023-12-25T00:00:00Z"/>
        <d v="2023-03-16T00:00:00Z"/>
        <d v="2024-02-17T00:00:00Z"/>
        <d v="2024-02-27T00:00:00Z"/>
        <d v="2024-09-14T00:00:00Z"/>
        <d v="2023-07-05T00:00:00Z"/>
        <d v="2023-12-11T00:00:00Z"/>
        <d v="2024-10-13T00:00:00Z"/>
        <d v="2024-09-06T00:00:00Z"/>
        <d v="2024-04-26T00:00:00Z"/>
        <d v="2023-06-28T00:00:00Z"/>
        <d v="2023-10-18T00:00:00Z"/>
        <d v="2023-08-24T00:00:00Z"/>
        <d v="2023-12-13T00:00:00Z"/>
        <d v="2023-07-10T00:00:00Z"/>
        <d v="2024-04-10T00:00:00Z"/>
        <d v="2024-02-26T00:00:00Z"/>
        <d v="2023-11-27T00:00:00Z"/>
        <d v="2024-04-08T00:00:00Z"/>
        <d v="2023-07-02T00:00:00Z"/>
        <d v="2024-11-20T00:00:00Z"/>
        <d v="2024-05-05T00:00:00Z"/>
        <d v="2024-06-27T00:00:00Z"/>
        <d v="2023-02-11T00:00:00Z"/>
        <d v="2024-06-10T00:00:00Z"/>
        <d v="2024-11-12T00:00:00Z"/>
        <d v="2024-04-04T00:00:00Z"/>
        <d v="2024-08-27T00:00:00Z"/>
        <d v="2024-04-01T00:00:00Z"/>
        <d v="2023-11-03T00:00:00Z"/>
        <d v="2025-01-11T00:00:00Z"/>
        <d v="2025-01-02T00:00:00Z"/>
        <d v="2024-08-08T00:00:00Z"/>
        <d v="2024-04-11T00:00:00Z"/>
        <d v="2023-09-19T00:00:00Z"/>
        <d v="2023-04-10T00:00:00Z"/>
        <d v="2024-06-11T00:00:00Z"/>
        <d v="2024-09-12T00:00:00Z"/>
        <d v="2023-03-11T00:00:00Z"/>
        <d v="2025-01-15T00:00:00Z"/>
        <d v="2024-03-15T00:00:00Z"/>
        <d v="2024-02-29T00:00:00Z"/>
        <d v="2023-06-06T00:00:00Z"/>
        <d v="2024-05-16T00:00:00Z"/>
        <d v="2023-03-27T00:00:00Z"/>
        <d v="2024-02-10T00:00:00Z"/>
        <d v="2024-05-10T00:00:00Z"/>
        <d v="2023-04-01T00:00:00Z"/>
        <d v="2023-10-02T00:00:00Z"/>
        <d v="2024-08-18T00:00:00Z"/>
        <d v="2023-06-13T00:00:00Z"/>
        <d v="2023-05-03T00:00:00Z"/>
        <d v="2025-01-19T00:00:00Z"/>
        <d v="2023-06-15T00:00:00Z"/>
        <d v="2023-04-08T00:00:00Z"/>
        <d v="2023-05-12T00:00:00Z"/>
        <d v="2024-05-02T00:00:00Z"/>
        <d v="2024-08-23T00:00:00Z"/>
        <d v="2023-08-19T00:00:00Z"/>
        <d v="2023-06-27T00:00:00Z"/>
        <d v="2024-09-28T00:00:00Z"/>
        <d v="2023-12-19T00:00:00Z"/>
        <d v="2023-10-07T00:00:00Z"/>
        <d v="2024-02-02T00:00:00Z"/>
        <d v="2023-12-12T00:00:00Z"/>
        <d v="2025-01-14T00:00:00Z"/>
        <d v="2023-05-18T00:00:00Z"/>
        <d v="2023-02-16T00:00:00Z"/>
        <d v="2024-08-11T00:00:00Z"/>
        <d v="2023-02-19T00:00:00Z"/>
        <d v="2025-01-27T00:00:00Z"/>
        <d v="2024-04-18T00:00:00Z"/>
        <d v="2023-08-05T00:00:00Z"/>
        <d v="2023-10-12T00:00:00Z"/>
        <d v="2023-08-09T00:00:00Z"/>
        <d v="2024-12-11T00:00:00Z"/>
        <d v="2024-07-06T00:00:00Z"/>
        <d v="2024-07-28T00:00:00Z"/>
        <d v="2023-06-30T00:00:00Z"/>
        <d v="2024-05-08T00:00:00Z"/>
        <d v="2023-09-26T00:00:00Z"/>
        <d v="2024-10-08T00:00:00Z"/>
        <d v="2024-04-02T00:00:00Z"/>
        <d v="2024-04-06T00:00:00Z"/>
        <d v="2024-11-27T00:00:00Z"/>
        <d v="2023-12-29T00:00:00Z"/>
        <d v="2023-07-15T00:00:00Z"/>
        <d v="2024-12-01T00:00:00Z"/>
        <d v="2023-08-10T00:00:00Z"/>
        <d v="2025-01-25T00:00:00Z"/>
        <d v="2024-05-11T00:00:00Z"/>
        <d v="2024-01-12T00:00:00Z"/>
        <d v="2025-01-09T00:00:00Z"/>
        <d v="2023-06-08T00:00:00Z"/>
        <d v="2023-04-12T00:00:00Z"/>
        <d v="2024-04-05T00:00:00Z"/>
        <d v="2024-07-23T00:00:00Z"/>
        <d v="2023-09-18T00:00:00Z"/>
        <d v="2023-09-21T00:00:00Z"/>
        <d v="2023-02-25T00:00:00Z"/>
        <d v="2024-07-01T00:00:00Z"/>
        <d v="2024-11-04T00:00:00Z"/>
        <d v="2024-09-18T00:00:00Z"/>
        <d v="2023-05-13T00:00:00Z"/>
        <d v="2023-03-22T00:00:00Z"/>
        <d v="2025-01-21T00:00:00Z"/>
        <d v="2023-02-21T00:00:00Z"/>
        <d v="2024-05-09T00:00:00Z"/>
        <d v="2023-10-26T00:00:00Z"/>
        <d v="2024-06-30T00:00:00Z"/>
        <d v="2023-02-18T00:00:00Z"/>
        <d v="2024-07-12T00:00:00Z"/>
        <d v="2023-03-21T00:00:00Z"/>
        <d v="2024-11-26T00:00:00Z"/>
        <d v="2024-06-03T00:00:00Z"/>
        <d v="2023-11-17T00:00:00Z"/>
        <d v="2023-11-08T00:00:00Z"/>
        <d v="2023-12-10T00:00:00Z"/>
        <d v="2023-11-13T00:00:00Z"/>
        <d v="2023-12-04T00:00:00Z"/>
        <d v="2024-04-22T00:00:00Z"/>
        <d v="2024-06-26T00:00:00Z"/>
        <d v="2023-07-09T00:00:00Z"/>
        <d v="2024-01-11T00:00:00Z"/>
        <d v="2024-03-10T00:00:00Z"/>
        <d v="2023-06-14T00:00:00Z"/>
        <d v="2023-09-03T00:00:00Z"/>
        <d v="2024-12-31T00:00:00Z"/>
        <d v="2024-02-18T00:00:00Z"/>
        <d v="2024-02-22T00:00:00Z"/>
        <d v="2024-01-04T00:00:00Z"/>
        <d v="2024-07-04T00:00:00Z"/>
        <d v="2024-12-20T00:00:00Z"/>
        <d v="2023-04-17T00:00:00Z"/>
        <d v="2024-02-05T00:00:00Z"/>
        <d v="2024-08-13T00:00:00Z"/>
        <d v="2024-06-28T00:00:00Z"/>
        <d v="2024-02-28T00:00:00Z"/>
        <d v="2024-06-06T00:00:00Z"/>
        <d v="2024-03-08T00:00:00Z"/>
        <d v="2024-02-11T00:00:00Z"/>
        <d v="2025-01-24T00:00:00Z"/>
        <d v="2024-04-17T00:00:00Z"/>
        <d v="2024-04-14T00:00:00Z"/>
        <d v="2023-10-17T00:00:00Z"/>
        <d v="2024-03-17T00:00:00Z"/>
        <d v="2025-01-04T00:00:00Z"/>
        <d v="2024-12-27T00:00:00Z"/>
        <d v="2023-12-09T00:00:00Z"/>
        <d v="2025-02-07T00:00:00Z"/>
        <d v="2024-10-22T00:00:00Z"/>
        <d v="2024-04-16T00:00:00Z"/>
        <d v="2023-09-09T00:00:00Z"/>
        <d v="2024-09-01T00:00:00Z"/>
        <d v="2024-01-19T00:00:00Z"/>
        <d v="2023-08-29T00:00:00Z"/>
        <d v="2024-12-02T00:00:00Z"/>
        <d v="2023-09-06T00:00:00Z"/>
        <d v="2024-03-28T00:00:00Z"/>
        <d v="2024-12-07T00:00:00Z"/>
        <d v="2024-09-04T00:00:00Z"/>
        <d v="2024-05-17T00:00:00Z"/>
        <d v="2024-12-12T00:00:00Z"/>
        <d v="2024-03-29T00:00:00Z"/>
        <d v="2024-10-06T00:00:00Z"/>
        <d v="2023-02-23T00:00:00Z"/>
        <d v="2023-03-30T00:00:00Z"/>
        <d v="2024-10-31T00:00:00Z"/>
        <d v="2023-06-10T00:00:00Z"/>
        <d v="2023-06-26T00:00:00Z"/>
        <d v="2024-04-28T00:00:00Z"/>
        <d v="2024-03-11T00:00:00Z"/>
        <d v="2024-08-24T00:00:00Z"/>
        <d v="2024-03-03T00:00:00Z"/>
        <d v="2024-03-02T00:00:00Z"/>
        <d v="2023-11-29T00:00:00Z"/>
        <d v="2024-03-22T00:00:00Z"/>
        <d v="2023-05-26T00:00:00Z"/>
        <d v="2023-12-30T00:00:00Z"/>
        <d v="2023-07-21T00:00:00Z"/>
        <d v="2024-03-05T00:00:00Z"/>
        <d v="2023-10-05T00:00:00Z"/>
        <d v="2024-10-25T00:00:00Z"/>
        <d v="2023-09-13T00:00:00Z"/>
        <d v="2023-04-16T00:00:00Z"/>
        <d v="2024-07-17T00:00:00Z"/>
        <d v="2024-03-30T00:00:00Z"/>
        <d v="2024-06-29T00:00:00Z"/>
      </sharedItems>
      <fieldGroup base="10">
        <rangePr autoStart="0" autoEnd="0" groupBy="months" startDate="2023-02-09T00:00:00Z" endDate="2025-02-08T00:00:00Z"/>
        <groupItems>
          <s v="&lt;02/09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8/25"/>
        </groupItems>
      </fieldGroup>
    </cacheField>
    <cacheField name="Order_Time" numFmtId="0">
      <sharedItems>
        <s v="18:16:33"/>
        <s v="01:46:33"/>
        <s v="07:31:36"/>
        <s v="18:29:21"/>
        <s v="03:23:21"/>
        <s v="16:55:06"/>
        <s v="09:47:21"/>
        <s v="19:27:45"/>
        <s v="12:07:00"/>
        <s v="13:46:47"/>
        <s v="17:21:43"/>
        <s v="15:09:49"/>
        <s v="22:42:51"/>
        <s v="14:52:54"/>
        <s v="01:19:56"/>
        <s v="04:13:27"/>
        <s v="23:53:21"/>
        <s v="19:16:28"/>
        <s v="11:48:17"/>
        <s v="06:34:00"/>
        <s v="04:06:55"/>
        <s v="10:38:12"/>
        <s v="20:47:13"/>
        <s v="08:09:52"/>
        <s v="19:13:06"/>
        <s v="06:04:50"/>
        <s v="17:44:17"/>
        <s v="18:58:15"/>
        <s v="12:22:52"/>
        <s v="00:40:20"/>
        <s v="21:19:14"/>
        <s v="10:35:41"/>
        <s v="13:50:14"/>
        <s v="01:48:02"/>
        <s v="14:37:48"/>
        <s v="05:01:37"/>
        <s v="12:35:46"/>
        <s v="23:34:14"/>
        <s v="04:09:40"/>
        <s v="04:03:43"/>
        <s v="00:47:19"/>
        <s v="12:37:23"/>
        <s v="17:27:33"/>
        <s v="01:59:03"/>
        <s v="21:46:52"/>
        <s v="18:49:59"/>
        <s v="22:08:17"/>
        <s v="19:20:51"/>
        <s v="00:57:17"/>
        <s v="04:25:34"/>
        <s v="07:52:23"/>
        <s v="15:34:34"/>
        <s v="01:45:28"/>
        <s v="12:30:02"/>
        <s v="04:32:42"/>
        <s v="14:13:38"/>
        <s v="02:09:48"/>
        <s v="16:10:50"/>
        <s v="09:43:27"/>
        <s v="02:34:25"/>
        <s v="02:46:19"/>
        <s v="18:25:37"/>
        <s v="19:18:19"/>
        <s v="09:15:50"/>
        <s v="02:51:35"/>
        <s v="20:59:40"/>
        <s v="17:00:22"/>
        <s v="22:51:56"/>
        <s v="12:19:34"/>
        <s v="15:26:04"/>
        <s v="19:49:32"/>
        <s v="21:08:59"/>
        <s v="05:40:38"/>
        <s v="17:56:01"/>
        <s v="23:34:28"/>
        <s v="03:04:26"/>
        <s v="04:27:04"/>
        <s v="23:24:39"/>
        <s v="18:54:33"/>
        <s v="10:55:08"/>
        <s v="19:40:45"/>
        <s v="02:08:49"/>
        <s v="01:05:15"/>
        <s v="04:27:02"/>
        <s v="15:22:10"/>
        <s v="19:45:13"/>
        <s v="01:09:33"/>
        <s v="07:05:58"/>
        <s v="07:48:29"/>
        <s v="12:17:34"/>
        <s v="19:02:37"/>
        <s v="03:34:35"/>
        <s v="17:05:21"/>
        <s v="23:41:08"/>
        <s v="04:48:30"/>
        <s v="17:09:49"/>
        <s v="07:51:16"/>
        <s v="21:43:03"/>
        <s v="07:53:58"/>
        <s v="01:16:21"/>
        <s v="02:43:38"/>
        <s v="13:25:18"/>
        <s v="18:32:14"/>
        <s v="21:12:50"/>
        <s v="17:19:09"/>
        <s v="15:04:45"/>
        <s v="18:15:56"/>
        <s v="00:17:47"/>
        <s v="01:46:15"/>
        <s v="09:44:25"/>
        <s v="20:32:03"/>
        <s v="12:57:10"/>
        <s v="14:16:13"/>
        <s v="05:44:11"/>
        <s v="19:28:31"/>
        <s v="06:22:42"/>
        <s v="03:53:04"/>
        <s v="13:06:48"/>
        <s v="10:28:03"/>
        <s v="22:11:06"/>
        <s v="14:00:52"/>
        <s v="07:11:09"/>
        <s v="12:09:51"/>
        <s v="10:51:20"/>
        <s v="23:40:15"/>
        <s v="01:24:01"/>
        <s v="11:34:01"/>
        <s v="02:04:13"/>
        <s v="22:18:21"/>
        <s v="08:18:11"/>
        <s v="10:44:36"/>
        <s v="17:09:22"/>
        <s v="07:07:24"/>
        <s v="07:27:27"/>
        <s v="00:30:57"/>
        <s v="20:10:38"/>
        <s v="14:57:06"/>
        <s v="10:20:44"/>
        <s v="14:09:23"/>
        <s v="10:48:56"/>
        <s v="10:33:35"/>
        <s v="22:34:39"/>
        <s v="19:56:54"/>
        <s v="19:28:23"/>
        <s v="09:43:17"/>
        <s v="06:49:56"/>
        <s v="00:43:57"/>
        <s v="15:45:08"/>
        <s v="03:06:30"/>
        <s v="13:02:42"/>
        <s v="10:25:49"/>
        <s v="04:33:43"/>
        <s v="15:45:02"/>
        <s v="18:37:45"/>
        <s v="20:25:23"/>
        <s v="10:35:10"/>
        <s v="21:35:45"/>
        <s v="16:54:11"/>
        <s v="10:04:46"/>
        <s v="02:22:40"/>
        <s v="21:52:14"/>
        <s v="08:31:11"/>
        <s v="20:48:48"/>
        <s v="18:41:53"/>
        <s v="05:35:11"/>
        <s v="11:01:20"/>
        <s v="08:29:32"/>
        <s v="02:56:50"/>
        <s v="11:18:01"/>
        <s v="03:11:30"/>
        <s v="04:35:15"/>
        <s v="08:45:48"/>
        <s v="09:39:48"/>
        <s v="19:48:44"/>
        <s v="18:18:32"/>
        <s v="16:59:55"/>
        <s v="13:40:51"/>
        <s v="08:11:19"/>
        <s v="02:27:18"/>
        <s v="05:33:41"/>
        <s v="18:14:45"/>
        <s v="03:08:05"/>
        <s v="21:06:59"/>
        <s v="14:49:31"/>
        <s v="19:40:44"/>
        <s v="16:25:28"/>
        <s v="05:57:45"/>
        <s v="13:16:36"/>
        <s v="07:44:52"/>
        <s v="12:51:15"/>
        <s v="22:55:27"/>
        <s v="01:31:08"/>
        <s v="15:02:28"/>
        <s v="06:54:02"/>
        <s v="08:20:59"/>
        <s v="14:00:27"/>
        <s v="15:26:43"/>
        <s v="22:25:26"/>
        <s v="00:02:50"/>
        <s v="22:46:23"/>
        <s v="08:00:47"/>
        <s v="09:33:35"/>
        <s v="00:13:11"/>
        <s v="20:01:38"/>
        <s v="06:33:55"/>
        <s v="19:46:32"/>
        <s v="20:47:44"/>
        <s v="14:37:23"/>
        <s v="00:08:51"/>
        <s v="09:31:27"/>
        <s v="09:46:43"/>
        <s v="21:17:39"/>
        <s v="12:28:28"/>
        <s v="03:29:39"/>
        <s v="18:27:23"/>
        <s v="14:41:09"/>
        <s v="11:50:19"/>
        <s v="10:24:24"/>
        <s v="23:35:16"/>
        <s v="04:53:37"/>
        <s v="21:25:23"/>
        <s v="18:03:08"/>
        <s v="02:55:39"/>
        <s v="23:25:51"/>
        <s v="05:28:12"/>
        <s v="16:44:13"/>
        <s v="17:52:44"/>
        <s v="22:31:31"/>
        <s v="18:43:17"/>
        <s v="09:55:21"/>
        <s v="06:47:14"/>
        <s v="22:41:22"/>
        <s v="08:35:05"/>
        <s v="06:30:57"/>
        <s v="09:01:24"/>
        <s v="10:38:44"/>
        <s v="08:44:39"/>
        <s v="10:10:51"/>
        <s v="06:46:28"/>
        <s v="22:27:32"/>
        <s v="18:42:20"/>
        <s v="22:07:35"/>
        <s v="07:28:42"/>
        <s v="14:01:51"/>
        <s v="20:50:23"/>
        <s v="08:30:48"/>
        <s v="05:34:02"/>
        <s v="22:30:30"/>
        <s v="06:13:30"/>
        <s v="14:11:09"/>
        <s v="22:46:20"/>
        <s v="03:47:08"/>
        <s v="07:21:30"/>
        <s v="16:49:20"/>
        <s v="16:59:25"/>
        <s v="06:15:44"/>
        <s v="17:29:54"/>
        <s v="05:25:01"/>
        <s v="00:49:15"/>
        <s v="10:13:34"/>
        <s v="22:48:36"/>
        <s v="03:37:20"/>
        <s v="23:47:53"/>
        <s v="15:54:45"/>
        <s v="21:10:06"/>
        <s v="17:39:16"/>
        <s v="21:59:14"/>
        <s v="21:47:08"/>
        <s v="00:57:26"/>
        <s v="21:16:04"/>
        <s v="20:03:28"/>
        <s v="15:38:50"/>
        <s v="03:13:28"/>
        <s v="12:54:20"/>
        <s v="15:59:36"/>
        <s v="19:52:34"/>
        <s v="20:27:13"/>
        <s v="04:24:31"/>
        <s v="05:26:44"/>
        <s v="13:33:00"/>
        <s v="22:42:24"/>
        <s v="07:28:15"/>
        <s v="05:37:56"/>
        <s v="20:10:43"/>
        <s v="12:34:36"/>
        <s v="05:06:18"/>
        <s v="14:47:52"/>
        <s v="20:27:42"/>
        <s v="13:24:08"/>
        <s v="09:58:35"/>
        <s v="06:20:30"/>
        <s v="17:53:01"/>
        <s v="03:43:05"/>
        <s v="02:56:56"/>
        <s v="04:29:06"/>
        <s v="10:04:49"/>
        <s v="23:44:50"/>
        <s v="17:40:16"/>
        <s v="09:51:24"/>
        <s v="05:56:42"/>
        <s v="06:33:59"/>
        <s v="01:23:40"/>
        <s v="18:29:39"/>
        <s v="13:33:06"/>
        <s v="15:56:55"/>
        <s v="14:57:23"/>
        <s v="19:33:36"/>
        <s v="17:53:46"/>
        <s v="13:40:58"/>
        <s v="04:49:20"/>
        <s v="16:34:44"/>
        <s v="04:12:20"/>
        <s v="20:53:04"/>
        <s v="05:27:44"/>
        <s v="06:35:14"/>
        <s v="20:14:30"/>
        <s v="06:46:07"/>
        <s v="23:19:47"/>
        <s v="12:50:48"/>
        <s v="21:08:26"/>
        <s v="10:50:30"/>
        <s v="11:53:55"/>
        <s v="04:03:12"/>
        <s v="19:44:28"/>
        <s v="12:38:37"/>
        <s v="14:52:37"/>
        <s v="08:43:40"/>
        <s v="03:11:02"/>
        <s v="17:17:44"/>
        <s v="17:27:56"/>
        <s v="03:23:04"/>
        <s v="08:45:23"/>
        <s v="08:36:31"/>
        <s v="21:53:54"/>
        <s v="10:58:30"/>
        <s v="05:53:55"/>
        <s v="11:51:15"/>
        <s v="12:37:13"/>
        <s v="14:59:43"/>
        <s v="14:04:30"/>
        <s v="19:09:08"/>
        <s v="23:47:36"/>
        <s v="09:05:02"/>
        <s v="09:15:42"/>
        <s v="16:29:18"/>
        <s v="17:23:49"/>
        <s v="06:51:49"/>
        <s v="23:40:03"/>
        <s v="00:41:18"/>
        <s v="23:27:24"/>
        <s v="02:46:27"/>
        <s v="06:59:53"/>
        <s v="20:28:31"/>
        <s v="13:39:02"/>
        <s v="09:27:52"/>
        <s v="04:59:13"/>
        <s v="01:19:42"/>
        <s v="05:54:36"/>
        <s v="06:50:14"/>
        <s v="11:52:12"/>
        <s v="19:37:21"/>
        <s v="15:34:31"/>
        <s v="14:35:45"/>
        <s v="07:24:54"/>
        <s v="06:00:55"/>
        <s v="05:46:53"/>
        <s v="08:34:53"/>
        <s v="15:18:11"/>
        <s v="11:00:03"/>
        <s v="08:26:50"/>
        <s v="00:24:43"/>
        <s v="10:05:03"/>
        <s v="04:19:31"/>
        <s v="17:14:37"/>
        <s v="18:45:41"/>
        <s v="23:43:28"/>
        <s v="06:38:04"/>
        <s v="12:27:25"/>
        <s v="10:41:43"/>
        <s v="09:19:53"/>
        <s v="11:38:36"/>
        <s v="10:33:52"/>
        <s v="22:42:39"/>
        <s v="09:31:29"/>
        <s v="09:19:46"/>
        <s v="21:14:38"/>
        <s v="15:58:53"/>
        <s v="17:44:01"/>
        <s v="02:54:23"/>
        <s v="07:05:11"/>
        <s v="02:16:10"/>
        <s v="18:34:02"/>
        <s v="14:35:39"/>
        <s v="02:52:20"/>
        <s v="10:33:07"/>
        <s v="01:25:50"/>
        <s v="20:10:30"/>
        <s v="03:46:35"/>
        <s v="00:31:47"/>
        <s v="04:04:19"/>
        <s v="07:13:46"/>
        <s v="21:07:18"/>
        <s v="13:31:33"/>
        <s v="00:57:10"/>
        <s v="00:07:15"/>
        <s v="08:47:14"/>
        <s v="12:05:04"/>
        <s v="05:45:27"/>
        <s v="18:27:35"/>
        <s v="08:19:07"/>
        <s v="01:16:23"/>
        <s v="07:59:11"/>
        <s v="02:05:06"/>
        <s v="08:18:15"/>
        <s v="12:10:36"/>
        <s v="00:38:36"/>
        <s v="02:46:16"/>
        <s v="05:37:55"/>
        <s v="01:03:02"/>
        <s v="18:12:36"/>
        <s v="15:52:52"/>
        <s v="11:10:43"/>
        <s v="10:50:23"/>
        <s v="12:04:15"/>
        <s v="02:36:45"/>
        <s v="02:29:46"/>
        <s v="03:00:01"/>
        <s v="01:12:34"/>
        <s v="16:46:34"/>
        <s v="12:40:06"/>
        <s v="21:41:18"/>
        <s v="18:51:12"/>
        <s v="16:35:28"/>
        <s v="15:11:02"/>
        <s v="08:03:37"/>
        <s v="04:43:46"/>
        <s v="21:09:31"/>
        <s v="01:04:28"/>
        <s v="15:06:18"/>
        <s v="15:43:42"/>
        <s v="21:05:38"/>
        <s v="16:01:40"/>
        <s v="13:25:17"/>
        <s v="07:19:13"/>
        <s v="11:30:19"/>
        <s v="03:51:26"/>
        <s v="15:44:41"/>
        <s v="02:29:08"/>
        <s v="04:40:06"/>
        <s v="01:51:31"/>
        <s v="11:55:04"/>
        <s v="16:42:26"/>
        <s v="02:55:29"/>
        <s v="12:05:41"/>
        <s v="03:10:32"/>
        <s v="17:54:41"/>
        <s v="07:11:33"/>
        <s v="06:54:03"/>
        <s v="04:44:42"/>
        <s v="04:44:04"/>
        <s v="22:42:38"/>
        <s v="18:23:17"/>
        <s v="12:14:10"/>
        <s v="04:53:45"/>
        <s v="10:23:23"/>
        <s v="20:13:44"/>
        <s v="12:43:07"/>
        <s v="22:16:48"/>
        <s v="13:00:52"/>
        <s v="15:33:07"/>
        <s v="16:58:37"/>
        <s v="15:06:44"/>
        <s v="05:36:29"/>
        <s v="12:50:57"/>
        <s v="12:10:00"/>
        <s v="13:21:50"/>
        <s v="14:34:14"/>
        <s v="00:44:05"/>
        <s v="05:02:45"/>
        <s v="16:28:38"/>
        <s v="08:22:36"/>
        <s v="02:53:11"/>
        <s v="08:17:07"/>
        <s v="01:02:33"/>
        <s v="22:17:42"/>
        <s v="07:36:32"/>
        <s v="07:39:59"/>
        <s v="18:04:56"/>
        <s v="03:18:41"/>
        <s v="20:38:05"/>
        <s v="08:32:59"/>
        <s v="12:42:28"/>
        <s v="10:24:01"/>
        <s v="12:19:38"/>
        <s v="01:15:18"/>
        <s v="09:50:05"/>
        <s v="08:30:03"/>
        <s v="17:02:09"/>
      </sharedItems>
    </cacheField>
    <cacheField name="Product_ID" numFmtId="0">
      <sharedItems>
        <s v="PID022"/>
        <s v="PID015"/>
        <s v="PID023"/>
        <s v="PID031"/>
        <s v="PID043"/>
        <s v="PID046"/>
        <s v="PID034"/>
        <s v="PID033"/>
        <s v="PID007"/>
        <s v="PID042"/>
        <s v="PID047"/>
        <s v="PID039"/>
        <s v="PID014"/>
        <s v="PID024"/>
        <s v="PID003"/>
        <s v="PID008"/>
        <s v="PID012"/>
        <s v="PID028"/>
        <s v="PID030"/>
        <s v="PID026"/>
        <s v="PID018"/>
        <s v="PID036"/>
        <s v="PID050"/>
        <s v="PID021"/>
        <s v="PID027"/>
        <s v="PID037"/>
        <s v="PID041"/>
        <s v="PID004"/>
        <s v="PID020"/>
        <s v="PID010"/>
        <s v="PID001"/>
        <s v="PID019"/>
        <s v="PID009"/>
        <s v="PID038"/>
        <s v="PID048"/>
        <s v="PID049"/>
        <s v="PID017"/>
        <s v="PID016"/>
        <s v="PID006"/>
        <s v="PID025"/>
        <s v="PID005"/>
        <s v="PID035"/>
        <s v="PID013"/>
        <s v="PID032"/>
        <s v="PID040"/>
        <s v="PID029"/>
        <s v="PID044"/>
        <s v="PID011"/>
        <s v="PID002"/>
        <s v="PID045"/>
      </sharedItems>
    </cacheField>
    <cacheField name="Price" numFmtId="0">
      <sharedItems containsSemiMixedTypes="0" containsString="0" containsNumber="1">
        <n v="308.88"/>
        <n v="166.28"/>
        <n v="202.54"/>
        <n v="405.0"/>
        <n v="330.11"/>
        <n v="363.64"/>
        <n v="275.44"/>
        <n v="48.45"/>
        <n v="257.06"/>
        <n v="175.93"/>
        <n v="190.1"/>
        <n v="220.27"/>
        <n v="272.51"/>
        <n v="104.18"/>
        <n v="20.7"/>
        <n v="461.07"/>
        <n v="132.97"/>
        <n v="126.19"/>
        <n v="282.63"/>
        <n v="128.14"/>
        <n v="62.42"/>
        <n v="157.64"/>
        <n v="158.53"/>
        <n v="129.75"/>
        <n v="481.48"/>
        <n v="77.84"/>
        <n v="372.62"/>
        <n v="496.59"/>
        <n v="431.44"/>
        <n v="44.5"/>
        <n v="369.03"/>
        <n v="286.07"/>
        <n v="87.09"/>
        <n v="421.7"/>
        <n v="136.3"/>
        <n v="441.03"/>
        <n v="425.59"/>
        <n v="133.62"/>
        <n v="477.52"/>
        <n v="403.03"/>
        <n v="445.81"/>
        <n v="433.62"/>
        <n v="235.63"/>
        <n v="424.82"/>
        <n v="110.95"/>
        <n v="381.73"/>
        <n v="20.0"/>
        <n v="292.15"/>
        <n v="107.47"/>
        <n v="33.49"/>
      </sharedItems>
    </cacheField>
    <cacheField name="Quantity" numFmtId="0">
      <sharedItems containsSemiMixedTypes="0" containsString="0" containsNumber="1" containsInteger="1">
        <n v="5.0"/>
        <n v="4.0"/>
        <n v="1.0"/>
        <n v="3.0"/>
        <n v="2.0"/>
      </sharedItems>
    </cacheField>
    <cacheField name="Coupon_Code" numFmtId="0">
      <sharedItems>
        <s v="FLAT8"/>
        <s v="FLAT15"/>
        <s v="DEL0"/>
        <s v="FLAT20"/>
        <s v="FLAT10"/>
      </sharedItems>
    </cacheField>
    <cacheField name="Estimated_Days_to_Deliver" numFmtId="0">
      <sharedItems containsSemiMixedTypes="0" containsString="0" containsNumber="1" containsInteger="1">
        <n v="4.0"/>
        <n v="7.0"/>
        <n v="3.0"/>
        <n v="6.0"/>
        <n v="2.0"/>
        <n v="5.0"/>
        <n v="1.0"/>
      </sharedItems>
    </cacheField>
    <cacheField name="Delivery_Charge" numFmtId="0">
      <sharedItems containsSemiMixedTypes="0" containsString="0" containsNumber="1" containsInteger="1">
        <n v="60.0"/>
        <n v="66.0"/>
        <n v="47.0"/>
        <n v="54.0"/>
        <n v="39.0"/>
        <n v="70.0"/>
        <n v="63.0"/>
        <n v="59.0"/>
        <n v="35.0"/>
        <n v="62.0"/>
        <n v="65.0"/>
        <n v="58.0"/>
        <n v="40.0"/>
        <n v="44.0"/>
        <n v="38.0"/>
        <n v="43.0"/>
        <n v="56.0"/>
        <n v="55.0"/>
        <n v="57.0"/>
        <n v="42.0"/>
        <n v="36.0"/>
        <n v="53.0"/>
        <n v="64.0"/>
        <n v="50.0"/>
        <n v="52.0"/>
        <n v="49.0"/>
        <n v="41.0"/>
        <n v="46.0"/>
        <n v="69.0"/>
        <n v="48.0"/>
        <n v="67.0"/>
        <n v="61.0"/>
        <n v="68.0"/>
        <n v="45.0"/>
        <n v="51.0"/>
        <n v="37.0"/>
      </sharedItems>
    </cacheField>
    <cacheField name="Delivery_Date" numFmtId="164">
      <sharedItems containsSemiMixedTypes="0" containsDate="1" containsString="0">
        <d v="2024-03-10T00:00:00Z"/>
        <d v="2024-03-30T00:00:00Z"/>
        <d v="2024-02-22T00:00:00Z"/>
        <d v="2024-05-18T00:00:00Z"/>
        <d v="2024-04-13T00:00:00Z"/>
        <d v="2024-09-12T00:00:00Z"/>
        <d v="2025-01-08T00:00:00Z"/>
        <d v="2024-06-21T00:00:00Z"/>
        <d v="2023-04-26T00:00:00Z"/>
        <d v="2023-12-27T00:00:00Z"/>
        <d v="2024-10-25T00:00:00Z"/>
        <d v="2024-07-26T00:00:00Z"/>
        <d v="2023-03-14T00:00:00Z"/>
        <d v="2023-12-10T00:00:00Z"/>
        <d v="2024-03-31T00:00:00Z"/>
        <d v="2023-06-03T00:00:00Z"/>
        <d v="2023-02-13T00:00:00Z"/>
        <d v="2024-09-10T00:00:00Z"/>
        <d v="2025-01-13T00:00:00Z"/>
        <d v="2024-09-26T00:00:00Z"/>
        <d v="2024-08-17T00:00:00Z"/>
        <d v="2024-03-05T00:00:00Z"/>
        <d v="2023-07-19T00:00:00Z"/>
        <d v="2023-09-29T00:00:00Z"/>
        <d v="2023-08-12T00:00:00Z"/>
        <d v="2023-08-04T00:00:00Z"/>
        <d v="2023-05-23T00:00:00Z"/>
        <d v="2023-09-20T00:00:00Z"/>
        <d v="2023-03-03T00:00:00Z"/>
        <d v="2023-10-30T00:00:00Z"/>
        <d v="2024-04-14T00:00:00Z"/>
        <d v="2023-04-30T00:00:00Z"/>
        <d v="2024-09-18T00:00:00Z"/>
        <d v="2024-05-02T00:00:00Z"/>
        <d v="2023-09-03T00:00:00Z"/>
        <d v="2023-11-16T00:00:00Z"/>
        <d v="2023-11-18T00:00:00Z"/>
        <d v="2023-09-27T00:00:00Z"/>
        <d v="2025-01-04T00:00:00Z"/>
        <d v="2024-10-10T00:00:00Z"/>
        <d v="2024-09-29T00:00:00Z"/>
        <d v="2023-08-14T00:00:00Z"/>
        <d v="2023-04-10T00:00:00Z"/>
        <d v="2024-02-19T00:00:00Z"/>
        <d v="2023-03-07T00:00:00Z"/>
        <d v="2024-01-27T00:00:00Z"/>
        <d v="2023-05-15T00:00:00Z"/>
        <d v="2024-11-30T00:00:00Z"/>
        <d v="2023-10-28T00:00:00Z"/>
        <d v="2024-03-17T00:00:00Z"/>
        <d v="2023-08-09T00:00:00Z"/>
        <d v="2024-11-10T00:00:00Z"/>
        <d v="2023-11-03T00:00:00Z"/>
        <d v="2023-08-16T00:00:00Z"/>
        <d v="2023-10-19T00:00:00Z"/>
        <d v="2025-01-05T00:00:00Z"/>
        <d v="2023-02-20T00:00:00Z"/>
        <d v="2024-05-27T00:00:00Z"/>
        <d v="2023-03-22T00:00:00Z"/>
        <d v="2025-01-27T00:00:00Z"/>
        <d v="2024-12-04T00:00:00Z"/>
        <d v="2024-02-29T00:00:00Z"/>
        <d v="2024-08-06T00:00:00Z"/>
        <d v="2024-06-15T00:00:00Z"/>
        <d v="2024-02-05T00:00:00Z"/>
        <d v="2023-12-20T00:00:00Z"/>
        <d v="2024-10-23T00:00:00Z"/>
        <d v="2024-10-04T00:00:00Z"/>
        <d v="2024-07-23T00:00:00Z"/>
        <d v="2024-03-09T00:00:00Z"/>
        <d v="2023-08-01T00:00:00Z"/>
        <d v="2024-12-25T00:00:00Z"/>
        <d v="2024-06-18T00:00:00Z"/>
        <d v="2023-04-29T00:00:00Z"/>
        <d v="2025-01-28T00:00:00Z"/>
        <d v="2023-05-12T00:00:00Z"/>
        <d v="2024-06-04T00:00:00Z"/>
        <d v="2025-01-21T00:00:00Z"/>
        <d v="2024-08-22T00:00:00Z"/>
        <d v="2024-02-07T00:00:00Z"/>
        <d v="2024-12-01T00:00:00Z"/>
        <d v="2024-08-08T00:00:00Z"/>
        <d v="2023-11-27T00:00:00Z"/>
        <d v="2024-11-02T00:00:00Z"/>
        <d v="2023-10-29T00:00:00Z"/>
        <d v="2024-09-23T00:00:00Z"/>
        <d v="2024-01-22T00:00:00Z"/>
        <d v="2024-07-22T00:00:00Z"/>
        <d v="2023-07-18T00:00:00Z"/>
        <d v="2023-09-17T00:00:00Z"/>
        <d v="2025-01-18T00:00:00Z"/>
        <d v="2024-01-31T00:00:00Z"/>
        <d v="2023-10-09T00:00:00Z"/>
        <d v="2024-12-12T00:00:00Z"/>
        <d v="2023-08-31T00:00:00Z"/>
        <d v="2024-07-12T00:00:00Z"/>
        <d v="2023-07-10T00:00:00Z"/>
        <d v="2024-08-28T00:00:00Z"/>
        <d v="2024-05-24T00:00:00Z"/>
        <d v="2024-05-22T00:00:00Z"/>
        <d v="2023-04-09T00:00:00Z"/>
        <d v="2023-03-25T00:00:00Z"/>
        <d v="2024-04-26T00:00:00Z"/>
        <d v="2025-01-10T00:00:00Z"/>
        <d v="2024-04-19T00:00:00Z"/>
        <d v="2024-04-18T00:00:00Z"/>
        <d v="2023-07-31T00:00:00Z"/>
        <d v="2023-08-21T00:00:00Z"/>
        <d v="2023-09-16T00:00:00Z"/>
        <d v="2023-06-30T00:00:00Z"/>
        <d v="2023-03-23T00:00:00Z"/>
        <d v="2024-07-30T00:00:00Z"/>
        <d v="2023-10-16T00:00:00Z"/>
        <d v="2025-01-17T00:00:00Z"/>
        <d v="2024-12-11T00:00:00Z"/>
        <d v="2024-06-09T00:00:00Z"/>
        <d v="2024-11-03T00:00:00Z"/>
        <d v="2024-10-29T00:00:00Z"/>
        <d v="2025-02-06T00:00:00Z"/>
        <d v="2023-06-20T00:00:00Z"/>
        <d v="2023-12-23T00:00:00Z"/>
        <d v="2023-02-27T00:00:00Z"/>
        <d v="2025-01-11T00:00:00Z"/>
        <d v="2023-11-22T00:00:00Z"/>
        <d v="2024-02-10T00:00:00Z"/>
        <d v="2023-07-04T00:00:00Z"/>
        <d v="2023-12-29T00:00:00Z"/>
        <d v="2024-09-06T00:00:00Z"/>
        <d v="2024-11-16T00:00:00Z"/>
        <d v="2024-10-12T00:00:00Z"/>
        <d v="2023-10-04T00:00:00Z"/>
        <d v="2025-01-23T00:00:00Z"/>
        <d v="2024-11-15T00:00:00Z"/>
        <d v="2023-03-01T00:00:00Z"/>
        <d v="2024-03-29T00:00:00Z"/>
        <d v="2023-03-06T00:00:00Z"/>
        <d v="2023-11-26T00:00:00Z"/>
        <d v="2023-10-07T00:00:00Z"/>
        <d v="2024-02-09T00:00:00Z"/>
        <d v="2023-07-25T00:00:00Z"/>
        <d v="2024-10-26T00:00:00Z"/>
        <d v="2024-01-05T00:00:00Z"/>
        <d v="2023-06-14T00:00:00Z"/>
        <d v="2024-11-17T00:00:00Z"/>
        <d v="2023-05-01T00:00:00Z"/>
        <d v="2024-09-01T00:00:00Z"/>
        <d v="2023-03-02T00:00:00Z"/>
        <d v="2023-10-15T00:00:00Z"/>
        <d v="2023-09-23T00:00:00Z"/>
        <d v="2024-08-11T00:00:00Z"/>
        <d v="2024-09-17T00:00:00Z"/>
        <d v="2023-07-22T00:00:00Z"/>
        <d v="2023-09-24T00:00:00Z"/>
        <d v="2023-07-20T00:00:00Z"/>
        <d v="2024-10-27T00:00:00Z"/>
        <d v="2024-08-27T00:00:00Z"/>
        <d v="2024-09-28T00:00:00Z"/>
        <d v="2023-05-11T00:00:00Z"/>
        <d v="2024-01-30T00:00:00Z"/>
        <d v="2024-08-10T00:00:00Z"/>
        <d v="2024-10-20T00:00:00Z"/>
        <d v="2024-07-07T00:00:00Z"/>
        <d v="2023-03-30T00:00:00Z"/>
        <d v="2023-07-29T00:00:00Z"/>
        <d v="2024-06-20T00:00:00Z"/>
        <d v="2024-02-25T00:00:00Z"/>
        <d v="2023-06-21T00:00:00Z"/>
        <d v="2024-12-27T00:00:00Z"/>
        <d v="2024-10-01T00:00:00Z"/>
        <d v="2023-06-27T00:00:00Z"/>
        <d v="2023-05-20T00:00:00Z"/>
        <d v="2023-05-25T00:00:00Z"/>
        <d v="2023-04-27T00:00:00Z"/>
        <d v="2023-10-14T00:00:00Z"/>
        <d v="2023-11-12T00:00:00Z"/>
        <d v="2023-12-24T00:00:00Z"/>
        <d v="2025-02-07T00:00:00Z"/>
        <d v="2023-05-05T00:00:00Z"/>
        <d v="2024-07-09T00:00:00Z"/>
        <d v="2023-06-08T00:00:00Z"/>
        <d v="2024-07-29T00:00:00Z"/>
        <d v="2023-09-05T00:00:00Z"/>
        <d v="2023-06-02T00:00:00Z"/>
        <d v="2023-12-26T00:00:00Z"/>
        <d v="2023-03-20T00:00:00Z"/>
        <d v="2023-04-28T00:00:00Z"/>
        <d v="2024-03-03T00:00:00Z"/>
        <d v="2024-09-15T00:00:00Z"/>
        <d v="2023-07-08T00:00:00Z"/>
        <d v="2023-12-16T00:00:00Z"/>
        <d v="2024-10-17T00:00:00Z"/>
        <d v="2024-09-09T00:00:00Z"/>
        <d v="2024-08-07T00:00:00Z"/>
        <d v="2024-04-30T00:00:00Z"/>
        <d v="2023-07-05T00:00:00Z"/>
        <d v="2023-09-22T00:00:00Z"/>
        <d v="2023-10-22T00:00:00Z"/>
        <d v="2024-09-21T00:00:00Z"/>
        <d v="2023-08-25T00:00:00Z"/>
        <d v="2024-07-19T00:00:00Z"/>
        <d v="2023-07-11T00:00:00Z"/>
        <d v="2023-11-24T00:00:00Z"/>
        <d v="2023-12-04T00:00:00Z"/>
        <d v="2023-07-07T00:00:00Z"/>
        <d v="2024-11-06T00:00:00Z"/>
        <d v="2024-11-22T00:00:00Z"/>
        <d v="2023-12-15T00:00:00Z"/>
        <d v="2023-07-17T00:00:00Z"/>
        <d v="2024-05-07T00:00:00Z"/>
        <d v="2024-07-02T00:00:00Z"/>
        <d v="2023-02-17T00:00:00Z"/>
        <d v="2024-06-14T00:00:00Z"/>
        <d v="2024-04-09T00:00:00Z"/>
        <d v="2024-06-30T00:00:00Z"/>
        <d v="2024-08-29T00:00:00Z"/>
        <d v="2024-04-02T00:00:00Z"/>
        <d v="2023-11-06T00:00:00Z"/>
        <d v="2024-06-17T00:00:00Z"/>
        <d v="2024-04-17T00:00:00Z"/>
        <d v="2024-02-14T00:00:00Z"/>
        <d v="2023-04-15T00:00:00Z"/>
        <d v="2023-03-16T00:00:00Z"/>
        <d v="2025-01-20T00:00:00Z"/>
        <d v="2024-03-21T00:00:00Z"/>
        <d v="2024-09-11T00:00:00Z"/>
        <d v="2024-04-12T00:00:00Z"/>
        <d v="2024-03-01T00:00:00Z"/>
        <d v="2023-06-13T00:00:00Z"/>
        <d v="2023-03-17T00:00:00Z"/>
        <d v="2023-04-01T00:00:00Z"/>
        <d v="2024-02-16T00:00:00Z"/>
        <d v="2024-11-07T00:00:00Z"/>
        <d v="2024-05-11T00:00:00Z"/>
        <d v="2023-04-06T00:00:00Z"/>
        <d v="2024-05-14T00:00:00Z"/>
        <d v="2023-09-19T00:00:00Z"/>
        <d v="2025-01-22T00:00:00Z"/>
        <d v="2023-10-03T00:00:00Z"/>
        <d v="2024-08-24T00:00:00Z"/>
        <d v="2023-05-06T00:00:00Z"/>
        <d v="2025-01-26T00:00:00Z"/>
        <d v="2023-06-22T00:00:00Z"/>
        <d v="2025-01-03T00:00:00Z"/>
        <d v="2023-04-13T00:00:00Z"/>
        <d v="2024-06-19T00:00:00Z"/>
        <d v="2023-05-13T00:00:00Z"/>
        <d v="2024-05-08T00:00:00Z"/>
        <d v="2023-11-09T00:00:00Z"/>
        <d v="2024-08-16T00:00:00Z"/>
        <d v="2024-10-06T00:00:00Z"/>
        <d v="2023-08-26T00:00:00Z"/>
        <d v="2023-06-29T00:00:00Z"/>
        <d v="2024-09-30T00:00:00Z"/>
        <d v="2023-10-08T00:00:00Z"/>
        <d v="2023-12-18T00:00:00Z"/>
        <d v="2024-11-24T00:00:00Z"/>
        <d v="2024-02-03T00:00:00Z"/>
        <d v="2024-08-14T00:00:00Z"/>
        <d v="2023-02-25T00:00:00Z"/>
        <d v="2025-02-01T00:00:00Z"/>
        <d v="2023-07-03T00:00:00Z"/>
        <d v="2023-08-13T00:00:00Z"/>
        <d v="2024-12-14T00:00:00Z"/>
        <d v="2024-12-31T00:00:00Z"/>
        <d v="2024-08-04T00:00:00Z"/>
        <d v="2023-07-02T00:00:00Z"/>
        <d v="2024-05-10T00:00:00Z"/>
        <d v="2023-09-21T00:00:00Z"/>
        <d v="2024-10-13T00:00:00Z"/>
        <d v="2024-04-07T00:00:00Z"/>
        <d v="2024-04-11T00:00:00Z"/>
        <d v="2024-12-03T00:00:00Z"/>
        <d v="2024-07-31T00:00:00Z"/>
        <d v="2024-01-03T00:00:00Z"/>
        <d v="2023-12-30T00:00:00Z"/>
        <d v="2025-01-29T00:00:00Z"/>
        <d v="2024-06-11T00:00:00Z"/>
        <d v="2023-09-18T00:00:00Z"/>
        <d v="2024-05-17T00:00:00Z"/>
        <d v="2023-02-14T00:00:00Z"/>
        <d v="2024-01-17T00:00:00Z"/>
        <d v="2024-04-10T00:00:00Z"/>
        <d v="2023-06-09T00:00:00Z"/>
        <d v="2023-04-17T00:00:00Z"/>
        <d v="2023-09-28T00:00:00Z"/>
        <d v="2024-04-16T00:00:00Z"/>
        <d v="2024-07-08T00:00:00Z"/>
        <d v="2023-05-16T00:00:00Z"/>
        <d v="2023-03-27T00:00:00Z"/>
        <d v="2023-02-24T00:00:00Z"/>
        <d v="2023-09-25T00:00:00Z"/>
        <d v="2024-07-06T00:00:00Z"/>
        <d v="2023-02-19T00:00:00Z"/>
        <d v="2024-07-14T00:00:00Z"/>
        <d v="2024-12-02T00:00:00Z"/>
        <d v="2024-05-12T00:00:00Z"/>
        <d v="2024-06-08T00:00:00Z"/>
        <d v="2023-11-21T00:00:00Z"/>
        <d v="2024-01-19T00:00:00Z"/>
        <d v="2023-11-10T00:00:00Z"/>
        <d v="2023-04-25T00:00:00Z"/>
        <d v="2023-12-17T00:00:00Z"/>
        <d v="2023-05-21T00:00:00Z"/>
        <d v="2023-11-15T00:00:00Z"/>
        <d v="2024-04-23T00:00:00Z"/>
        <d v="2024-06-28T00:00:00Z"/>
        <d v="2023-07-14T00:00:00Z"/>
        <d v="2024-04-22T00:00:00Z"/>
        <d v="2024-01-16T00:00:00Z"/>
        <d v="2024-03-13T00:00:00Z"/>
        <d v="2023-09-08T00:00:00Z"/>
        <d v="2024-02-26T00:00:00Z"/>
        <d v="2024-01-24T00:00:00Z"/>
        <d v="2024-02-24T00:00:00Z"/>
        <d v="2024-01-10T00:00:00Z"/>
        <d v="2024-07-05T00:00:00Z"/>
        <d v="2024-12-21T00:00:00Z"/>
        <d v="2023-04-21T00:00:00Z"/>
        <d v="2024-02-08T00:00:00Z"/>
        <d v="2024-06-13T00:00:00Z"/>
        <d v="2024-03-14T00:00:00Z"/>
        <d v="2024-02-12T00:00:00Z"/>
        <d v="2025-01-30T00:00:00Z"/>
        <d v="2024-04-24T00:00:00Z"/>
        <d v="2024-04-20T00:00:00Z"/>
        <d v="2023-09-26T00:00:00Z"/>
        <d v="2024-03-20T00:00:00Z"/>
        <d v="2025-01-06T00:00:00Z"/>
        <d v="2023-08-11T00:00:00Z"/>
        <d v="2024-12-29T00:00:00Z"/>
        <d v="2024-03-07T00:00:00Z"/>
        <d v="2023-12-12T00:00:00Z"/>
        <d v="2025-02-13T00:00:00Z"/>
        <d v="2024-10-24T00:00:00Z"/>
        <d v="2024-09-07T00:00:00Z"/>
        <d v="2024-12-26T00:00:00Z"/>
        <d v="2024-08-01T00:00:00Z"/>
        <d v="2024-04-21T00:00:00Z"/>
        <d v="2024-05-21T00:00:00Z"/>
        <d v="2024-06-12T00:00:00Z"/>
        <d v="2023-09-15T00:00:00Z"/>
        <d v="2024-09-05T00:00:00Z"/>
        <d v="2024-01-26T00:00:00Z"/>
        <d v="2023-08-10T00:00:00Z"/>
        <d v="2023-03-31T00:00:00Z"/>
        <d v="2025-02-02T00:00:00Z"/>
        <d v="2024-12-18T00:00:00Z"/>
        <d v="2023-08-15T00:00:00Z"/>
        <d v="2024-10-11T00:00:00Z"/>
        <d v="2024-04-03T00:00:00Z"/>
        <d v="2024-08-23T00:00:00Z"/>
        <d v="2023-11-29T00:00:00Z"/>
        <d v="2023-02-26T00:00:00Z"/>
        <d v="2023-06-15T00:00:00Z"/>
        <d v="2024-08-26T00:00:00Z"/>
        <d v="2024-05-05T00:00:00Z"/>
        <d v="2024-05-13T00:00:00Z"/>
        <d v="2024-06-10T00:00:00Z"/>
        <d v="2024-08-31T00:00:00Z"/>
        <d v="2024-03-06T00:00:00Z"/>
        <d v="2024-02-06T00:00:00Z"/>
        <d v="2023-12-01T00:00:00Z"/>
        <d v="2024-03-28T00:00:00Z"/>
        <d v="2023-05-30T00:00:00Z"/>
        <d v="2023-12-31T00:00:00Z"/>
        <d v="2024-12-10T00:00:00Z"/>
        <d v="2025-01-25T00:00:00Z"/>
        <d v="2024-11-01T00:00:00Z"/>
        <d v="2023-10-20T00:00:00Z"/>
        <d v="2023-07-01T00:00:00Z"/>
        <d v="2023-04-23T00:00:00Z"/>
        <d v="2024-04-06T00:00:00Z"/>
        <d v="2024-07-04T00:00:00Z"/>
      </sharedItems>
    </cacheField>
    <cacheField name="Delivery_Time" numFmtId="0">
      <sharedItems>
        <s v="08:51:31"/>
        <s v="18:46:26"/>
        <s v="14:29:50"/>
        <s v="07:00:32"/>
        <s v="22:10:58"/>
        <s v="11:25:50"/>
        <s v="20:10:50"/>
        <s v="12:36:32"/>
        <s v="23:05:41"/>
        <s v="19:57:06"/>
        <s v="08:00:35"/>
        <s v="22:54:40"/>
        <s v="13:19:45"/>
        <s v="15:16:54"/>
        <s v="21:47:03"/>
        <s v="11:25:46"/>
        <s v="12:55:59"/>
        <s v="03:46:23"/>
        <s v="10:08:54"/>
        <s v="14:05:20"/>
        <s v="13:39:21"/>
        <s v="13:23:35"/>
        <s v="16:23:04"/>
        <s v="00:57:21"/>
        <s v="04:38:19"/>
        <s v="20:36:00"/>
        <s v="09:53:18"/>
        <s v="02:21:23"/>
        <s v="08:01:21"/>
        <s v="20:26:25"/>
        <s v="17:27:57"/>
        <s v="09:28:47"/>
        <s v="08:49:03"/>
        <s v="09:55:32"/>
        <s v="09:09:46"/>
        <s v="14:14:46"/>
        <s v="00:00:51"/>
        <s v="16:46:20"/>
        <s v="01:56:00"/>
        <s v="18:12:43"/>
        <s v="11:25:58"/>
        <s v="09:02:09"/>
        <s v="15:28:39"/>
        <s v="12:37:05"/>
        <s v="16:09:29"/>
        <s v="00:31:21"/>
        <s v="06:23:07"/>
        <s v="07:23:46"/>
        <s v="09:51:58"/>
        <s v="00:47:31"/>
        <s v="17:14:10"/>
        <s v="01:12:58"/>
        <s v="07:09:53"/>
        <s v="07:53:31"/>
        <s v="08:48:02"/>
        <s v="16:08:19"/>
        <s v="03:08:52"/>
        <s v="15:21:29"/>
        <s v="00:00:42"/>
        <s v="13:09:47"/>
        <s v="20:00:32"/>
        <s v="15:52:25"/>
        <s v="02:44:55"/>
        <s v="09:05:06"/>
        <s v="05:56:26"/>
        <s v="23:33:51"/>
        <s v="12:18:47"/>
        <s v="07:24:20"/>
        <s v="10:04:54"/>
        <s v="08:17:58"/>
        <s v="22:41:33"/>
        <s v="10:39:08"/>
        <s v="05:38:59"/>
        <s v="15:52:42"/>
        <s v="02:05:20"/>
        <s v="16:05:07"/>
        <s v="07:38:34"/>
        <s v="01:07:36"/>
        <s v="16:14:09"/>
        <s v="10:56:05"/>
        <s v="20:24:13"/>
        <s v="15:38:07"/>
        <s v="13:48:26"/>
        <s v="09:07:52"/>
        <s v="13:15:51"/>
        <s v="13:53:47"/>
        <s v="21:18:20"/>
        <s v="17:13:41"/>
        <s v="23:09:43"/>
        <s v="11:02:15"/>
        <s v="00:56:16"/>
        <s v="00:26:45"/>
        <s v="06:56:06"/>
        <s v="01:56:42"/>
        <s v="10:01:40"/>
        <s v="22:15:50"/>
        <s v="06:23:31"/>
        <s v="01:29:42"/>
        <s v="10:10:26"/>
        <s v="17:07:06"/>
        <s v="02:45:47"/>
        <s v="14:51:25"/>
        <s v="06:09:27"/>
        <s v="09:07:45"/>
        <s v="09:03:23"/>
        <s v="19:43:27"/>
        <s v="04:57:03"/>
        <s v="21:42:51"/>
        <s v="22:28:20"/>
        <s v="09:50:58"/>
        <s v="16:26:05"/>
        <s v="19:04:22"/>
        <s v="11:54:49"/>
        <s v="18:54:47"/>
        <s v="16:45:09"/>
        <s v="11:58:32"/>
        <s v="15:27:26"/>
        <s v="01:22:23"/>
        <s v="23:08:52"/>
        <s v="11:35:56"/>
        <s v="04:39:06"/>
        <s v="14:05:53"/>
        <s v="05:11:05"/>
        <s v="23:53:27"/>
        <s v="20:14:00"/>
        <s v="16:29:02"/>
        <s v="11:25:35"/>
        <s v="19:20:55"/>
        <s v="12:35:14"/>
        <s v="13:38:46"/>
        <s v="23:51:56"/>
        <s v="16:24:38"/>
        <s v="01:21:39"/>
        <s v="14:08:36"/>
        <s v="15:41:07"/>
        <s v="03:43:44"/>
        <s v="21:20:28"/>
        <s v="23:29:03"/>
        <s v="10:17:52"/>
        <s v="05:48:39"/>
        <s v="05:24:44"/>
        <s v="02:59:45"/>
        <s v="02:22:56"/>
        <s v="11:32:19"/>
        <s v="16:27:25"/>
        <s v="22:10:44"/>
        <s v="04:56:51"/>
        <s v="19:53:01"/>
        <s v="06:57:51"/>
        <s v="06:40:28"/>
        <s v="08:21:37"/>
        <s v="01:47:49"/>
        <s v="19:16:06"/>
        <s v="02:32:24"/>
        <s v="11:54:10"/>
        <s v="00:12:03"/>
        <s v="09:34:31"/>
        <s v="18:09:14"/>
        <s v="22:23:04"/>
        <s v="00:47:16"/>
        <s v="10:43:13"/>
        <s v="09:56:25"/>
        <s v="15:06:55"/>
        <s v="19:58:13"/>
        <s v="04:56:02"/>
        <s v="12:21:09"/>
        <s v="12:32:31"/>
        <s v="05:26:37"/>
        <s v="06:56:11"/>
        <s v="18:17:55"/>
        <s v="15:55:56"/>
        <s v="10:48:42"/>
        <s v="06:37:23"/>
        <s v="16:27:41"/>
        <s v="10:39:26"/>
        <s v="01:05:29"/>
        <s v="00:35:18"/>
        <s v="18:28:53"/>
        <s v="04:48:38"/>
        <s v="13:20:58"/>
        <s v="13:20:38"/>
        <s v="04:04:13"/>
        <s v="00:33:10"/>
        <s v="04:10:37"/>
        <s v="16:30:13"/>
        <s v="13:33:22"/>
        <s v="08:04:55"/>
        <s v="23:44:01"/>
        <s v="00:28:50"/>
        <s v="23:34:55"/>
        <s v="22:37:23"/>
        <s v="14:39:46"/>
        <s v="04:23:57"/>
        <s v="12:39:46"/>
        <s v="17:38:42"/>
        <s v="12:31:34"/>
        <s v="23:02:25"/>
        <s v="20:52:06"/>
        <s v="20:49:10"/>
        <s v="08:30:57"/>
        <s v="17:20:58"/>
        <s v="13:06:14"/>
        <s v="18:31:17"/>
        <s v="12:58:48"/>
        <s v="13:05:17"/>
        <s v="23:22:12"/>
        <s v="00:16:22"/>
        <s v="01:58:28"/>
        <s v="10:47:50"/>
        <s v="22:18:21"/>
        <s v="06:31:08"/>
        <s v="06:07:50"/>
        <s v="12:21:43"/>
        <s v="23:33:34"/>
        <s v="12:42:53"/>
        <s v="07:56:25"/>
        <s v="11:48:40"/>
        <s v="20:08:57"/>
        <s v="01:46:46"/>
        <s v="07:56:46"/>
        <s v="15:58:45"/>
        <s v="10:45:58"/>
        <s v="13:12:04"/>
        <s v="09:03:16"/>
        <s v="09:29:13"/>
        <s v="23:19:19"/>
        <s v="14:18:48"/>
        <s v="17:01:58"/>
        <s v="07:02:28"/>
        <s v="22:38:31"/>
        <s v="05:46:18"/>
        <s v="03:01:00"/>
        <s v="09:50:44"/>
        <s v="08:01:14"/>
        <s v="18:41:50"/>
        <s v="15:48:50"/>
        <s v="13:35:45"/>
        <s v="02:58:17"/>
        <s v="11:47:41"/>
        <s v="22:31:13"/>
        <s v="00:21:21"/>
        <s v="03:39:43"/>
        <s v="12:34:57"/>
        <s v="23:41:13"/>
        <s v="01:51:44"/>
        <s v="01:26:28"/>
        <s v="15:11:50"/>
        <s v="23:12:23"/>
        <s v="00:33:32"/>
        <s v="00:33:26"/>
        <s v="15:31:26"/>
        <s v="03:23:26"/>
        <s v="09:57:13"/>
        <s v="22:40:50"/>
        <s v="13:29:40"/>
        <s v="09:11:07"/>
        <s v="07:27:00"/>
        <s v="02:19:52"/>
        <s v="07:05:22"/>
        <s v="00:06:39"/>
        <s v="11:30:05"/>
        <s v="08:01:11"/>
        <s v="00:49:45"/>
        <s v="19:22:50"/>
        <s v="08:42:57"/>
        <s v="05:28:25"/>
        <s v="00:34:58"/>
        <s v="12:42:34"/>
        <s v="23:16:52"/>
        <s v="10:41:25"/>
        <s v="11:16:12"/>
        <s v="12:50:53"/>
        <s v="07:58:28"/>
        <s v="17:32:38"/>
        <s v="07:38:19"/>
        <s v="07:40:09"/>
        <s v="22:27:12"/>
        <s v="06:44:34"/>
        <s v="06:17:48"/>
        <s v="16:40:47"/>
        <s v="19:19:52"/>
        <s v="12:59:43"/>
        <s v="15:40:22"/>
        <s v="08:44:22"/>
        <s v="10:14:17"/>
        <s v="20:00:01"/>
        <s v="17:06:11"/>
        <s v="10:15:00"/>
        <s v="07:39:38"/>
        <s v="14:02:18"/>
        <s v="20:45:00"/>
        <s v="05:26:03"/>
        <s v="17:57:56"/>
        <s v="11:28:09"/>
        <s v="22:44:53"/>
        <s v="22:07:13"/>
        <s v="04:23:25"/>
        <s v="19:38:50"/>
        <s v="00:10:27"/>
        <s v="03:42:23"/>
        <s v="13:29:05"/>
        <s v="19:01:55"/>
        <s v="02:01:44"/>
        <s v="04:01:49"/>
        <s v="18:16:24"/>
        <s v="09:49:51"/>
        <s v="06:30:50"/>
        <s v="18:13:08"/>
        <s v="02:14:28"/>
        <s v="16:13:35"/>
        <s v="16:28:56"/>
        <s v="01:46:13"/>
        <s v="00:48:16"/>
        <s v="21:00:17"/>
        <s v="23:36:21"/>
        <s v="12:31:00"/>
        <s v="19:17:45"/>
        <s v="16:06:37"/>
        <s v="19:56:33"/>
        <s v="09:20:03"/>
        <s v="16:59:14"/>
        <s v="00:56:01"/>
        <s v="13:27:06"/>
        <s v="02:51:48"/>
        <s v="19:14:57"/>
        <s v="09:59:33"/>
        <s v="05:13:28"/>
        <s v="19:39:57"/>
        <s v="11:45:52"/>
        <s v="05:22:25"/>
        <s v="05:02:16"/>
        <s v="15:13:07"/>
        <s v="19:33:15"/>
        <s v="23:00:06"/>
        <s v="13:36:46"/>
        <s v="02:00:46"/>
        <s v="10:20:47"/>
        <s v="14:41:40"/>
        <s v="06:29:31"/>
        <s v="02:17:23"/>
        <s v="23:23:19"/>
        <s v="04:39:51"/>
        <s v="05:31:50"/>
        <s v="09:33:25"/>
        <s v="19:58:19"/>
        <s v="08:40:53"/>
        <s v="09:33:08"/>
        <s v="09:19:40"/>
        <s v="06:00:22"/>
        <s v="06:40:47"/>
        <s v="21:07:49"/>
        <s v="22:26:18"/>
        <s v="06:39:28"/>
        <s v="20:53:18"/>
        <s v="16:22:11"/>
        <s v="01:52:14"/>
        <s v="17:18:51"/>
        <s v="13:55:34"/>
        <s v="23:25:32"/>
        <s v="03:13:08"/>
        <s v="10:35:02"/>
        <s v="07:09:27"/>
        <s v="03:15:28"/>
        <s v="22:23:18"/>
        <s v="01:30:58"/>
        <s v="13:26:32"/>
        <s v="23:05:05"/>
        <s v="15:17:48"/>
        <s v="19:28:55"/>
        <s v="08:45:35"/>
        <s v="10:06:44"/>
        <s v="17:52:11"/>
        <s v="12:54:21"/>
        <s v="21:20:42"/>
        <s v="12:35:16"/>
        <s v="08:13:41"/>
        <s v="23:59:41"/>
        <s v="19:20:26"/>
        <s v="14:30:24"/>
        <s v="21:12:03"/>
        <s v="11:21:30"/>
        <s v="23:12:16"/>
        <s v="07:20:39"/>
        <s v="02:07:12"/>
        <s v="14:14:53"/>
        <s v="16:03:33"/>
        <s v="18:15:03"/>
        <s v="14:16:13"/>
        <s v="06:31:20"/>
        <s v="13:27:30"/>
        <s v="17:37:51"/>
        <s v="04:02:49"/>
        <s v="06:32:27"/>
        <s v="18:04:09"/>
        <s v="15:08:52"/>
        <s v="11:20:17"/>
        <s v="11:06:01"/>
        <s v="00:48:55"/>
        <s v="09:05:57"/>
        <s v="00:38:35"/>
        <s v="02:03:42"/>
        <s v="03:55:32"/>
        <s v="06:30:27"/>
        <s v="19:25:43"/>
        <s v="18:05:47"/>
        <s v="16:20:46"/>
        <s v="15:09:01"/>
        <s v="03:55:26"/>
        <s v="21:24:42"/>
        <s v="05:33:08"/>
        <s v="02:03:44"/>
        <s v="08:36:13"/>
        <s v="23:31:23"/>
        <s v="20:13:27"/>
        <s v="09:28:52"/>
        <s v="07:58:32"/>
        <s v="12:11:43"/>
        <s v="08:40:48"/>
        <s v="04:54:21"/>
        <s v="22:30:31"/>
        <s v="14:43:30"/>
        <s v="10:39:52"/>
        <s v="05:18:08"/>
        <s v="14:57:01"/>
        <s v="13:28:57"/>
        <s v="06:03:03"/>
        <s v="10:01:43"/>
        <s v="04:45:34"/>
        <s v="03:46:12"/>
        <s v="21:10:12"/>
        <s v="01:58:20"/>
        <s v="07:06:38"/>
        <s v="14:16:59"/>
        <s v="13:50:58"/>
        <s v="01:46:40"/>
        <s v="06:09:19"/>
        <s v="16:40:55"/>
        <s v="03:50:06"/>
        <s v="15:41:25"/>
        <s v="17:28:07"/>
        <s v="02:24:54"/>
        <s v="13:52:42"/>
        <s v="04:47:20"/>
        <s v="02:44:11"/>
        <s v="12:59:30"/>
        <s v="03:08:53"/>
        <s v="01:57:29"/>
        <s v="02:03:57"/>
        <s v="05:04:36"/>
        <s v="05:45:33"/>
        <s v="08:22:44"/>
        <s v="04:21:49"/>
        <s v="04:38:50"/>
        <s v="11:44:11"/>
        <s v="08:42:42"/>
        <s v="03:38:41"/>
        <s v="01:13:09"/>
        <s v="02:15:04"/>
        <s v="21:00:20"/>
        <s v="12:41:59"/>
        <s v="19:23:44"/>
        <s v="03:34:04"/>
        <s v="05:48:22"/>
        <s v="21:18:46"/>
        <s v="09:06:18"/>
        <s v="05:09:35"/>
        <s v="16:09:18"/>
        <s v="00:18:32"/>
        <s v="15:51:15"/>
        <s v="01:05:53"/>
        <s v="14:31:29"/>
        <s v="07:21:52"/>
        <s v="01:24:34"/>
        <s v="09:31:36"/>
        <s v="18:29:46"/>
        <s v="09:32:58"/>
        <s v="17:45:57"/>
        <s v="19:29:03"/>
        <s v="14:00:57"/>
        <s v="01:06:14"/>
        <s v="07:46:17"/>
        <s v="03:53:13"/>
        <s v="07:01:18"/>
        <s v="03:31:58"/>
        <s v="09:42:50"/>
        <s v="09:34:23"/>
        <s v="04:52:06"/>
        <s v="06:42:40"/>
        <s v="01:31:23"/>
        <s v="02:58:16"/>
        <s v="03:32:40"/>
        <s v="16:13:49"/>
        <s v="06:25:35"/>
        <s v="00:24:54"/>
        <s v="16:11:48"/>
        <s v="23:38:57"/>
        <s v="17:07:47"/>
        <s v="05:55:32"/>
      </sharedItems>
    </cacheField>
    <cacheField name="Days to Deliver" numFmtId="0">
      <sharedItems containsSemiMixedTypes="0" containsString="0" containsNumber="1" containsInteger="1">
        <n v="3.0"/>
        <n v="2.0"/>
        <n v="4.0"/>
        <n v="5.0"/>
        <n v="1.0"/>
        <n v="7.0"/>
        <n v="6.0"/>
      </sharedItems>
    </cacheField>
    <cacheField name="Order_Hour" numFmtId="0">
      <sharedItems containsSemiMixedTypes="0" containsString="0" containsNumber="1" containsInteger="1">
        <n v="18.0"/>
        <n v="1.0"/>
        <n v="7.0"/>
        <n v="3.0"/>
        <n v="16.0"/>
        <n v="9.0"/>
        <n v="19.0"/>
        <n v="12.0"/>
        <n v="13.0"/>
        <n v="17.0"/>
        <n v="15.0"/>
        <n v="22.0"/>
        <n v="14.0"/>
        <n v="4.0"/>
        <n v="23.0"/>
        <n v="11.0"/>
        <n v="6.0"/>
        <n v="10.0"/>
        <n v="20.0"/>
        <n v="8.0"/>
        <n v="0.0"/>
        <n v="21.0"/>
        <n v="5.0"/>
        <n v="2.0"/>
      </sharedItems>
    </cacheField>
    <cacheField name="Amount" numFmtId="0">
      <sharedItems containsSemiMixedTypes="0" containsString="0" containsNumber="1">
        <n v="1544.4"/>
        <n v="665.12"/>
        <n v="202.54"/>
        <n v="2025.0"/>
        <n v="166.28"/>
        <n v="1320.44"/>
        <n v="1090.92"/>
        <n v="275.44"/>
        <n v="48.45"/>
        <n v="1454.56"/>
        <n v="771.1800000000001"/>
        <n v="703.72"/>
        <n v="190.1"/>
        <n v="440.54"/>
        <n v="1090.04"/>
        <n v="208.36"/>
        <n v="193.8"/>
        <n v="103.5"/>
        <n v="926.64"/>
        <n v="520.9000000000001"/>
        <n v="461.07"/>
        <n v="132.97"/>
        <n v="252.38"/>
        <n v="847.89"/>
        <n v="384.41999999999996"/>
        <n v="727.28"/>
        <n v="62.42"/>
        <n v="630.56"/>
        <n v="792.65"/>
        <n v="187.26"/>
        <n v="129.75"/>
        <n v="788.1999999999999"/>
        <n v="962.96"/>
        <n v="405.0"/>
        <n v="389.20000000000005"/>
        <n v="1117.8600000000001"/>
        <n v="1489.77"/>
        <n v="950.5"/>
        <n v="2157.2"/>
        <n v="41.4"/>
        <n v="259.5"/>
        <n v="178.0"/>
        <n v="640.6999999999999"/>
        <n v="738.06"/>
        <n v="363.64"/>
        <n v="124.84"/>
        <n v="858.21"/>
        <n v="348.36"/>
        <n v="1101.76"/>
        <n v="421.7"/>
        <n v="272.51"/>
        <n v="527.79"/>
        <n v="681.5"/>
        <n v="882.06"/>
        <n v="1476.12"/>
        <n v="1986.36"/>
        <n v="993.18"/>
        <n v="308.88"/>
        <n v="1702.36"/>
        <n v="267.24"/>
        <n v="128.14"/>
        <n v="955.04"/>
        <n v="378.57"/>
        <n v="1925.92"/>
        <n v="403.03"/>
        <n v="660.22"/>
        <n v="330.11"/>
        <n v="810.0"/>
        <n v="431.44"/>
        <n v="1430.35"/>
        <n v="2229.05"/>
        <n v="867.24"/>
        <n v="942.52"/>
        <n v="990.33"/>
        <n v="826.3199999999999"/>
        <n v="1432.56"/>
        <n v="424.82"/>
        <n v="272.6"/>
        <n v="881.08"/>
        <n v="668.1"/>
        <n v="617.76"/>
        <n v="2482.95"/>
        <n v="221.9"/>
        <n v="1028.24"/>
        <n v="1526.92"/>
        <n v="879.6500000000001"/>
        <n v="1012.6999999999999"/>
        <n v="20.0"/>
        <n v="763.46"/>
        <n v="481.48"/>
        <n v="155.68"/>
        <n v="136.3"/>
        <n v="1274.46"/>
        <n v="1725.76"/>
        <n v="664.85"/>
        <n v="405.08"/>
        <n v="2015.1499999999999"/>
        <n v="1612.12"/>
        <n v="545.2"/>
        <n v="235.63"/>
        <n v="1734.48"/>
        <n v="443.8"/>
        <n v="2407.4"/>
        <n v="1168.6"/>
        <n v="100.0"/>
        <n v="242.25"/>
        <n v="810.16"/>
        <n v="133.5"/>
        <n v="660.8100000000001"/>
        <n v="572.14"/>
        <n v="554.75"/>
        <n v="416.72"/>
        <n v="537.35"/>
        <n v="282.63"/>
        <n v="369.03"/>
        <n v="1178.15"/>
        <n v="514.12"/>
        <n v="89.0"/>
        <n v="648.75"/>
        <n v="249.68"/>
        <n v="1686.8"/>
        <n v="33.49"/>
        <n v="706.89"/>
        <n v="843.4"/>
        <n v="372.62"/>
        <n v="107.47"/>
        <n v="126.19"/>
        <n v="1460.75"/>
        <n v="408.90000000000003"/>
        <n v="1209.09"/>
        <n v="891.62"/>
        <n v="100.47"/>
        <n v="584.3"/>
        <n v="472.91999999999996"/>
        <n v="1910.08"/>
        <n v="87.09"/>
        <n v="332.85"/>
        <n v="1276.77"/>
        <n v="2205.1499999999996"/>
        <n v="389.25"/>
        <n v="429.88"/>
        <n v="550.88"/>
        <n v="214.94"/>
        <n v="1107.09"/>
        <n v="1265.1"/>
        <n v="1444.44"/>
        <n v="531.88"/>
        <n v="1490.48"/>
        <n v="630.95"/>
        <n v="806.06"/>
        <n v="315.28"/>
        <n v="545.02"/>
        <n v="133.62"/>
        <n v="1130.52"/>
        <n v="498.84000000000003"/>
        <n v="2127.95"/>
        <n v="1818.1999999999998"/>
        <n v="2108.5"/>
        <n v="351.86"/>
        <n v="1323.09"/>
        <n v="1908.65"/>
        <n v="381.73"/>
        <n v="425.59"/>
        <n v="475.59000000000003"/>
        <n v="471.26"/>
        <n v="62.099999999999994"/>
        <n v="570.3"/>
        <n v="104.18"/>
        <n v="851.18"/>
        <n v="1844.28"/>
        <n v="257.06"/>
        <n v="1383.21"/>
        <n v="66.98"/>
        <n v="1620.0"/>
        <n v="849.64"/>
        <n v="44.5"/>
        <n v="445.81"/>
        <n v="398.90999999999997"/>
        <n v="40.0"/>
        <n v="1101.3500000000001"/>
        <n v="145.35000000000002"/>
        <n v="265.94"/>
        <n v="477.52"/>
        <n v="133.96"/>
        <n v="1362.55"/>
        <n v="322.40999999999997"/>
        <n v="317.06"/>
        <n v="435.45000000000005"/>
        <n v="20.7"/>
        <n v="2124.1"/>
        <n v="1300.8600000000001"/>
        <n v="311.36"/>
        <n v="174.18"/>
        <n v="312.54"/>
        <n v="222.5"/>
        <n v="876.4499999999999"/>
        <n v="565.26"/>
        <n v="817.53"/>
        <n v="745.24"/>
        <n v="157.64"/>
        <n v="1863.1"/>
        <n v="1699.28"/>
        <n v="1337.43"/>
        <n v="2387.6"/>
        <n v="292.15"/>
        <n v="80.0"/>
        <n v="96.9"/>
        <n v="504.76"/>
        <n v="167.45000000000002"/>
        <n v="60.0"/>
        <n v="312.1"/>
        <n v="286.07"/>
        <n v="332.56"/>
        <n v="1215.0"/>
        <n v="1294.32"/>
        <n v="82.8"/>
      </sharedItems>
    </cacheField>
    <cacheField name="Amount with Del Charg" numFmtId="0">
      <sharedItems containsSemiMixedTypes="0" containsString="0" containsNumber="1">
        <n v="1604.4"/>
        <n v="731.12"/>
        <n v="249.54"/>
        <n v="2072.0"/>
        <n v="220.28"/>
        <n v="1359.44"/>
        <n v="1591.4"/>
        <n v="1160.92"/>
        <n v="338.44"/>
        <n v="107.45"/>
        <n v="1489.56"/>
        <n v="833.1800000000001"/>
        <n v="768.72"/>
        <n v="260.1"/>
        <n v="479.54"/>
        <n v="1378.44"/>
        <n v="1130.04"/>
        <n v="252.36"/>
        <n v="263.8"/>
        <n v="141.5"/>
        <n v="969.64"/>
        <n v="578.9000000000001"/>
        <n v="517.0699999999999"/>
        <n v="187.97"/>
        <n v="315.38"/>
        <n v="887.89"/>
        <n v="454.41999999999996"/>
        <n v="1129.92"/>
        <n v="770.28"/>
        <n v="120.42"/>
        <n v="189.97"/>
        <n v="689.56"/>
        <n v="834.65"/>
        <n v="223.26"/>
        <n v="199.75"/>
        <n v="841.1999999999999"/>
        <n v="167.5"/>
        <n v="1012.96"/>
        <n v="441.0"/>
        <n v="436.20000000000005"/>
        <n v="1176.8600000000001"/>
        <n v="1169.8600000000001"/>
        <n v="1538.77"/>
        <n v="172.75"/>
        <n v="985.5"/>
        <n v="253.1"/>
        <n v="2214.2"/>
        <n v="674.56"/>
        <n v="706.12"/>
        <n v="91.4"/>
        <n v="301.5"/>
        <n v="218.0"/>
        <n v="697.6999999999999"/>
        <n v="784.06"/>
        <n v="433.64"/>
        <n v="449.0"/>
        <n v="177.84"/>
        <n v="160.5"/>
        <n v="1159.92"/>
        <n v="912.21"/>
        <n v="411.36"/>
        <n v="1141.76"/>
        <n v="480.7"/>
        <n v="315.51"/>
        <n v="573.79"/>
        <n v="720.5"/>
        <n v="931.06"/>
        <n v="1528.12"/>
        <n v="2022.36"/>
        <n v="1034.1799999999998"/>
        <n v="370.88"/>
        <n v="1755.36"/>
        <n v="364.88"/>
        <n v="2216.2"/>
        <n v="317.24"/>
        <n v="1131.92"/>
        <n v="198.14"/>
        <n v="1010.04"/>
        <n v="418.57"/>
        <n v="1961.92"/>
        <n v="974.64"/>
        <n v="455.03"/>
        <n v="724.22"/>
        <n v="115.42"/>
        <n v="397.11"/>
        <n v="114.45"/>
        <n v="880.0"/>
        <n v="1039.1799999999998"/>
        <n v="466.44"/>
        <n v="1495.35"/>
        <n v="300.38"/>
        <n v="2285.05"/>
        <n v="1532.12"/>
        <n v="908.24"/>
        <n v="1002.52"/>
        <n v="849.65"/>
        <n v="1055.33"/>
        <n v="503.54"/>
        <n v="873.3199999999999"/>
        <n v="1498.56"/>
        <n v="468.82"/>
        <n v="326.6"/>
        <n v="946.08"/>
        <n v="732.1"/>
        <n v="678.76"/>
        <n v="518.0699999999999"/>
        <n v="2522.95"/>
        <n v="248.36"/>
        <n v="289.9"/>
        <n v="1033.1799999999998"/>
        <n v="1078.24"/>
        <n v="1592.92"/>
        <n v="2199.2"/>
        <n v="942.6500000000001"/>
        <n v="1080.6999999999998"/>
        <n v="1093.24"/>
        <n v="88.0"/>
        <n v="84.4"/>
        <n v="804.46"/>
        <n v="550.48"/>
        <n v="191.68"/>
        <n v="177.3"/>
        <n v="1341.46"/>
        <n v="340.6"/>
        <n v="1791.76"/>
        <n v="709.85"/>
        <n v="1132.04"/>
        <n v="475.08"/>
        <n v="323.6"/>
        <n v="2067.1499999999996"/>
        <n v="1659.12"/>
        <n v="987.5"/>
        <n v="606.2"/>
        <n v="301.63"/>
        <n v="1770.48"/>
        <n v="824.1999999999999"/>
        <n v="858.65"/>
        <n v="836.1800000000001"/>
        <n v="503.8"/>
        <n v="2451.4"/>
        <n v="1226.6"/>
        <n v="140.0"/>
        <n v="865.0"/>
        <n v="295.25"/>
        <n v="250.54"/>
        <n v="1482.35"/>
        <n v="846.16"/>
        <n v="179.5"/>
        <n v="1979.92"/>
        <n v="430.20000000000005"/>
        <n v="708.8100000000001"/>
        <n v="173.75"/>
        <n v="200.3"/>
        <n v="626.14"/>
        <n v="767.28"/>
        <n v="2299.05"/>
        <n v="616.75"/>
        <n v="461.72"/>
        <n v="2045.36"/>
        <n v="585.35"/>
        <n v="327.63"/>
        <n v="417.03"/>
        <n v="265.36"/>
        <n v="482.54"/>
        <n v="1230.15"/>
        <n v="701.12"/>
        <n v="2061.0"/>
        <n v="573.12"/>
        <n v="141.0"/>
        <n v="691.75"/>
        <n v="286.68"/>
        <n v="1755.8"/>
        <n v="92.49000000000001"/>
        <n v="1141.04"/>
        <n v="315.24"/>
        <n v="1080.24"/>
        <n v="136.0"/>
        <n v="750.89"/>
        <n v="726.1"/>
        <n v="888.4"/>
        <n v="407.62"/>
        <n v="1367.44"/>
        <n v="163.47"/>
        <n v="194.19"/>
        <n v="801.46"/>
        <n v="1528.75"/>
        <n v="450.90000000000003"/>
        <n v="1276.09"/>
        <n v="958.62"/>
        <n v="686.75"/>
        <n v="162.47"/>
        <n v="1389.44"/>
        <n v="1059.6999999999998"/>
        <n v="709.12"/>
        <n v="642.3"/>
        <n v="1128.04"/>
        <n v="519.92"/>
        <n v="249.26"/>
        <n v="1143.92"/>
        <n v="1965.08"/>
        <n v="311.38"/>
        <n v="148.09"/>
        <n v="397.85"/>
        <n v="100.49000000000001"/>
        <n v="1344.77"/>
        <n v="2242.1499999999996"/>
        <n v="426.25"/>
        <n v="293.63"/>
        <n v="480.88"/>
        <n v="586.88"/>
        <n v="269.94"/>
        <n v="856.65"/>
        <n v="764.28"/>
        <n v="319.6"/>
        <n v="1172.09"/>
        <n v="833.46"/>
        <n v="1303.1"/>
        <n v="1030.33"/>
        <n v="408.62"/>
        <n v="1486.44"/>
        <n v="362.88"/>
        <n v="574.88"/>
        <n v="1535.48"/>
        <n v="677.95"/>
        <n v="851.06"/>
        <n v="379.28"/>
        <n v="180.14"/>
        <n v="834.1800000000001"/>
        <n v="593.02"/>
        <n v="1137.92"/>
        <n v="1154.92"/>
        <n v="1241.15"/>
        <n v="190.62"/>
        <n v="1190.52"/>
        <n v="557.84"/>
        <n v="2184.95"/>
        <n v="1878.1999999999998"/>
        <n v="407.03"/>
        <n v="2169.5"/>
        <n v="1584.92"/>
        <n v="412.86"/>
        <n v="831.46"/>
        <n v="1370.09"/>
        <n v="330.6"/>
        <n v="1253.09"/>
        <n v="1953.65"/>
        <n v="417.73"/>
        <n v="465.59"/>
        <n v="1992.92"/>
        <n v="897.4"/>
        <n v="379.85"/>
        <n v="1182.52"/>
        <n v="538.59"/>
        <n v="224.26"/>
        <n v="515.26"/>
        <n v="371.28"/>
        <n v="1532.48"/>
        <n v="867.06"/>
        <n v="129.1"/>
        <n v="317.6"/>
        <n v="257.9"/>
        <n v="1171.8600000000001"/>
        <n v="376.28"/>
        <n v="633.3"/>
        <n v="143.47"/>
        <n v="585.79"/>
        <n v="1316.46"/>
        <n v="1986.92"/>
        <n v="152.18"/>
        <n v="898.18"/>
        <n v="1890.28"/>
        <n v="316.68"/>
        <n v="321.06"/>
        <n v="1129.04"/>
        <n v="876.06"/>
        <n v="1444.21"/>
        <n v="1363.09"/>
        <n v="748.72"/>
        <n v="1157.09"/>
        <n v="1020.96"/>
        <n v="1331.77"/>
        <n v="111.98"/>
        <n v="1690.0"/>
        <n v="1493.44"/>
        <n v="303.24"/>
        <n v="292.68"/>
        <n v="1048.1799999999998"/>
        <n v="1790.76"/>
        <n v="906.64"/>
        <n v="1319.1"/>
        <n v="417.62"/>
        <n v="164.18"/>
        <n v="400.86"/>
        <n v="108.42"/>
        <n v="80.4"/>
        <n v="513.59"/>
        <n v="93.5"/>
        <n v="312.5"/>
        <n v="401.86"/>
        <n v="2164.5"/>
        <n v="486.81"/>
        <n v="918.18"/>
        <n v="487.59"/>
        <n v="167.14"/>
        <n v="281.63"/>
        <n v="372.28"/>
        <n v="434.90999999999997"/>
        <n v="548.48"/>
        <n v="1028.96"/>
        <n v="838.65"/>
        <n v="582.02"/>
        <n v="273.36"/>
        <n v="78.0"/>
        <n v="473.82"/>
        <n v="1158.3500000000001"/>
        <n v="2170.95"/>
        <n v="208.35000000000002"/>
        <n v="251.36"/>
        <n v="496.81"/>
        <n v="334.94"/>
        <n v="1741.8"/>
        <n v="525.52"/>
        <n v="95.0"/>
        <n v="273.63"/>
        <n v="200.96"/>
        <n v="580.2"/>
        <n v="1178.52"/>
        <n v="1407.55"/>
        <n v="604.88"/>
        <n v="944.06"/>
        <n v="321.5"/>
        <n v="1473.56"/>
        <n v="381.40999999999997"/>
        <n v="373.06"/>
        <n v="937.06"/>
        <n v="491.45000000000005"/>
        <n v="456.72"/>
        <n v="94.49000000000001"/>
        <n v="1790.48"/>
        <n v="71.7"/>
        <n v="942.06"/>
        <n v="913.24"/>
        <n v="2161.1"/>
        <n v="1339.8600000000001"/>
        <n v="294.63"/>
        <n v="2166.5"/>
        <n v="370.36"/>
        <n v="236.18"/>
        <n v="372.54"/>
        <n v="385.40999999999997"/>
        <n v="203.35000000000002"/>
        <n v="1097.24"/>
        <n v="1677.12"/>
        <n v="89.45"/>
        <n v="277.5"/>
        <n v="708.6999999999999"/>
        <n v="793.06"/>
        <n v="299.06"/>
        <n v="927.4499999999999"/>
        <n v="627.26"/>
        <n v="883.53"/>
        <n v="715.22"/>
        <n v="305.94"/>
        <n v="241.18"/>
        <n v="574.35"/>
        <n v="584.35"/>
        <n v="172.62"/>
        <n v="593.88"/>
        <n v="1046.33"/>
        <n v="861.53"/>
        <n v="757.72"/>
        <n v="1164.09"/>
        <n v="792.24"/>
        <n v="81.5"/>
        <n v="205.64"/>
        <n v="108.1"/>
        <n v="433.41999999999996"/>
        <n v="538.92"/>
        <n v="438.62"/>
        <n v="1510.56"/>
        <n v="1471.35"/>
        <n v="913.89"/>
        <n v="1929.1"/>
        <n v="1757.28"/>
        <n v="1321.1"/>
        <n v="644.3"/>
        <n v="422.62"/>
        <n v="187.35000000000002"/>
        <n v="611.3"/>
        <n v="1910.28"/>
        <n v="834.1999999999999"/>
        <n v="1374.43"/>
        <n v="1963.92"/>
        <n v="199.62"/>
        <n v="1327.77"/>
        <n v="2447.6"/>
        <n v="883.89"/>
        <n v="216.64"/>
        <n v="86.45"/>
        <n v="349.15"/>
        <n v="131.0"/>
        <n v="152.9"/>
        <n v="319.38"/>
        <n v="573.76"/>
        <n v="1769.28"/>
        <n v="108.0"/>
        <n v="1070.6999999999998"/>
        <n v="597.2"/>
        <n v="672.56"/>
        <n v="183.14"/>
        <n v="915.18"/>
        <n v="231.45000000000002"/>
        <n v="270.63"/>
        <n v="125.0"/>
        <n v="225.45000000000002"/>
        <n v="110.42"/>
        <n v="2174.95"/>
        <n v="895.18"/>
        <n v="503.07"/>
        <n v="290.63"/>
        <n v="141.18"/>
        <n v="1496.56"/>
        <n v="150.47"/>
        <n v="380.28"/>
        <n v="2241.1499999999996"/>
        <n v="1524.12"/>
        <n v="306.5"/>
        <n v="102.4"/>
        <n v="802.24"/>
        <n v="471.88"/>
        <n v="672.76"/>
        <n v="381.1"/>
        <n v="329.07"/>
        <n v="372.56"/>
        <n v="906.24"/>
        <n v="1251.0"/>
        <n v="369.11"/>
        <n v="950.62"/>
        <n v="102.49000000000001"/>
        <n v="203.64"/>
        <n v="304.06"/>
        <n v="1364.32"/>
        <n v="169.97"/>
        <n v="1007.96"/>
        <n v="475.45000000000005"/>
        <n v="1961.65"/>
        <n v="1352.32"/>
        <n v="747.89"/>
        <n v="1538.48"/>
        <n v="1395.43"/>
        <n v="845.06"/>
        <n v="2543.95"/>
        <n v="173.5"/>
        <n v="359.1"/>
        <n v="393.36"/>
        <n v="366.36"/>
        <n v="442.20000000000005"/>
        <n v="594.88"/>
        <n v="1437.21"/>
        <n v="204.28"/>
        <n v="1964.08"/>
        <n v="2440.6"/>
        <n v="386.06"/>
        <n v="1269.0"/>
        <n v="494.88"/>
        <n v="443.41999999999996"/>
        <n v="75.7"/>
        <n v="226.26"/>
        <n v="551.48"/>
        <n v="994.64"/>
        <n v="188.35000000000002"/>
        <n v="464.88"/>
        <n v="2267.1499999999996"/>
        <n v="187.96"/>
        <n v="77.49000000000001"/>
        <n v="185.75"/>
        <n v="143.8"/>
        <n v="710.8100000000001"/>
        <n v="923.24"/>
        <n v="1428.55"/>
        <n v="912.64"/>
        <n v="223.0"/>
      </sharedItems>
    </cacheField>
    <cacheField name="Discount_Percent" numFmtId="0">
      <sharedItems containsSemiMixedTypes="0" containsString="0" containsNumber="1" containsInteger="1">
        <n v="0.0"/>
      </sharedItems>
    </cacheField>
    <cacheField name="Discounted_Amt" numFmtId="0">
      <sharedItems containsSemiMixedTypes="0" containsString="0" containsNumber="1">
        <n v="1544.4"/>
        <n v="665.12"/>
        <n v="202.54"/>
        <n v="2025.0"/>
        <n v="166.28"/>
        <n v="1320.44"/>
        <n v="1090.92"/>
        <n v="275.44"/>
        <n v="48.45"/>
        <n v="1454.56"/>
        <n v="771.1800000000001"/>
        <n v="703.72"/>
        <n v="190.1"/>
        <n v="440.54"/>
        <n v="1090.04"/>
        <n v="208.36"/>
        <n v="193.8"/>
        <n v="103.5"/>
        <n v="926.64"/>
        <n v="520.9000000000001"/>
        <n v="461.07"/>
        <n v="132.97"/>
        <n v="252.38"/>
        <n v="847.89"/>
        <n v="384.41999999999996"/>
        <n v="727.28"/>
        <n v="62.42"/>
        <n v="630.56"/>
        <n v="792.65"/>
        <n v="187.26"/>
        <n v="129.75"/>
        <n v="788.1999999999999"/>
        <n v="962.96"/>
        <n v="405.0"/>
        <n v="389.20000000000005"/>
        <n v="1117.8600000000001"/>
        <n v="1489.77"/>
        <n v="950.5"/>
        <n v="2157.2"/>
        <n v="41.4"/>
        <n v="259.5"/>
        <n v="178.0"/>
        <n v="640.6999999999999"/>
        <n v="738.06"/>
        <n v="363.64"/>
        <n v="124.84"/>
        <n v="858.21"/>
        <n v="348.36"/>
        <n v="1101.76"/>
        <n v="421.7"/>
        <n v="272.51"/>
        <n v="527.79"/>
        <n v="681.5"/>
        <n v="882.06"/>
        <n v="1476.12"/>
        <n v="1986.36"/>
        <n v="993.18"/>
        <n v="308.88"/>
        <n v="1702.36"/>
        <n v="267.24"/>
        <n v="128.14"/>
        <n v="955.04"/>
        <n v="378.57"/>
        <n v="1925.92"/>
        <n v="403.03"/>
        <n v="660.22"/>
        <n v="330.11"/>
        <n v="810.0"/>
        <n v="431.44"/>
        <n v="1430.35"/>
        <n v="2229.05"/>
        <n v="867.24"/>
        <n v="942.52"/>
        <n v="990.33"/>
        <n v="826.3199999999999"/>
        <n v="1432.56"/>
        <n v="424.82"/>
        <n v="272.6"/>
        <n v="881.08"/>
        <n v="668.1"/>
        <n v="617.76"/>
        <n v="2482.95"/>
        <n v="221.9"/>
        <n v="1028.24"/>
        <n v="1526.92"/>
        <n v="879.6500000000001"/>
        <n v="1012.6999999999999"/>
        <n v="20.0"/>
        <n v="763.46"/>
        <n v="481.48"/>
        <n v="155.68"/>
        <n v="136.3"/>
        <n v="1274.46"/>
        <n v="1725.76"/>
        <n v="664.85"/>
        <n v="405.08"/>
        <n v="2015.1499999999999"/>
        <n v="1612.12"/>
        <n v="545.2"/>
        <n v="235.63"/>
        <n v="1734.48"/>
        <n v="443.8"/>
        <n v="2407.4"/>
        <n v="1168.6"/>
        <n v="100.0"/>
        <n v="242.25"/>
        <n v="810.16"/>
        <n v="133.5"/>
        <n v="660.8100000000001"/>
        <n v="572.14"/>
        <n v="554.75"/>
        <n v="416.72"/>
        <n v="537.35"/>
        <n v="282.63"/>
        <n v="369.03"/>
        <n v="1178.15"/>
        <n v="514.12"/>
        <n v="89.0"/>
        <n v="648.75"/>
        <n v="249.68"/>
        <n v="1686.8"/>
        <n v="33.49"/>
        <n v="706.89"/>
        <n v="843.4"/>
        <n v="372.62"/>
        <n v="107.47"/>
        <n v="126.19"/>
        <n v="1460.75"/>
        <n v="408.90000000000003"/>
        <n v="1209.09"/>
        <n v="891.62"/>
        <n v="100.47"/>
        <n v="584.3"/>
        <n v="472.91999999999996"/>
        <n v="1910.08"/>
        <n v="87.09"/>
        <n v="332.85"/>
        <n v="1276.77"/>
        <n v="2205.1499999999996"/>
        <n v="389.25"/>
        <n v="429.88"/>
        <n v="550.88"/>
        <n v="214.94"/>
        <n v="1107.09"/>
        <n v="1265.1"/>
        <n v="1444.44"/>
        <n v="531.88"/>
        <n v="1490.48"/>
        <n v="630.95"/>
        <n v="806.06"/>
        <n v="315.28"/>
        <n v="545.02"/>
        <n v="133.62"/>
        <n v="1130.52"/>
        <n v="498.84000000000003"/>
        <n v="2127.95"/>
        <n v="1818.1999999999998"/>
        <n v="2108.5"/>
        <n v="351.86"/>
        <n v="1323.09"/>
        <n v="1908.65"/>
        <n v="381.73"/>
        <n v="425.59"/>
        <n v="475.59000000000003"/>
        <n v="471.26"/>
        <n v="62.099999999999994"/>
        <n v="570.3"/>
        <n v="104.18"/>
        <n v="851.18"/>
        <n v="1844.28"/>
        <n v="257.06"/>
        <n v="1383.21"/>
        <n v="66.98"/>
        <n v="1620.0"/>
        <n v="849.64"/>
        <n v="44.5"/>
        <n v="445.81"/>
        <n v="398.90999999999997"/>
        <n v="40.0"/>
        <n v="1101.3500000000001"/>
        <n v="145.35000000000002"/>
        <n v="265.94"/>
        <n v="477.52"/>
        <n v="133.96"/>
        <n v="1362.55"/>
        <n v="322.40999999999997"/>
        <n v="317.06"/>
        <n v="435.45000000000005"/>
        <n v="20.7"/>
        <n v="2124.1"/>
        <n v="1300.8600000000001"/>
        <n v="311.36"/>
        <n v="174.18"/>
        <n v="312.54"/>
        <n v="222.5"/>
        <n v="876.4499999999999"/>
        <n v="565.26"/>
        <n v="817.53"/>
        <n v="745.24"/>
        <n v="157.64"/>
        <n v="1863.1"/>
        <n v="1699.28"/>
        <n v="1337.43"/>
        <n v="2387.6"/>
        <n v="292.15"/>
        <n v="80.0"/>
        <n v="96.9"/>
        <n v="504.76"/>
        <n v="167.45000000000002"/>
        <n v="60.0"/>
        <n v="312.1"/>
        <n v="286.07"/>
        <n v="332.56"/>
        <n v="1215.0"/>
        <n v="1294.32"/>
        <n v="82.8"/>
      </sharedItems>
    </cacheField>
    <cacheField name="Final Amount" numFmtId="0">
      <sharedItems containsSemiMixedTypes="0" containsString="0" containsNumber="1">
        <n v="1604.4"/>
        <n v="731.12"/>
        <n v="249.54"/>
        <n v="2025.0"/>
        <n v="220.28"/>
        <n v="1359.44"/>
        <n v="1591.4"/>
        <n v="1160.92"/>
        <n v="338.44"/>
        <n v="107.45"/>
        <n v="1454.56"/>
        <n v="771.1800000000001"/>
        <n v="768.72"/>
        <n v="190.1"/>
        <n v="440.54"/>
        <n v="1320.44"/>
        <n v="1130.04"/>
        <n v="208.36"/>
        <n v="263.8"/>
        <n v="103.5"/>
        <n v="969.64"/>
        <n v="578.9000000000001"/>
        <n v="517.0699999999999"/>
        <n v="187.97"/>
        <n v="252.38"/>
        <n v="847.89"/>
        <n v="454.41999999999996"/>
        <n v="1129.92"/>
        <n v="770.28"/>
        <n v="62.42"/>
        <n v="132.97"/>
        <n v="689.56"/>
        <n v="834.65"/>
        <n v="223.26"/>
        <n v="199.75"/>
        <n v="841.1999999999999"/>
        <n v="1012.96"/>
        <n v="405.0"/>
        <n v="389.20000000000005"/>
        <n v="1176.8600000000001"/>
        <n v="1169.8600000000001"/>
        <n v="1538.77"/>
        <n v="172.75"/>
        <n v="985.5"/>
        <n v="253.1"/>
        <n v="2214.2"/>
        <n v="674.56"/>
        <n v="665.12"/>
        <n v="91.4"/>
        <n v="301.5"/>
        <n v="218.0"/>
        <n v="697.6999999999999"/>
        <n v="784.06"/>
        <n v="433.64"/>
        <n v="177.84"/>
        <n v="160.5"/>
        <n v="1159.92"/>
        <n v="912.21"/>
        <n v="348.36"/>
        <n v="1141.76"/>
        <n v="480.7"/>
        <n v="315.51"/>
        <n v="573.79"/>
        <n v="720.5"/>
        <n v="931.06"/>
        <n v="1528.12"/>
        <n v="2022.36"/>
        <n v="1034.1799999999998"/>
        <n v="308.88"/>
        <n v="1702.36"/>
        <n v="364.88"/>
        <n v="2216.2"/>
        <n v="317.24"/>
        <n v="1090.92"/>
        <n v="198.14"/>
        <n v="1010.04"/>
        <n v="378.57"/>
        <n v="1961.92"/>
        <n v="974.64"/>
        <n v="455.03"/>
        <n v="724.22"/>
        <n v="115.42"/>
        <n v="397.11"/>
        <n v="114.45"/>
        <n v="810.0"/>
        <n v="1039.1799999999998"/>
        <n v="431.44"/>
        <n v="1495.35"/>
        <n v="300.38"/>
        <n v="2285.05"/>
        <n v="1532.12"/>
        <n v="908.24"/>
        <n v="1002.52"/>
        <n v="849.65"/>
        <n v="1055.33"/>
        <n v="503.54"/>
        <n v="873.3199999999999"/>
        <n v="1498.56"/>
        <n v="424.82"/>
        <n v="326.6"/>
        <n v="946.08"/>
        <n v="732.1"/>
        <n v="678.76"/>
        <n v="518.0699999999999"/>
        <n v="2522.95"/>
        <n v="248.36"/>
        <n v="289.9"/>
        <n v="993.18"/>
        <n v="1078.24"/>
        <n v="1592.92"/>
        <n v="2199.2"/>
        <n v="879.6500000000001"/>
        <n v="1080.6999999999998"/>
        <n v="1093.24"/>
        <n v="88.0"/>
        <n v="41.4"/>
        <n v="763.46"/>
        <n v="550.48"/>
        <n v="191.68"/>
        <n v="177.3"/>
        <n v="1341.46"/>
        <n v="340.6"/>
        <n v="1791.76"/>
        <n v="709.85"/>
        <n v="1090.04"/>
        <n v="475.08"/>
        <n v="323.6"/>
        <n v="2015.1499999999999"/>
        <n v="1659.12"/>
        <n v="987.5"/>
        <n v="545.2"/>
        <n v="301.63"/>
        <n v="1770.48"/>
        <n v="788.1999999999999"/>
        <n v="792.65"/>
        <n v="836.1800000000001"/>
        <n v="503.8"/>
        <n v="2451.4"/>
        <n v="1226.6"/>
        <n v="140.0"/>
        <n v="865.0"/>
        <n v="295.25"/>
        <n v="250.54"/>
        <n v="1482.35"/>
        <n v="846.16"/>
        <n v="179.5"/>
        <n v="1925.92"/>
        <n v="430.20000000000005"/>
        <n v="1033.1799999999998"/>
        <n v="708.8100000000001"/>
        <n v="129.75"/>
        <n v="200.3"/>
        <n v="626.14"/>
        <n v="727.28"/>
        <n v="2299.05"/>
        <n v="616.75"/>
        <n v="461.72"/>
        <n v="2045.36"/>
        <n v="585.35"/>
        <n v="282.63"/>
        <n v="417.03"/>
        <n v="482.54"/>
        <n v="1230.15"/>
        <n v="701.12"/>
        <n v="2061.0"/>
        <n v="573.12"/>
        <n v="141.0"/>
        <n v="648.75"/>
        <n v="286.68"/>
        <n v="1755.8"/>
        <n v="33.49"/>
        <n v="315.24"/>
        <n v="1028.24"/>
        <n v="136.0"/>
        <n v="750.89"/>
        <n v="668.1"/>
        <n v="888.4"/>
        <n v="407.62"/>
        <n v="1367.44"/>
        <n v="163.47"/>
        <n v="194.19"/>
        <n v="1528.75"/>
        <n v="450.90000000000003"/>
        <n v="1276.09"/>
        <n v="891.62"/>
        <n v="686.75"/>
        <n v="162.47"/>
        <n v="1389.44"/>
        <n v="1059.6999999999998"/>
        <n v="709.12"/>
        <n v="642.3"/>
        <n v="519.92"/>
        <n v="249.26"/>
        <n v="1143.92"/>
        <n v="1965.08"/>
        <n v="148.09"/>
        <n v="397.85"/>
        <n v="100.49000000000001"/>
        <n v="1344.77"/>
        <n v="2242.1499999999996"/>
        <n v="426.25"/>
        <n v="293.63"/>
        <n v="480.88"/>
        <n v="586.88"/>
        <n v="269.94"/>
        <n v="856.65"/>
        <n v="764.28"/>
        <n v="319.6"/>
        <n v="1172.09"/>
        <n v="833.46"/>
        <n v="1303.1"/>
        <n v="1030.33"/>
        <n v="408.62"/>
        <n v="1486.44"/>
        <n v="362.88"/>
        <n v="574.88"/>
        <n v="1535.48"/>
        <n v="677.95"/>
        <n v="851.06"/>
        <n v="379.28"/>
        <n v="180.14"/>
        <n v="593.02"/>
        <n v="1137.92"/>
        <n v="1154.92"/>
        <n v="1241.15"/>
        <n v="190.62"/>
        <n v="1190.52"/>
        <n v="557.84"/>
        <n v="2184.95"/>
        <n v="1878.1999999999998"/>
        <n v="2067.1499999999996"/>
        <n v="407.03"/>
        <n v="2169.5"/>
        <n v="1584.92"/>
        <n v="412.86"/>
        <n v="831.46"/>
        <n v="1323.09"/>
        <n v="330.6"/>
        <n v="1253.09"/>
        <n v="1953.65"/>
        <n v="417.73"/>
        <n v="465.59"/>
        <n v="1992.92"/>
        <n v="897.4"/>
        <n v="332.85"/>
        <n v="1182.52"/>
        <n v="538.59"/>
        <n v="224.26"/>
        <n v="515.26"/>
        <n v="371.28"/>
        <n v="1532.48"/>
        <n v="867.06"/>
        <n v="62.099999999999994"/>
        <n v="317.6"/>
        <n v="257.9"/>
        <n v="1117.8600000000001"/>
        <n v="376.28"/>
        <n v="633.3"/>
        <n v="143.47"/>
        <n v="527.79"/>
        <n v="1274.46"/>
        <n v="152.18"/>
        <n v="898.18"/>
        <n v="1844.28"/>
        <n v="316.68"/>
        <n v="321.06"/>
        <n v="1129.04"/>
        <n v="876.06"/>
        <n v="1444.21"/>
        <n v="1363.09"/>
        <n v="748.72"/>
        <n v="1157.09"/>
        <n v="1020.96"/>
        <n v="1331.77"/>
        <n v="111.98"/>
        <n v="1690.0"/>
        <n v="1493.44"/>
        <n v="303.24"/>
        <n v="292.68"/>
        <n v="1048.1799999999998"/>
        <n v="1725.76"/>
        <n v="849.64"/>
        <n v="1319.1"/>
        <n v="417.62"/>
        <n v="164.18"/>
        <n v="400.86"/>
        <n v="108.42"/>
        <n v="80.4"/>
        <n v="513.59"/>
        <n v="93.5"/>
        <n v="259.5"/>
        <n v="351.86"/>
        <n v="2164.5"/>
        <n v="486.81"/>
        <n v="851.18"/>
        <n v="487.59"/>
        <n v="167.14"/>
        <n v="281.63"/>
        <n v="372.28"/>
        <n v="434.90999999999997"/>
        <n v="548.48"/>
        <n v="1028.96"/>
        <n v="838.65"/>
        <n v="582.02"/>
        <n v="273.36"/>
        <n v="78.0"/>
        <n v="473.82"/>
        <n v="1158.3500000000001"/>
        <n v="2127.95"/>
        <n v="208.35000000000002"/>
        <n v="251.36"/>
        <n v="445.81"/>
        <n v="334.94"/>
        <n v="1741.8"/>
        <n v="477.52"/>
        <n v="40.0"/>
        <n v="273.63"/>
        <n v="200.96"/>
        <n v="580.2"/>
        <n v="1178.52"/>
        <n v="1407.55"/>
        <n v="604.88"/>
        <n v="944.06"/>
        <n v="321.5"/>
        <n v="1473.56"/>
        <n v="381.40999999999997"/>
        <n v="373.06"/>
        <n v="882.06"/>
        <n v="435.45000000000005"/>
        <n v="416.72"/>
        <n v="94.49000000000001"/>
        <n v="1734.48"/>
        <n v="20.7"/>
        <n v="942.06"/>
        <n v="867.24"/>
        <n v="2161.1"/>
        <n v="1339.8600000000001"/>
        <n v="294.63"/>
        <n v="2166.5"/>
        <n v="370.36"/>
        <n v="236.18"/>
        <n v="372.54"/>
        <n v="322.40999999999997"/>
        <n v="145.35000000000002"/>
        <n v="1097.24"/>
        <n v="1677.12"/>
        <n v="89.45"/>
        <n v="277.5"/>
        <n v="708.6999999999999"/>
        <n v="793.06"/>
        <n v="299.06"/>
        <n v="876.4499999999999"/>
        <n v="627.26"/>
        <n v="883.53"/>
        <n v="660.22"/>
        <n v="305.94"/>
        <n v="174.18"/>
        <n v="574.35"/>
        <n v="584.35"/>
        <n v="172.62"/>
        <n v="593.88"/>
        <n v="1046.33"/>
        <n v="861.53"/>
        <n v="757.72"/>
        <n v="1164.09"/>
        <n v="792.24"/>
        <n v="44.5"/>
        <n v="205.64"/>
        <n v="108.1"/>
        <n v="433.41999999999996"/>
        <n v="538.92"/>
        <n v="438.62"/>
        <n v="1430.35"/>
        <n v="1929.1"/>
        <n v="1757.28"/>
        <n v="1265.1"/>
        <n v="644.3"/>
        <n v="422.62"/>
        <n v="187.35000000000002"/>
        <n v="611.3"/>
        <n v="1910.28"/>
        <n v="834.1999999999999"/>
        <n v="1374.43"/>
        <n v="1963.92"/>
        <n v="199.62"/>
        <n v="1327.77"/>
        <n v="2447.6"/>
        <n v="883.89"/>
        <n v="216.64"/>
        <n v="86.45"/>
        <n v="349.15"/>
        <n v="131.0"/>
        <n v="152.9"/>
        <n v="319.38"/>
        <n v="573.76"/>
        <n v="1489.77"/>
        <n v="1769.28"/>
        <n v="108.0"/>
        <n v="1070.6999999999998"/>
        <n v="597.2"/>
        <n v="630.56"/>
        <n v="128.14"/>
        <n v="915.18"/>
        <n v="231.45000000000002"/>
        <n v="235.63"/>
        <n v="125.0"/>
        <n v="225.45000000000002"/>
        <n v="110.42"/>
        <n v="315.28"/>
        <n v="895.18"/>
        <n v="503.07"/>
        <n v="290.63"/>
        <n v="141.18"/>
        <n v="1496.56"/>
        <n v="150.47"/>
        <n v="380.28"/>
        <n v="2241.1499999999996"/>
        <n v="1524.12"/>
        <n v="306.5"/>
        <n v="102.4"/>
        <n v="802.24"/>
        <n v="471.88"/>
        <n v="672.76"/>
        <n v="381.1"/>
        <n v="286.07"/>
        <n v="372.56"/>
        <n v="906.24"/>
        <n v="1251.0"/>
        <n v="369.11"/>
        <n v="950.62"/>
        <n v="203.64"/>
        <n v="304.06"/>
        <n v="1364.32"/>
        <n v="169.97"/>
        <n v="962.96"/>
        <n v="475.45000000000005"/>
        <n v="1961.65"/>
        <n v="1352.32"/>
        <n v="706.89"/>
        <n v="1538.48"/>
        <n v="1395.43"/>
        <n v="845.06"/>
        <n v="2543.95"/>
        <n v="173.5"/>
        <n v="312.1"/>
        <n v="393.36"/>
        <n v="366.36"/>
        <n v="442.20000000000005"/>
        <n v="531.88"/>
        <n v="1437.21"/>
        <n v="166.28"/>
        <n v="1964.08"/>
        <n v="2440.6"/>
        <n v="317.06"/>
        <n v="1269.0"/>
        <n v="494.88"/>
        <n v="443.41999999999996"/>
        <n v="75.7"/>
        <n v="226.26"/>
        <n v="551.48"/>
        <n v="994.64"/>
        <n v="188.35000000000002"/>
        <n v="464.88"/>
        <n v="2267.1499999999996"/>
        <n v="187.96"/>
        <n v="77.49000000000001"/>
        <n v="249.68"/>
        <n v="185.75"/>
        <n v="143.8"/>
        <n v="660.8100000000001"/>
        <n v="923.24"/>
        <n v="1362.55"/>
        <n v="178.0"/>
      </sharedItems>
    </cacheField>
    <cacheField name="Order_Day" numFmtId="0">
      <sharedItems>
        <s v="Thursday"/>
        <s v="Wednesday"/>
        <s v="Tuesday"/>
        <s v="Sunday"/>
        <s v="Monday"/>
        <s v="Friday"/>
        <s v="Saturday"/>
      </sharedItems>
    </cacheField>
    <cacheField name="Is_Weekend" numFmtId="0">
      <sharedItems>
        <s v="Weekday"/>
        <s v="Weekend"/>
      </sharedItems>
    </cacheField>
    <cacheField name="User_Name" numFmtId="0">
      <sharedItems>
        <s v="anne.oconnell"/>
        <s v="anthony.thomas"/>
        <s v="karl.gallagher"/>
        <s v="angela.horne"/>
        <s v="christine.west"/>
        <s v="david.delacruz"/>
        <s v="marcus.valenzuela"/>
        <s v="debra.rodriguez"/>
        <s v="bobby.forbes"/>
        <s v="joseph.stewart"/>
        <s v="kara.brennan"/>
        <s v="amy.reid"/>
        <s v="joshua.campbell"/>
        <s v="erin.miller"/>
        <s v="gina.moreno"/>
        <s v="mallory.mitchell"/>
        <s v="traci.jones"/>
        <s v="deborah.bates"/>
        <s v="christian.clayton"/>
        <s v="mark.henderson"/>
        <s v="john.herrera"/>
        <s v="angela.evans"/>
        <s v="ashley.rose"/>
        <s v="taylor.davis"/>
        <s v="lauren.long"/>
        <s v="teresa.harvey"/>
        <s v="heather.schneider"/>
        <s v="valerie.carr"/>
        <s v="jenny.estrada"/>
        <s v="courtney.parker"/>
        <s v="julie.meyer"/>
        <s v="donna.oneill"/>
        <s v="robert.castillo"/>
        <s v="timothy.hicks"/>
        <s v="thomas.andersen"/>
        <s v="aaron.thompson"/>
        <s v="jason.lopez"/>
        <s v="alexandra.smith"/>
        <s v="john.ramirez"/>
        <s v="amanda.howard"/>
        <s v="mary.knight"/>
        <s v="marcus.rogers"/>
        <s v="brian.kennedy"/>
        <s v="rebecca.figueroa"/>
        <s v="lori.cook"/>
        <s v="debra.hayes"/>
        <s v="brittany.stewart"/>
        <s v="mitchell.parker"/>
        <s v="sharon.thompson"/>
        <s v="sarah.butler"/>
        <s v="katherine.weber"/>
        <s v="jason.nguyen"/>
        <s v="brandon.cruz"/>
        <s v="jodi.whitney"/>
        <s v="ashley.romero"/>
        <s v="william.mann"/>
        <s v="kelli.smith"/>
        <s v="joseph.gaines"/>
        <s v="amy.ellis"/>
        <s v="beth.mason"/>
        <s v="christy.chang"/>
        <s v="troy.gomez"/>
        <s v="kim.blevins"/>
        <s v="gregory.lee"/>
        <s v="bruce.allen"/>
        <s v="lisa.miller"/>
        <s v="melissa.levy"/>
        <s v="barbara.fuller"/>
        <s v="kristina.haynes"/>
        <s v="lindsey.byrd"/>
        <s v="edward.black"/>
        <s v="james.brown"/>
        <s v="leslie.montgomery"/>
        <s v="susan.thompson"/>
        <s v="amy.griffin"/>
        <s v="rachael.robinson"/>
        <s v="natasha.michael"/>
        <s v="christine.aguilar"/>
        <s v="mark.summers"/>
        <s v="gary.huff"/>
        <s v="mike.carter"/>
        <s v="thomas.owens"/>
        <s v="brendan.kelly"/>
        <s v="jessica.ruiz"/>
        <s v="hannah.gutierrez"/>
        <s v="angela.casey"/>
        <s v="megan.hunt"/>
        <s v="jared.horn"/>
        <s v="veronica.lopez"/>
        <s v="sarah.benson"/>
        <s v="lauren.lane"/>
        <s v="william.richmond"/>
        <s v="lauren.crane"/>
        <s v="katie.hicks"/>
        <s v="regina.hawkins"/>
        <s v="rachel.lopez"/>
        <s v="scott.jones"/>
        <s v="gary.jacobs"/>
        <s v="janice.gordon"/>
        <s v="diana.french"/>
      </sharedItems>
    </cacheField>
    <cacheField name="Domain" numFmtId="0">
      <sharedItems>
        <s v="outlook"/>
        <s v="rediffmail"/>
        <s v="gmail"/>
        <s v="yahoo"/>
      </sharedItems>
    </cacheField>
    <cacheField name="Full_Name" numFmtId="0">
      <sharedItems>
        <s v="Anne Oconnell"/>
        <s v="Anthony Thomas"/>
        <s v="Karl Gallagher"/>
        <s v="Angela Horne"/>
        <s v="Christine West"/>
        <s v="David Delacruz"/>
        <s v="Marcus Valenzuela"/>
        <s v="Debra Rodriguez"/>
        <s v="Bobby Forbes"/>
        <s v="Joseph Stewart"/>
        <s v="Kara Brennan"/>
        <s v="Amy Reid"/>
        <s v="Joshua Campbell"/>
        <s v="Erin Miller"/>
        <s v="Gina Moreno"/>
        <s v="Mallory Mitchell"/>
        <s v="Traci Jones"/>
        <s v="Deborah Bates"/>
        <s v="Christian Clayton"/>
        <s v="Mark Henderson"/>
        <s v="John Herrera"/>
        <s v="Angela Evans"/>
        <s v="Ashley Rose"/>
        <s v="Taylor Davis"/>
        <s v="Lauren Long"/>
        <s v="Teresa Harvey"/>
        <s v="Heather Schneider"/>
        <s v="Valerie Carr"/>
        <s v="Jenny Estrada"/>
        <s v="Courtney Parker"/>
        <s v="Julie Meyer"/>
        <s v="Donna Oneill"/>
        <s v="Robert Castillo"/>
        <s v="Timothy Hicks"/>
        <s v="Thomas Andersen"/>
        <s v="Aaron Thompson"/>
        <s v="Jason Lopez"/>
        <s v="Alexandra Smith"/>
        <s v="John Ramirez"/>
        <s v="Amanda Howard"/>
        <s v="Mary Knight"/>
        <s v="Marcus Rogers"/>
        <s v="Brian Kennedy"/>
        <s v="Rebecca Figueroa"/>
        <s v="Lori Cook"/>
        <s v="Debra Hayes"/>
        <s v="Brittany Stewart"/>
        <s v="Mitchell Parker"/>
        <s v="Sharon Thompson"/>
        <s v="Sarah Butler"/>
        <s v="Katherine Weber"/>
        <s v="Jason Nguyen"/>
        <s v="Brandon Cruz"/>
        <s v="Jodi Whitney"/>
        <s v="Ashley Romero"/>
        <s v="William Mann"/>
        <s v="Kelli Smith"/>
        <s v="Joseph Gaines"/>
        <s v="Amy Ellis"/>
        <s v="Beth Mason"/>
        <s v="Christy Chang"/>
        <s v="Troy Gomez"/>
        <s v="Kim Blevins"/>
        <s v="Gregory Lee"/>
        <s v="Bruce Allen"/>
        <s v="Lisa Miller"/>
        <s v="Melissa Levy"/>
        <s v="Barbara Fuller"/>
        <s v="Kristina Haynes"/>
        <s v="Lindsey Byrd"/>
        <s v="Edward Black"/>
        <s v="James Brown"/>
        <s v="Leslie Montgomery"/>
        <s v="Susan Thompson"/>
        <s v="Amy Griffin"/>
        <s v="Rachael Robinson"/>
        <s v="Natasha Michael"/>
        <s v="Christine Aguilar"/>
        <s v="Mark Summers"/>
        <s v="Gary Huff"/>
        <s v="Mike Carter"/>
        <s v="Thomas Owens"/>
        <s v="Brendan Kelly"/>
        <s v="Jessica Ruiz"/>
        <s v="Hannah Gutierrez"/>
        <s v="Angela Casey"/>
        <s v="Megan Hunt"/>
        <s v="Jared Horn"/>
        <s v="Veronica Lopez"/>
        <s v="Sarah Benson"/>
        <s v="Lauren Lane"/>
        <s v="William Richmond"/>
        <s v="Lauren Crane"/>
        <s v="Katie Hicks"/>
        <s v="Regina Hawkins"/>
        <s v="Rachel Lopez"/>
        <s v="Scott Jones"/>
        <s v="Gary Jacobs"/>
        <s v="Janice Gordon"/>
        <s v="Diana French"/>
      </sharedItems>
    </cacheField>
    <cacheField name="Fname" numFmtId="0">
      <sharedItems>
        <s v="Anne"/>
        <s v="Anthony"/>
        <s v="Karl"/>
        <s v="Angela"/>
        <s v="Christine"/>
        <s v="David"/>
        <s v="Marcus"/>
        <s v="Debra"/>
        <s v="Bobby"/>
        <s v="Joseph"/>
        <s v="Kara"/>
        <s v="Amy"/>
        <s v="Joshua"/>
        <s v="Erin"/>
        <s v="Gina"/>
        <s v="Mallory"/>
        <s v="Traci"/>
        <s v="Deborah"/>
        <s v="Christian"/>
        <s v="Mark"/>
        <s v="John"/>
        <s v="Ashley"/>
        <s v="Taylor"/>
        <s v="Lauren"/>
        <s v="Teresa"/>
        <s v="Heather"/>
        <s v="Valerie"/>
        <s v="Jenny"/>
        <s v="Courtney"/>
        <s v="Julie"/>
        <s v="Donna"/>
        <s v="Robert"/>
        <s v="Timothy"/>
        <s v="Thomas"/>
        <s v="Aaron"/>
        <s v="Jason"/>
        <s v="Alexandra"/>
        <s v="Amanda"/>
        <s v="Mary"/>
        <s v="Brian"/>
        <s v="Rebecca"/>
        <s v="Lori"/>
        <s v="Brittany"/>
        <s v="Mitchell"/>
        <s v="Sharon"/>
        <s v="Sarah"/>
        <s v="Katherine"/>
        <s v="Brandon"/>
        <s v="Jodi"/>
        <s v="William"/>
        <s v="Kelli"/>
        <s v="Beth"/>
        <s v="Christy"/>
        <s v="Troy"/>
        <s v="Kim"/>
        <s v="Gregory"/>
        <s v="Bruce"/>
        <s v="Lisa"/>
        <s v="Melissa"/>
        <s v="Barbara"/>
        <s v="Kristina"/>
        <s v="Lindsey"/>
        <s v="Edward"/>
        <s v="James"/>
        <s v="Leslie"/>
        <s v="Susan"/>
        <s v="Rachael"/>
        <s v="Natasha"/>
        <s v="Gary"/>
        <s v="Mike"/>
        <s v="Brendan"/>
        <s v="Jessica"/>
        <s v="Hannah"/>
        <s v="Megan"/>
        <s v="Jared"/>
        <s v="Veronica"/>
        <s v="Katie"/>
        <s v="Regina"/>
        <s v="Rachel"/>
        <s v="Scott"/>
        <s v="Janice"/>
        <s v="Diana"/>
      </sharedItems>
    </cacheField>
    <cacheField name="Lname" numFmtId="0">
      <sharedItems>
        <s v="Oconnell"/>
        <s v="Thomas"/>
        <s v="Gallagher"/>
        <s v="Horne"/>
        <s v="West"/>
        <s v="Delacruz"/>
        <s v="Valenzuela"/>
        <s v="Rodriguez"/>
        <s v="Forbes"/>
        <s v="Stewart"/>
        <s v="Brennan"/>
        <s v="Reid"/>
        <s v="Campbell"/>
        <s v="Miller"/>
        <s v="Moreno"/>
        <s v="Mitchell"/>
        <s v="Jones"/>
        <s v="Bates"/>
        <s v="Clayton"/>
        <s v="Henderson"/>
        <s v="Herrera"/>
        <s v="Evans"/>
        <s v="Rose"/>
        <s v="Davis"/>
        <s v="Long"/>
        <s v="Harvey"/>
        <s v="Schneider"/>
        <s v="Carr"/>
        <s v="Estrada"/>
        <s v="Parker"/>
        <s v="Meyer"/>
        <s v="Oneill"/>
        <s v="Castillo"/>
        <s v="Hicks"/>
        <s v="Andersen"/>
        <s v="Thompson"/>
        <s v="Lopez"/>
        <s v="Smith"/>
        <s v="Ramirez"/>
        <s v="Howard"/>
        <s v="Knight"/>
        <s v="Rogers"/>
        <s v="Kennedy"/>
        <s v="Figueroa"/>
        <s v="Cook"/>
        <s v="Hayes"/>
        <s v="Butler"/>
        <s v="Weber"/>
        <s v="Nguyen"/>
        <s v="Cruz"/>
        <s v="Whitney"/>
        <s v="Romero"/>
        <s v="Mann"/>
        <s v="Gaines"/>
        <s v="Ellis"/>
        <s v="Mason"/>
        <s v="Chang"/>
        <s v="Gomez"/>
        <s v="Blevins"/>
        <s v="Lee"/>
        <s v="Allen"/>
        <s v="Levy"/>
        <s v="Fuller"/>
        <s v="Haynes"/>
        <s v="Byrd"/>
        <s v="Black"/>
        <s v="Brown"/>
        <s v="Montgomery"/>
        <s v="Griffin"/>
        <s v="Robinson"/>
        <s v="Michael"/>
        <s v="Aguilar"/>
        <s v="Summers"/>
        <s v="Huff"/>
        <s v="Carter"/>
        <s v="Owens"/>
        <s v="Kelly"/>
        <s v="Ruiz"/>
        <s v="Gutierrez"/>
        <s v="Casey"/>
        <s v="Hunt"/>
        <s v="Horn"/>
        <s v="Benson"/>
        <s v="Lane"/>
        <s v="Richmond"/>
        <s v="Crane"/>
        <s v="Hawkins"/>
        <s v="Jacobs"/>
        <s v="Gordon"/>
        <s v="French"/>
      </sharedItems>
    </cacheField>
    <cacheField name="Delivery_Status" numFmtId="0">
      <sharedItems>
        <s v="Before Time"/>
        <s v="Late"/>
        <s v="InTime"/>
      </sharedItems>
    </cacheField>
    <cacheField name="Mobile_Num" numFmtId="0">
      <sharedItems>
        <e v="#NAME?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swers" cacheId="0" dataCaption="" compact="0" compactData="0">
  <location ref="B98:D107" firstHeaderRow="0" firstDataRow="2" firstDataCol="0"/>
  <pivotFields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City" axis="axisRow" compact="0" outline="0" multipleItemSelectionAllowed="1" showAll="0" sortType="ascending">
      <items>
        <item x="5"/>
        <item x="7"/>
        <item x="1"/>
        <item x="3"/>
        <item x="4"/>
        <item x="2"/>
        <item x="0"/>
        <item x="6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nt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Ord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pon_C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imated_Days_to_Deliv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livery_Char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t="default"/>
      </items>
    </pivotField>
    <pivotField name="Delivery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Days to Deliv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Amount with Del Char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Discount_Percent" compact="0" outline="0" multipleItemSelectionAllowed="1" showAll="0">
      <items>
        <item x="0"/>
        <item t="default"/>
      </items>
    </pivotField>
    <pivotField name="Discounted_Am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Final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t="default"/>
      </items>
    </pivotField>
    <pivotField name="Order_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_Weekend" compact="0" outline="0" multipleItemSelectionAllowed="1" showAll="0">
      <items>
        <item x="0"/>
        <item x="1"/>
        <item t="default"/>
      </items>
    </pivotField>
    <pivotField name="Us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omain" compact="0" outline="0" multipleItemSelectionAllowed="1" showAll="0">
      <items>
        <item x="0"/>
        <item x="1"/>
        <item x="2"/>
        <item x="3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F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L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elivery_Status" compact="0" outline="0" multipleItemSelectionAllowed="1" showAll="0">
      <items>
        <item x="0"/>
        <item x="1"/>
        <item x="2"/>
        <item t="default"/>
      </items>
    </pivotField>
    <pivotField name="Mobile_Num" compact="0" outline="0" multipleItemSelectionAllowed="1" showAll="0">
      <items>
        <item x="0"/>
        <item t="default"/>
      </items>
    </pivotField>
  </pivotFields>
  <rowFields>
    <field x="5"/>
  </rowFields>
  <colFields>
    <field x="-2"/>
  </colFields>
  <dataFields>
    <dataField name="Sum of Amount" fld="22" baseField="0"/>
    <dataField name="Sum of Discounted_Amt" fld="25" baseField="0"/>
  </dataFields>
</pivotTableDefinition>
</file>

<file path=xl/pivotTables/pivotTable2.xml><?xml version="1.0" encoding="utf-8"?>
<pivotTableDefinition xmlns="http://schemas.openxmlformats.org/spreadsheetml/2006/main" name="Answers 2" cacheId="1" dataCaption="" compact="0" compactData="0">
  <location ref="B137:D150" firstHeaderRow="0" firstDataRow="2" firstDataCol="0"/>
  <pivotFields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nt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Order_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rd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pon_C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imated_Days_to_Deliv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livery_Char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t="default"/>
      </items>
    </pivotField>
    <pivotField name="Delivery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Days to Deliv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Amount with Del Char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Discount_Percent" compact="0" outline="0" multipleItemSelectionAllowed="1" showAll="0">
      <items>
        <item x="0"/>
        <item t="default"/>
      </items>
    </pivotField>
    <pivotField name="Discounted_Am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Final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t="default"/>
      </items>
    </pivotField>
    <pivotField name="Order_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_Weekend" compact="0" outline="0" multipleItemSelectionAllowed="1" showAll="0">
      <items>
        <item x="0"/>
        <item x="1"/>
        <item t="default"/>
      </items>
    </pivotField>
    <pivotField name="Us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omain" compact="0" outline="0" multipleItemSelectionAllowed="1" showAll="0">
      <items>
        <item x="0"/>
        <item x="1"/>
        <item x="2"/>
        <item x="3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F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L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elivery_Status" compact="0" outline="0" multipleItemSelectionAllowed="1" showAll="0">
      <items>
        <item x="0"/>
        <item x="1"/>
        <item x="2"/>
        <item t="default"/>
      </items>
    </pivotField>
    <pivotField name="Mobile_Num" compact="0" outline="0" multipleItemSelectionAllowed="1" showAll="0">
      <items>
        <item x="0"/>
        <item t="default"/>
      </items>
    </pivotField>
  </pivotFields>
  <rowFields>
    <field x="10"/>
  </rowFields>
  <colFields>
    <field x="-2"/>
  </colFields>
  <dataFields>
    <dataField name="Count of Order_ID" fld="9" subtotal="count" baseField="0"/>
    <dataField name="Percentage_Contribution" fld="9" subtotal="count" showDataAs="percentOfTotal" baseField="0" numFmtId="10"/>
  </dataFields>
</pivotTableDefinition>
</file>

<file path=xl/pivotTables/pivotTable3.xml><?xml version="1.0" encoding="utf-8"?>
<pivotTableDefinition xmlns="http://schemas.openxmlformats.org/spreadsheetml/2006/main" name="Answers 3" cacheId="2" dataCaption="" compact="0" compactData="0">
  <location ref="B156:D169" firstHeaderRow="0" firstDataRow="2" firstDataCol="0"/>
  <pivotFields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nt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Order_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rd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pon_C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imated_Days_to_Deliv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livery_Char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t="default"/>
      </items>
    </pivotField>
    <pivotField name="Delivery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Days to Deliv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Amount with Del Char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Discount_Percent" compact="0" outline="0" multipleItemSelectionAllowed="1" showAll="0">
      <items>
        <item x="0"/>
        <item t="default"/>
      </items>
    </pivotField>
    <pivotField name="Discounted_Am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Final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t="default"/>
      </items>
    </pivotField>
    <pivotField name="Order_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_Weekend" compact="0" outline="0" multipleItemSelectionAllowed="1" showAll="0">
      <items>
        <item x="0"/>
        <item x="1"/>
        <item t="default"/>
      </items>
    </pivotField>
    <pivotField name="Us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omain" compact="0" outline="0" multipleItemSelectionAllowed="1" showAll="0">
      <items>
        <item x="0"/>
        <item x="1"/>
        <item x="2"/>
        <item x="3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F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L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elivery_Status" compact="0" outline="0" multipleItemSelectionAllowed="1" showAll="0">
      <items>
        <item x="0"/>
        <item x="1"/>
        <item x="2"/>
        <item t="default"/>
      </items>
    </pivotField>
    <pivotField name="Mobile_Num" compact="0" outline="0" multipleItemSelectionAllowed="1" showAll="0">
      <items>
        <item x="0"/>
        <item t="default"/>
      </items>
    </pivotField>
  </pivotFields>
  <rowFields>
    <field x="10"/>
  </rowFields>
  <colFields>
    <field x="-2"/>
  </colFields>
  <dataFields>
    <dataField name="Sum of Amount" fld="22" baseField="0"/>
    <dataField name="Sum of Discounted_Amt" fld="25" baseField="0"/>
  </dataFields>
</pivotTableDefinition>
</file>

<file path=xl/pivotTables/pivotTable4.xml><?xml version="1.0" encoding="utf-8"?>
<pivotTableDefinition xmlns="http://schemas.openxmlformats.org/spreadsheetml/2006/main" name="Answers 4" cacheId="0" dataCaption="" compact="0" compactData="0">
  <location ref="B193:D202" firstHeaderRow="0" firstDataRow="2" firstDataCol="0"/>
  <pivotFields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City" axis="axisRow" compact="0" outline="0" multipleItemSelectionAllowed="1" showAll="0" sortType="ascending">
      <items>
        <item x="5"/>
        <item x="7"/>
        <item x="1"/>
        <item x="3"/>
        <item x="4"/>
        <item x="2"/>
        <item x="0"/>
        <item x="6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nt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Ord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pon_C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imated_Days_to_Deliv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livery_Char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t="default"/>
      </items>
    </pivotField>
    <pivotField name="Delivery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Days to Deliv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Amount with Del Char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Discount_Percent" compact="0" outline="0" multipleItemSelectionAllowed="1" showAll="0">
      <items>
        <item x="0"/>
        <item t="default"/>
      </items>
    </pivotField>
    <pivotField name="Discounted_Am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Final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t="default"/>
      </items>
    </pivotField>
    <pivotField name="Order_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_Weekend" compact="0" outline="0" multipleItemSelectionAllowed="1" showAll="0">
      <items>
        <item x="0"/>
        <item x="1"/>
        <item t="default"/>
      </items>
    </pivotField>
    <pivotField name="Us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omain" compact="0" outline="0" multipleItemSelectionAllowed="1" showAll="0">
      <items>
        <item x="0"/>
        <item x="1"/>
        <item x="2"/>
        <item x="3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F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L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elivery_Status" compact="0" outline="0" multipleItemSelectionAllowed="1" showAll="0">
      <items>
        <item x="0"/>
        <item x="1"/>
        <item x="2"/>
        <item t="default"/>
      </items>
    </pivotField>
    <pivotField name="Mobile_Num" compact="0" outline="0" multipleItemSelectionAllowed="1" showAll="0">
      <items>
        <item x="0"/>
        <item t="default"/>
      </items>
    </pivotField>
  </pivotFields>
  <rowFields>
    <field x="5"/>
  </rowFields>
  <colFields>
    <field x="-2"/>
  </colFields>
  <dataFields>
    <dataField name="Sum of Amount" fld="22" baseField="0"/>
    <dataField name="Sum of Discounted_Amt" fld="25" baseField="0"/>
  </dataFields>
</pivotTableDefinition>
</file>

<file path=xl/pivotTables/pivotTable5.xml><?xml version="1.0" encoding="utf-8"?>
<pivotTableDefinition xmlns="http://schemas.openxmlformats.org/spreadsheetml/2006/main" name="Answers 5" cacheId="0" dataCaption="" compact="0" compactData="0">
  <location ref="B209:C215" firstHeaderRow="0" firstDataRow="1" firstDataCol="0"/>
  <pivotFields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nt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Ord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pon_Code" axis="axisRow" dataField="1" compact="0" outline="0" multipleItemSelectionAllowed="1" showAll="0" sortType="ascending">
      <items>
        <item x="2"/>
        <item x="4"/>
        <item x="1"/>
        <item x="3"/>
        <item x="0"/>
        <item t="default"/>
      </items>
    </pivotField>
    <pivotField name="Estimated_Days_to_Deliv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livery_Char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t="default"/>
      </items>
    </pivotField>
    <pivotField name="Delivery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Days to Deliv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Amount with Del Char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Discount_Percent" compact="0" outline="0" multipleItemSelectionAllowed="1" showAll="0">
      <items>
        <item x="0"/>
        <item t="default"/>
      </items>
    </pivotField>
    <pivotField name="Discounted_Am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Final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t="default"/>
      </items>
    </pivotField>
    <pivotField name="Order_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_Weekend" compact="0" outline="0" multipleItemSelectionAllowed="1" showAll="0">
      <items>
        <item x="0"/>
        <item x="1"/>
        <item t="default"/>
      </items>
    </pivotField>
    <pivotField name="Us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omain" compact="0" outline="0" multipleItemSelectionAllowed="1" showAll="0">
      <items>
        <item x="0"/>
        <item x="1"/>
        <item x="2"/>
        <item x="3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F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L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elivery_Status" compact="0" outline="0" multipleItemSelectionAllowed="1" showAll="0">
      <items>
        <item x="0"/>
        <item x="1"/>
        <item x="2"/>
        <item t="default"/>
      </items>
    </pivotField>
    <pivotField name="Mobile_Num" compact="0" outline="0" multipleItemSelectionAllowed="1" showAll="0">
      <items>
        <item x="0"/>
        <item t="default"/>
      </items>
    </pivotField>
  </pivotFields>
  <rowFields>
    <field x="15"/>
  </rowFields>
  <dataFields>
    <dataField name="Count of Coupon_Code" fld="1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4.57"/>
    <col customWidth="1" min="3" max="3" width="12.14"/>
    <col customWidth="1" min="4" max="6" width="8.71"/>
    <col customWidth="1" min="7" max="7" width="28.43"/>
    <col customWidth="1" min="8" max="8" width="8.71"/>
    <col customWidth="1" min="9" max="9" width="10.86"/>
    <col customWidth="1" min="10" max="10" width="15.71"/>
    <col customWidth="1" min="11" max="11" width="15.57"/>
    <col customWidth="1" min="12" max="12" width="14.29"/>
    <col customWidth="1" min="13" max="13" width="8.71"/>
    <col customWidth="1" min="14" max="14" width="12.29"/>
    <col customWidth="1" min="15" max="15" width="8.71"/>
    <col customWidth="1" min="16" max="16" width="15.86"/>
    <col customWidth="1" min="17" max="17" width="14.86"/>
    <col customWidth="1" min="18" max="18" width="16.43"/>
    <col customWidth="1" min="19" max="19" width="12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customHeight="1">
      <c r="A2" s="2" t="s">
        <v>19</v>
      </c>
      <c r="B2" s="2" t="s">
        <v>20</v>
      </c>
      <c r="C2" s="2" t="s">
        <v>21</v>
      </c>
      <c r="D2" s="2">
        <v>37.0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3">
        <v>45358.0</v>
      </c>
      <c r="K2" s="2" t="s">
        <v>27</v>
      </c>
      <c r="L2" s="2" t="s">
        <v>28</v>
      </c>
      <c r="M2" s="2">
        <v>308.88</v>
      </c>
      <c r="N2" s="2">
        <v>5.0</v>
      </c>
      <c r="O2" s="2" t="s">
        <v>29</v>
      </c>
      <c r="P2" s="2">
        <v>4.0</v>
      </c>
      <c r="Q2" s="2">
        <v>60.0</v>
      </c>
      <c r="R2" s="3">
        <v>45361.0</v>
      </c>
      <c r="S2" s="2" t="s">
        <v>30</v>
      </c>
    </row>
    <row r="3" ht="14.25" customHeight="1">
      <c r="A3" s="2" t="s">
        <v>31</v>
      </c>
      <c r="B3" s="2" t="s">
        <v>32</v>
      </c>
      <c r="C3" s="2" t="s">
        <v>33</v>
      </c>
      <c r="D3" s="2">
        <v>53.0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3">
        <v>45378.0</v>
      </c>
      <c r="K3" s="2" t="s">
        <v>39</v>
      </c>
      <c r="L3" s="2" t="s">
        <v>40</v>
      </c>
      <c r="M3" s="2">
        <v>166.28</v>
      </c>
      <c r="N3" s="2">
        <v>4.0</v>
      </c>
      <c r="O3" s="2" t="s">
        <v>29</v>
      </c>
      <c r="P3" s="2">
        <v>7.0</v>
      </c>
      <c r="Q3" s="2">
        <v>66.0</v>
      </c>
      <c r="R3" s="3">
        <v>45381.0</v>
      </c>
      <c r="S3" s="2" t="s">
        <v>41</v>
      </c>
    </row>
    <row r="4" ht="14.25" customHeight="1">
      <c r="A4" s="2" t="s">
        <v>42</v>
      </c>
      <c r="B4" s="2" t="s">
        <v>43</v>
      </c>
      <c r="C4" s="2" t="s">
        <v>44</v>
      </c>
      <c r="D4" s="2">
        <v>60.0</v>
      </c>
      <c r="E4" s="2" t="s">
        <v>45</v>
      </c>
      <c r="F4" s="2" t="s">
        <v>23</v>
      </c>
      <c r="G4" s="2" t="s">
        <v>46</v>
      </c>
      <c r="H4" s="2" t="s">
        <v>47</v>
      </c>
      <c r="I4" s="2" t="s">
        <v>48</v>
      </c>
      <c r="J4" s="3">
        <v>45342.0</v>
      </c>
      <c r="K4" s="2" t="s">
        <v>49</v>
      </c>
      <c r="L4" s="2" t="s">
        <v>50</v>
      </c>
      <c r="M4" s="2">
        <v>202.54</v>
      </c>
      <c r="N4" s="2">
        <v>1.0</v>
      </c>
      <c r="O4" s="2" t="s">
        <v>51</v>
      </c>
      <c r="P4" s="2">
        <v>3.0</v>
      </c>
      <c r="Q4" s="2">
        <v>47.0</v>
      </c>
      <c r="R4" s="3">
        <v>45344.0</v>
      </c>
      <c r="S4" s="2" t="s">
        <v>52</v>
      </c>
    </row>
    <row r="5" ht="14.25" customHeight="1">
      <c r="A5" s="2" t="s">
        <v>42</v>
      </c>
      <c r="B5" s="2" t="s">
        <v>43</v>
      </c>
      <c r="C5" s="2" t="s">
        <v>44</v>
      </c>
      <c r="D5" s="2">
        <v>60.0</v>
      </c>
      <c r="E5" s="2" t="s">
        <v>45</v>
      </c>
      <c r="F5" s="2" t="s">
        <v>23</v>
      </c>
      <c r="G5" s="2" t="s">
        <v>46</v>
      </c>
      <c r="H5" s="2" t="s">
        <v>47</v>
      </c>
      <c r="I5" s="2" t="s">
        <v>53</v>
      </c>
      <c r="J5" s="3">
        <v>45426.0</v>
      </c>
      <c r="K5" s="2" t="s">
        <v>54</v>
      </c>
      <c r="L5" s="2" t="s">
        <v>55</v>
      </c>
      <c r="M5" s="2">
        <v>405.0</v>
      </c>
      <c r="N5" s="2">
        <v>5.0</v>
      </c>
      <c r="O5" s="2" t="s">
        <v>56</v>
      </c>
      <c r="P5" s="2">
        <v>6.0</v>
      </c>
      <c r="Q5" s="2">
        <v>47.0</v>
      </c>
      <c r="R5" s="3">
        <v>45430.0</v>
      </c>
      <c r="S5" s="2" t="s">
        <v>57</v>
      </c>
    </row>
    <row r="6" ht="14.25" customHeight="1">
      <c r="A6" s="2" t="s">
        <v>58</v>
      </c>
      <c r="B6" s="2" t="s">
        <v>59</v>
      </c>
      <c r="C6" s="2" t="s">
        <v>60</v>
      </c>
      <c r="D6" s="2">
        <v>49.0</v>
      </c>
      <c r="E6" s="2" t="s">
        <v>45</v>
      </c>
      <c r="F6" s="2" t="s">
        <v>23</v>
      </c>
      <c r="G6" s="2" t="s">
        <v>61</v>
      </c>
      <c r="H6" s="2" t="s">
        <v>62</v>
      </c>
      <c r="I6" s="2" t="s">
        <v>63</v>
      </c>
      <c r="J6" s="3">
        <v>45391.0</v>
      </c>
      <c r="K6" s="2" t="s">
        <v>64</v>
      </c>
      <c r="L6" s="2" t="s">
        <v>40</v>
      </c>
      <c r="M6" s="2">
        <v>166.28</v>
      </c>
      <c r="N6" s="2">
        <v>1.0</v>
      </c>
      <c r="O6" s="2" t="s">
        <v>29</v>
      </c>
      <c r="P6" s="2">
        <v>2.0</v>
      </c>
      <c r="Q6" s="2">
        <v>54.0</v>
      </c>
      <c r="R6" s="3">
        <v>45395.0</v>
      </c>
      <c r="S6" s="2" t="s">
        <v>65</v>
      </c>
    </row>
    <row r="7" ht="14.25" customHeight="1">
      <c r="A7" s="2" t="s">
        <v>66</v>
      </c>
      <c r="B7" s="2" t="s">
        <v>67</v>
      </c>
      <c r="C7" s="2" t="s">
        <v>68</v>
      </c>
      <c r="D7" s="2">
        <v>53.0</v>
      </c>
      <c r="E7" s="2" t="s">
        <v>45</v>
      </c>
      <c r="F7" s="2" t="s">
        <v>69</v>
      </c>
      <c r="G7" s="2" t="s">
        <v>70</v>
      </c>
      <c r="H7" s="2" t="s">
        <v>71</v>
      </c>
      <c r="I7" s="2" t="s">
        <v>72</v>
      </c>
      <c r="J7" s="3">
        <v>45543.0</v>
      </c>
      <c r="K7" s="2" t="s">
        <v>73</v>
      </c>
      <c r="L7" s="2" t="s">
        <v>74</v>
      </c>
      <c r="M7" s="2">
        <v>330.11</v>
      </c>
      <c r="N7" s="2">
        <v>4.0</v>
      </c>
      <c r="O7" s="2" t="s">
        <v>51</v>
      </c>
      <c r="P7" s="2">
        <v>6.0</v>
      </c>
      <c r="Q7" s="2">
        <v>39.0</v>
      </c>
      <c r="R7" s="3">
        <v>45547.0</v>
      </c>
      <c r="S7" s="2" t="s">
        <v>75</v>
      </c>
    </row>
    <row r="8" ht="14.25" customHeight="1">
      <c r="A8" s="2" t="s">
        <v>42</v>
      </c>
      <c r="B8" s="2" t="s">
        <v>43</v>
      </c>
      <c r="C8" s="2" t="s">
        <v>44</v>
      </c>
      <c r="D8" s="2">
        <v>60.0</v>
      </c>
      <c r="E8" s="2" t="s">
        <v>45</v>
      </c>
      <c r="F8" s="2" t="s">
        <v>23</v>
      </c>
      <c r="G8" s="2" t="s">
        <v>46</v>
      </c>
      <c r="H8" s="2" t="s">
        <v>47</v>
      </c>
      <c r="I8" s="2" t="s">
        <v>76</v>
      </c>
      <c r="J8" s="3">
        <v>45662.0</v>
      </c>
      <c r="K8" s="2" t="s">
        <v>77</v>
      </c>
      <c r="L8" s="2" t="s">
        <v>28</v>
      </c>
      <c r="M8" s="2">
        <v>308.88</v>
      </c>
      <c r="N8" s="2">
        <v>5.0</v>
      </c>
      <c r="O8" s="2" t="s">
        <v>78</v>
      </c>
      <c r="P8" s="2">
        <v>5.0</v>
      </c>
      <c r="Q8" s="2">
        <v>47.0</v>
      </c>
      <c r="R8" s="3">
        <v>45665.0</v>
      </c>
      <c r="S8" s="2" t="s">
        <v>79</v>
      </c>
    </row>
    <row r="9" ht="14.25" customHeight="1">
      <c r="A9" s="2" t="s">
        <v>80</v>
      </c>
      <c r="B9" s="2" t="s">
        <v>81</v>
      </c>
      <c r="C9" s="2" t="s">
        <v>82</v>
      </c>
      <c r="D9" s="2">
        <v>26.0</v>
      </c>
      <c r="E9" s="2" t="s">
        <v>34</v>
      </c>
      <c r="F9" s="2" t="s">
        <v>83</v>
      </c>
      <c r="G9" s="2" t="s">
        <v>84</v>
      </c>
      <c r="H9" s="2" t="s">
        <v>85</v>
      </c>
      <c r="I9" s="2" t="s">
        <v>86</v>
      </c>
      <c r="J9" s="3">
        <v>45459.0</v>
      </c>
      <c r="K9" s="2" t="s">
        <v>87</v>
      </c>
      <c r="L9" s="2" t="s">
        <v>88</v>
      </c>
      <c r="M9" s="2">
        <v>363.64</v>
      </c>
      <c r="N9" s="2">
        <v>3.0</v>
      </c>
      <c r="O9" s="2" t="s">
        <v>89</v>
      </c>
      <c r="P9" s="2">
        <v>2.0</v>
      </c>
      <c r="Q9" s="2">
        <v>70.0</v>
      </c>
      <c r="R9" s="3">
        <v>45464.0</v>
      </c>
      <c r="S9" s="2" t="s">
        <v>90</v>
      </c>
    </row>
    <row r="10" ht="14.25" customHeight="1">
      <c r="A10" s="2" t="s">
        <v>91</v>
      </c>
      <c r="B10" s="2" t="s">
        <v>92</v>
      </c>
      <c r="C10" s="2" t="s">
        <v>93</v>
      </c>
      <c r="D10" s="2">
        <v>39.0</v>
      </c>
      <c r="E10" s="2" t="s">
        <v>22</v>
      </c>
      <c r="F10" s="2" t="s">
        <v>23</v>
      </c>
      <c r="G10" s="2" t="s">
        <v>94</v>
      </c>
      <c r="H10" s="2" t="s">
        <v>95</v>
      </c>
      <c r="I10" s="2" t="s">
        <v>96</v>
      </c>
      <c r="J10" s="3">
        <v>45040.0</v>
      </c>
      <c r="K10" s="2" t="s">
        <v>97</v>
      </c>
      <c r="L10" s="2" t="s">
        <v>98</v>
      </c>
      <c r="M10" s="2">
        <v>275.44</v>
      </c>
      <c r="N10" s="2">
        <v>1.0</v>
      </c>
      <c r="O10" s="2" t="s">
        <v>29</v>
      </c>
      <c r="P10" s="2">
        <v>7.0</v>
      </c>
      <c r="Q10" s="2">
        <v>63.0</v>
      </c>
      <c r="R10" s="3">
        <v>45042.0</v>
      </c>
      <c r="S10" s="2" t="s">
        <v>99</v>
      </c>
    </row>
    <row r="11" ht="14.25" customHeight="1">
      <c r="A11" s="2" t="s">
        <v>100</v>
      </c>
      <c r="B11" s="2" t="s">
        <v>101</v>
      </c>
      <c r="C11" s="2" t="s">
        <v>102</v>
      </c>
      <c r="D11" s="2">
        <v>48.0</v>
      </c>
      <c r="E11" s="2" t="s">
        <v>45</v>
      </c>
      <c r="F11" s="2" t="s">
        <v>35</v>
      </c>
      <c r="G11" s="2" t="s">
        <v>103</v>
      </c>
      <c r="H11" s="2" t="s">
        <v>104</v>
      </c>
      <c r="I11" s="2" t="s">
        <v>105</v>
      </c>
      <c r="J11" s="3">
        <v>45282.0</v>
      </c>
      <c r="K11" s="2" t="s">
        <v>106</v>
      </c>
      <c r="L11" s="2" t="s">
        <v>107</v>
      </c>
      <c r="M11" s="2">
        <v>48.45</v>
      </c>
      <c r="N11" s="2">
        <v>1.0</v>
      </c>
      <c r="O11" s="2" t="s">
        <v>51</v>
      </c>
      <c r="P11" s="2">
        <v>7.0</v>
      </c>
      <c r="Q11" s="2">
        <v>59.0</v>
      </c>
      <c r="R11" s="3">
        <v>45287.0</v>
      </c>
      <c r="S11" s="2" t="s">
        <v>108</v>
      </c>
    </row>
    <row r="12" ht="14.25" customHeight="1">
      <c r="A12" s="2" t="s">
        <v>42</v>
      </c>
      <c r="B12" s="2" t="s">
        <v>43</v>
      </c>
      <c r="C12" s="2" t="s">
        <v>44</v>
      </c>
      <c r="D12" s="2">
        <v>60.0</v>
      </c>
      <c r="E12" s="2" t="s">
        <v>45</v>
      </c>
      <c r="F12" s="2" t="s">
        <v>23</v>
      </c>
      <c r="G12" s="2" t="s">
        <v>46</v>
      </c>
      <c r="H12" s="2" t="s">
        <v>47</v>
      </c>
      <c r="I12" s="2" t="s">
        <v>109</v>
      </c>
      <c r="J12" s="3">
        <v>45588.0</v>
      </c>
      <c r="K12" s="2" t="s">
        <v>110</v>
      </c>
      <c r="L12" s="2" t="s">
        <v>88</v>
      </c>
      <c r="M12" s="2">
        <v>363.64</v>
      </c>
      <c r="N12" s="2">
        <v>4.0</v>
      </c>
      <c r="O12" s="2" t="s">
        <v>56</v>
      </c>
      <c r="P12" s="2">
        <v>2.0</v>
      </c>
      <c r="Q12" s="2">
        <v>35.0</v>
      </c>
      <c r="R12" s="3">
        <v>45590.0</v>
      </c>
      <c r="S12" s="2" t="s">
        <v>111</v>
      </c>
    </row>
    <row r="13" ht="14.25" customHeight="1">
      <c r="A13" s="2" t="s">
        <v>112</v>
      </c>
      <c r="B13" s="2" t="s">
        <v>113</v>
      </c>
      <c r="C13" s="2" t="s">
        <v>114</v>
      </c>
      <c r="D13" s="2">
        <v>20.0</v>
      </c>
      <c r="E13" s="2" t="s">
        <v>22</v>
      </c>
      <c r="F13" s="2" t="s">
        <v>83</v>
      </c>
      <c r="G13" s="2" t="s">
        <v>115</v>
      </c>
      <c r="H13" s="2" t="s">
        <v>116</v>
      </c>
      <c r="I13" s="2" t="s">
        <v>117</v>
      </c>
      <c r="J13" s="3">
        <v>45498.0</v>
      </c>
      <c r="K13" s="2" t="s">
        <v>118</v>
      </c>
      <c r="L13" s="2" t="s">
        <v>119</v>
      </c>
      <c r="M13" s="2">
        <v>257.06</v>
      </c>
      <c r="N13" s="2">
        <v>3.0</v>
      </c>
      <c r="O13" s="2" t="s">
        <v>56</v>
      </c>
      <c r="P13" s="2">
        <v>7.0</v>
      </c>
      <c r="Q13" s="2">
        <v>62.0</v>
      </c>
      <c r="R13" s="3">
        <v>45499.0</v>
      </c>
      <c r="S13" s="2" t="s">
        <v>120</v>
      </c>
    </row>
    <row r="14" ht="14.25" customHeight="1">
      <c r="A14" s="2" t="s">
        <v>121</v>
      </c>
      <c r="B14" s="2" t="s">
        <v>122</v>
      </c>
      <c r="C14" s="2" t="s">
        <v>123</v>
      </c>
      <c r="D14" s="2">
        <v>30.0</v>
      </c>
      <c r="E14" s="2" t="s">
        <v>34</v>
      </c>
      <c r="F14" s="2" t="s">
        <v>35</v>
      </c>
      <c r="G14" s="2" t="s">
        <v>124</v>
      </c>
      <c r="H14" s="2" t="s">
        <v>125</v>
      </c>
      <c r="I14" s="2" t="s">
        <v>126</v>
      </c>
      <c r="J14" s="3">
        <v>44997.0</v>
      </c>
      <c r="K14" s="2" t="s">
        <v>127</v>
      </c>
      <c r="L14" s="2" t="s">
        <v>128</v>
      </c>
      <c r="M14" s="2">
        <v>175.93</v>
      </c>
      <c r="N14" s="2">
        <v>4.0</v>
      </c>
      <c r="O14" s="2" t="s">
        <v>29</v>
      </c>
      <c r="P14" s="2">
        <v>3.0</v>
      </c>
      <c r="Q14" s="2">
        <v>65.0</v>
      </c>
      <c r="R14" s="3">
        <v>44999.0</v>
      </c>
      <c r="S14" s="2" t="s">
        <v>129</v>
      </c>
    </row>
    <row r="15" ht="14.25" customHeight="1">
      <c r="A15" s="2" t="s">
        <v>130</v>
      </c>
      <c r="B15" s="2" t="s">
        <v>131</v>
      </c>
      <c r="C15" s="2" t="s">
        <v>132</v>
      </c>
      <c r="D15" s="2">
        <v>25.0</v>
      </c>
      <c r="E15" s="2" t="s">
        <v>45</v>
      </c>
      <c r="F15" s="2" t="s">
        <v>133</v>
      </c>
      <c r="G15" s="2" t="s">
        <v>134</v>
      </c>
      <c r="H15" s="2" t="s">
        <v>135</v>
      </c>
      <c r="I15" s="2" t="s">
        <v>136</v>
      </c>
      <c r="J15" s="3">
        <v>45267.0</v>
      </c>
      <c r="K15" s="2" t="s">
        <v>137</v>
      </c>
      <c r="L15" s="2" t="s">
        <v>138</v>
      </c>
      <c r="M15" s="2">
        <v>190.1</v>
      </c>
      <c r="N15" s="2">
        <v>1.0</v>
      </c>
      <c r="O15" s="2" t="s">
        <v>56</v>
      </c>
      <c r="P15" s="2">
        <v>1.0</v>
      </c>
      <c r="Q15" s="2">
        <v>70.0</v>
      </c>
      <c r="R15" s="3">
        <v>45270.0</v>
      </c>
      <c r="S15" s="2" t="s">
        <v>139</v>
      </c>
    </row>
    <row r="16" ht="14.25" customHeight="1">
      <c r="A16" s="2" t="s">
        <v>140</v>
      </c>
      <c r="B16" s="2" t="s">
        <v>141</v>
      </c>
      <c r="C16" s="2" t="s">
        <v>142</v>
      </c>
      <c r="D16" s="2">
        <v>44.0</v>
      </c>
      <c r="E16" s="2" t="s">
        <v>34</v>
      </c>
      <c r="F16" s="2" t="s">
        <v>83</v>
      </c>
      <c r="G16" s="2" t="s">
        <v>143</v>
      </c>
      <c r="H16" s="2" t="s">
        <v>144</v>
      </c>
      <c r="I16" s="2" t="s">
        <v>145</v>
      </c>
      <c r="J16" s="3">
        <v>45377.0</v>
      </c>
      <c r="K16" s="2" t="s">
        <v>146</v>
      </c>
      <c r="L16" s="2" t="s">
        <v>147</v>
      </c>
      <c r="M16" s="2">
        <v>220.27</v>
      </c>
      <c r="N16" s="2">
        <v>2.0</v>
      </c>
      <c r="O16" s="2" t="s">
        <v>56</v>
      </c>
      <c r="P16" s="2">
        <v>3.0</v>
      </c>
      <c r="Q16" s="2">
        <v>39.0</v>
      </c>
      <c r="R16" s="3">
        <v>45382.0</v>
      </c>
      <c r="S16" s="2" t="s">
        <v>148</v>
      </c>
    </row>
    <row r="17" ht="14.25" customHeight="1">
      <c r="A17" s="2" t="s">
        <v>149</v>
      </c>
      <c r="B17" s="2" t="s">
        <v>150</v>
      </c>
      <c r="C17" s="2" t="s">
        <v>151</v>
      </c>
      <c r="D17" s="2">
        <v>24.0</v>
      </c>
      <c r="E17" s="2" t="s">
        <v>22</v>
      </c>
      <c r="F17" s="2" t="s">
        <v>152</v>
      </c>
      <c r="G17" s="2" t="s">
        <v>153</v>
      </c>
      <c r="H17" s="2" t="s">
        <v>154</v>
      </c>
      <c r="I17" s="2" t="s">
        <v>155</v>
      </c>
      <c r="J17" s="3">
        <v>45079.0</v>
      </c>
      <c r="K17" s="2" t="s">
        <v>156</v>
      </c>
      <c r="L17" s="2" t="s">
        <v>74</v>
      </c>
      <c r="M17" s="2">
        <v>330.11</v>
      </c>
      <c r="N17" s="2">
        <v>4.0</v>
      </c>
      <c r="O17" s="2" t="s">
        <v>56</v>
      </c>
      <c r="P17" s="2">
        <v>1.0</v>
      </c>
      <c r="Q17" s="2">
        <v>58.0</v>
      </c>
      <c r="R17" s="3">
        <v>45080.0</v>
      </c>
      <c r="S17" s="2" t="s">
        <v>157</v>
      </c>
    </row>
    <row r="18" ht="14.25" customHeight="1">
      <c r="A18" s="2" t="s">
        <v>158</v>
      </c>
      <c r="B18" s="2" t="s">
        <v>159</v>
      </c>
      <c r="C18" s="2" t="s">
        <v>160</v>
      </c>
      <c r="D18" s="2">
        <v>46.0</v>
      </c>
      <c r="E18" s="2" t="s">
        <v>22</v>
      </c>
      <c r="F18" s="2" t="s">
        <v>161</v>
      </c>
      <c r="G18" s="2" t="s">
        <v>162</v>
      </c>
      <c r="H18" s="2" t="s">
        <v>163</v>
      </c>
      <c r="I18" s="2" t="s">
        <v>164</v>
      </c>
      <c r="J18" s="3">
        <v>44966.0</v>
      </c>
      <c r="K18" s="2" t="s">
        <v>165</v>
      </c>
      <c r="L18" s="2" t="s">
        <v>166</v>
      </c>
      <c r="M18" s="2">
        <v>272.51</v>
      </c>
      <c r="N18" s="2">
        <v>4.0</v>
      </c>
      <c r="O18" s="2" t="s">
        <v>89</v>
      </c>
      <c r="P18" s="2">
        <v>5.0</v>
      </c>
      <c r="Q18" s="2">
        <v>40.0</v>
      </c>
      <c r="R18" s="3">
        <v>44970.0</v>
      </c>
      <c r="S18" s="2" t="s">
        <v>167</v>
      </c>
    </row>
    <row r="19" ht="14.25" customHeight="1">
      <c r="A19" s="2" t="s">
        <v>168</v>
      </c>
      <c r="B19" s="2" t="s">
        <v>169</v>
      </c>
      <c r="C19" s="2" t="s">
        <v>170</v>
      </c>
      <c r="D19" s="2">
        <v>36.0</v>
      </c>
      <c r="E19" s="2" t="s">
        <v>45</v>
      </c>
      <c r="F19" s="2" t="s">
        <v>133</v>
      </c>
      <c r="G19" s="2" t="s">
        <v>171</v>
      </c>
      <c r="H19" s="2" t="s">
        <v>172</v>
      </c>
      <c r="I19" s="2" t="s">
        <v>173</v>
      </c>
      <c r="J19" s="3">
        <v>45542.0</v>
      </c>
      <c r="K19" s="2" t="s">
        <v>174</v>
      </c>
      <c r="L19" s="2" t="s">
        <v>175</v>
      </c>
      <c r="M19" s="2">
        <v>104.18</v>
      </c>
      <c r="N19" s="2">
        <v>2.0</v>
      </c>
      <c r="O19" s="2" t="s">
        <v>56</v>
      </c>
      <c r="P19" s="2">
        <v>4.0</v>
      </c>
      <c r="Q19" s="2">
        <v>44.0</v>
      </c>
      <c r="R19" s="3">
        <v>45545.0</v>
      </c>
      <c r="S19" s="2" t="s">
        <v>176</v>
      </c>
    </row>
    <row r="20" ht="14.25" customHeight="1">
      <c r="A20" s="2" t="s">
        <v>177</v>
      </c>
      <c r="B20" s="2" t="s">
        <v>178</v>
      </c>
      <c r="C20" s="2" t="s">
        <v>179</v>
      </c>
      <c r="D20" s="2">
        <v>42.0</v>
      </c>
      <c r="E20" s="2" t="s">
        <v>34</v>
      </c>
      <c r="F20" s="2" t="s">
        <v>161</v>
      </c>
      <c r="G20" s="2" t="s">
        <v>180</v>
      </c>
      <c r="H20" s="2" t="s">
        <v>181</v>
      </c>
      <c r="I20" s="2" t="s">
        <v>182</v>
      </c>
      <c r="J20" s="3">
        <v>45665.0</v>
      </c>
      <c r="K20" s="2" t="s">
        <v>183</v>
      </c>
      <c r="L20" s="2" t="s">
        <v>107</v>
      </c>
      <c r="M20" s="2">
        <v>48.45</v>
      </c>
      <c r="N20" s="2">
        <v>4.0</v>
      </c>
      <c r="O20" s="2" t="s">
        <v>89</v>
      </c>
      <c r="P20" s="2">
        <v>1.0</v>
      </c>
      <c r="Q20" s="2">
        <v>70.0</v>
      </c>
      <c r="R20" s="3">
        <v>45670.0</v>
      </c>
      <c r="S20" s="2" t="s">
        <v>184</v>
      </c>
    </row>
    <row r="21" ht="14.25" customHeight="1">
      <c r="A21" s="2" t="s">
        <v>185</v>
      </c>
      <c r="B21" s="2" t="s">
        <v>186</v>
      </c>
      <c r="C21" s="2" t="s">
        <v>187</v>
      </c>
      <c r="D21" s="2">
        <v>34.0</v>
      </c>
      <c r="E21" s="2" t="s">
        <v>22</v>
      </c>
      <c r="F21" s="2" t="s">
        <v>83</v>
      </c>
      <c r="G21" s="2" t="s">
        <v>188</v>
      </c>
      <c r="H21" s="2" t="s">
        <v>189</v>
      </c>
      <c r="I21" s="2" t="s">
        <v>190</v>
      </c>
      <c r="J21" s="3">
        <v>45556.0</v>
      </c>
      <c r="K21" s="2" t="s">
        <v>191</v>
      </c>
      <c r="L21" s="2" t="s">
        <v>192</v>
      </c>
      <c r="M21" s="2">
        <v>20.7</v>
      </c>
      <c r="N21" s="2">
        <v>5.0</v>
      </c>
      <c r="O21" s="2" t="s">
        <v>56</v>
      </c>
      <c r="P21" s="2">
        <v>7.0</v>
      </c>
      <c r="Q21" s="2">
        <v>38.0</v>
      </c>
      <c r="R21" s="3">
        <v>45561.0</v>
      </c>
      <c r="S21" s="2" t="s">
        <v>193</v>
      </c>
    </row>
    <row r="22" ht="14.25" customHeight="1">
      <c r="A22" s="2" t="s">
        <v>194</v>
      </c>
      <c r="B22" s="2" t="s">
        <v>195</v>
      </c>
      <c r="C22" s="2" t="s">
        <v>196</v>
      </c>
      <c r="D22" s="2">
        <v>23.0</v>
      </c>
      <c r="E22" s="2" t="s">
        <v>22</v>
      </c>
      <c r="F22" s="2" t="s">
        <v>83</v>
      </c>
      <c r="G22" s="2" t="s">
        <v>197</v>
      </c>
      <c r="H22" s="2" t="s">
        <v>198</v>
      </c>
      <c r="I22" s="2" t="s">
        <v>199</v>
      </c>
      <c r="J22" s="3">
        <v>45520.0</v>
      </c>
      <c r="K22" s="2" t="s">
        <v>200</v>
      </c>
      <c r="L22" s="2" t="s">
        <v>28</v>
      </c>
      <c r="M22" s="2">
        <v>308.88</v>
      </c>
      <c r="N22" s="2">
        <v>3.0</v>
      </c>
      <c r="O22" s="2" t="s">
        <v>89</v>
      </c>
      <c r="P22" s="2">
        <v>7.0</v>
      </c>
      <c r="Q22" s="2">
        <v>43.0</v>
      </c>
      <c r="R22" s="3">
        <v>45521.0</v>
      </c>
      <c r="S22" s="2" t="s">
        <v>201</v>
      </c>
    </row>
    <row r="23" ht="14.25" customHeight="1">
      <c r="A23" s="2" t="s">
        <v>202</v>
      </c>
      <c r="B23" s="2" t="s">
        <v>203</v>
      </c>
      <c r="C23" s="2" t="s">
        <v>204</v>
      </c>
      <c r="D23" s="2">
        <v>39.0</v>
      </c>
      <c r="E23" s="2" t="s">
        <v>34</v>
      </c>
      <c r="F23" s="2" t="s">
        <v>152</v>
      </c>
      <c r="G23" s="2" t="s">
        <v>205</v>
      </c>
      <c r="H23" s="2" t="s">
        <v>206</v>
      </c>
      <c r="I23" s="2" t="s">
        <v>207</v>
      </c>
      <c r="J23" s="3">
        <v>45352.0</v>
      </c>
      <c r="K23" s="2" t="s">
        <v>208</v>
      </c>
      <c r="L23" s="2" t="s">
        <v>175</v>
      </c>
      <c r="M23" s="2">
        <v>104.18</v>
      </c>
      <c r="N23" s="2">
        <v>5.0</v>
      </c>
      <c r="O23" s="2" t="s">
        <v>29</v>
      </c>
      <c r="P23" s="2">
        <v>5.0</v>
      </c>
      <c r="Q23" s="2">
        <v>58.0</v>
      </c>
      <c r="R23" s="3">
        <v>45356.0</v>
      </c>
      <c r="S23" s="2" t="s">
        <v>209</v>
      </c>
    </row>
    <row r="24" ht="14.25" customHeight="1">
      <c r="A24" s="2" t="s">
        <v>210</v>
      </c>
      <c r="B24" s="2" t="s">
        <v>211</v>
      </c>
      <c r="C24" s="2" t="s">
        <v>212</v>
      </c>
      <c r="D24" s="2">
        <v>33.0</v>
      </c>
      <c r="E24" s="2" t="s">
        <v>45</v>
      </c>
      <c r="F24" s="2" t="s">
        <v>213</v>
      </c>
      <c r="G24" s="2" t="s">
        <v>214</v>
      </c>
      <c r="H24" s="2" t="s">
        <v>215</v>
      </c>
      <c r="I24" s="2" t="s">
        <v>216</v>
      </c>
      <c r="J24" s="3">
        <v>45125.0</v>
      </c>
      <c r="K24" s="2" t="s">
        <v>217</v>
      </c>
      <c r="L24" s="2" t="s">
        <v>218</v>
      </c>
      <c r="M24" s="2">
        <v>461.07</v>
      </c>
      <c r="N24" s="2">
        <v>1.0</v>
      </c>
      <c r="O24" s="2" t="s">
        <v>29</v>
      </c>
      <c r="P24" s="2">
        <v>1.0</v>
      </c>
      <c r="Q24" s="2">
        <v>56.0</v>
      </c>
      <c r="R24" s="3">
        <v>45126.0</v>
      </c>
      <c r="S24" s="2" t="s">
        <v>219</v>
      </c>
    </row>
    <row r="25" ht="14.25" customHeight="1">
      <c r="A25" s="2" t="s">
        <v>220</v>
      </c>
      <c r="B25" s="2" t="s">
        <v>221</v>
      </c>
      <c r="C25" s="2" t="s">
        <v>222</v>
      </c>
      <c r="D25" s="2">
        <v>64.0</v>
      </c>
      <c r="E25" s="2" t="s">
        <v>34</v>
      </c>
      <c r="F25" s="2" t="s">
        <v>35</v>
      </c>
      <c r="G25" s="2" t="s">
        <v>223</v>
      </c>
      <c r="H25" s="2" t="s">
        <v>224</v>
      </c>
      <c r="I25" s="2" t="s">
        <v>225</v>
      </c>
      <c r="J25" s="3">
        <v>45194.0</v>
      </c>
      <c r="K25" s="2" t="s">
        <v>226</v>
      </c>
      <c r="L25" s="2" t="s">
        <v>227</v>
      </c>
      <c r="M25" s="2">
        <v>132.97</v>
      </c>
      <c r="N25" s="2">
        <v>1.0</v>
      </c>
      <c r="O25" s="2" t="s">
        <v>51</v>
      </c>
      <c r="P25" s="2">
        <v>4.0</v>
      </c>
      <c r="Q25" s="2">
        <v>55.0</v>
      </c>
      <c r="R25" s="3">
        <v>45198.0</v>
      </c>
      <c r="S25" s="2" t="s">
        <v>228</v>
      </c>
    </row>
    <row r="26" ht="14.25" customHeight="1">
      <c r="A26" s="2" t="s">
        <v>229</v>
      </c>
      <c r="B26" s="2" t="s">
        <v>59</v>
      </c>
      <c r="C26" s="2" t="s">
        <v>230</v>
      </c>
      <c r="D26" s="2">
        <v>52.0</v>
      </c>
      <c r="E26" s="2" t="s">
        <v>45</v>
      </c>
      <c r="F26" s="2" t="s">
        <v>35</v>
      </c>
      <c r="G26" s="2" t="s">
        <v>231</v>
      </c>
      <c r="H26" s="2" t="s">
        <v>232</v>
      </c>
      <c r="I26" s="2" t="s">
        <v>233</v>
      </c>
      <c r="J26" s="3">
        <v>45146.0</v>
      </c>
      <c r="K26" s="2" t="s">
        <v>234</v>
      </c>
      <c r="L26" s="2" t="s">
        <v>235</v>
      </c>
      <c r="M26" s="2">
        <v>126.19</v>
      </c>
      <c r="N26" s="2">
        <v>2.0</v>
      </c>
      <c r="O26" s="2" t="s">
        <v>56</v>
      </c>
      <c r="P26" s="2">
        <v>3.0</v>
      </c>
      <c r="Q26" s="2">
        <v>63.0</v>
      </c>
      <c r="R26" s="3">
        <v>45150.0</v>
      </c>
      <c r="S26" s="2" t="s">
        <v>236</v>
      </c>
    </row>
    <row r="27" ht="14.25" customHeight="1">
      <c r="A27" s="2" t="s">
        <v>229</v>
      </c>
      <c r="B27" s="2" t="s">
        <v>59</v>
      </c>
      <c r="C27" s="2" t="s">
        <v>230</v>
      </c>
      <c r="D27" s="2">
        <v>52.0</v>
      </c>
      <c r="E27" s="2" t="s">
        <v>45</v>
      </c>
      <c r="F27" s="2" t="s">
        <v>35</v>
      </c>
      <c r="G27" s="2" t="s">
        <v>231</v>
      </c>
      <c r="H27" s="2" t="s">
        <v>232</v>
      </c>
      <c r="I27" s="2" t="s">
        <v>237</v>
      </c>
      <c r="J27" s="3">
        <v>45138.0</v>
      </c>
      <c r="K27" s="2" t="s">
        <v>238</v>
      </c>
      <c r="L27" s="2" t="s">
        <v>239</v>
      </c>
      <c r="M27" s="2">
        <v>282.63</v>
      </c>
      <c r="N27" s="2">
        <v>3.0</v>
      </c>
      <c r="O27" s="2" t="s">
        <v>56</v>
      </c>
      <c r="P27" s="2">
        <v>2.0</v>
      </c>
      <c r="Q27" s="2">
        <v>40.0</v>
      </c>
      <c r="R27" s="3">
        <v>45142.0</v>
      </c>
      <c r="S27" s="2" t="s">
        <v>240</v>
      </c>
    </row>
    <row r="28" ht="14.25" customHeight="1">
      <c r="A28" s="2" t="s">
        <v>112</v>
      </c>
      <c r="B28" s="2" t="s">
        <v>113</v>
      </c>
      <c r="C28" s="2" t="s">
        <v>114</v>
      </c>
      <c r="D28" s="2">
        <v>20.0</v>
      </c>
      <c r="E28" s="2" t="s">
        <v>22</v>
      </c>
      <c r="F28" s="2" t="s">
        <v>83</v>
      </c>
      <c r="G28" s="2" t="s">
        <v>115</v>
      </c>
      <c r="H28" s="2" t="s">
        <v>116</v>
      </c>
      <c r="I28" s="2" t="s">
        <v>241</v>
      </c>
      <c r="J28" s="3">
        <v>45066.0</v>
      </c>
      <c r="K28" s="2" t="s">
        <v>242</v>
      </c>
      <c r="L28" s="2" t="s">
        <v>243</v>
      </c>
      <c r="M28" s="2">
        <v>128.14</v>
      </c>
      <c r="N28" s="2">
        <v>3.0</v>
      </c>
      <c r="O28" s="2" t="s">
        <v>29</v>
      </c>
      <c r="P28" s="2">
        <v>4.0</v>
      </c>
      <c r="Q28" s="2">
        <v>70.0</v>
      </c>
      <c r="R28" s="3">
        <v>45069.0</v>
      </c>
      <c r="S28" s="2" t="s">
        <v>244</v>
      </c>
    </row>
    <row r="29" ht="14.25" customHeight="1">
      <c r="A29" s="2" t="s">
        <v>112</v>
      </c>
      <c r="B29" s="2" t="s">
        <v>113</v>
      </c>
      <c r="C29" s="2" t="s">
        <v>114</v>
      </c>
      <c r="D29" s="2">
        <v>20.0</v>
      </c>
      <c r="E29" s="2" t="s">
        <v>22</v>
      </c>
      <c r="F29" s="2" t="s">
        <v>83</v>
      </c>
      <c r="G29" s="2" t="s">
        <v>115</v>
      </c>
      <c r="H29" s="2" t="s">
        <v>116</v>
      </c>
      <c r="I29" s="2" t="s">
        <v>245</v>
      </c>
      <c r="J29" s="3">
        <v>45185.0</v>
      </c>
      <c r="K29" s="2" t="s">
        <v>246</v>
      </c>
      <c r="L29" s="2" t="s">
        <v>88</v>
      </c>
      <c r="M29" s="2">
        <v>363.64</v>
      </c>
      <c r="N29" s="2">
        <v>3.0</v>
      </c>
      <c r="O29" s="2" t="s">
        <v>78</v>
      </c>
      <c r="P29" s="2">
        <v>5.0</v>
      </c>
      <c r="Q29" s="2">
        <v>39.0</v>
      </c>
      <c r="R29" s="3">
        <v>45189.0</v>
      </c>
      <c r="S29" s="2" t="s">
        <v>247</v>
      </c>
    </row>
    <row r="30" ht="14.25" customHeight="1">
      <c r="A30" s="2" t="s">
        <v>248</v>
      </c>
      <c r="B30" s="2" t="s">
        <v>249</v>
      </c>
      <c r="C30" s="2" t="s">
        <v>250</v>
      </c>
      <c r="D30" s="2">
        <v>60.0</v>
      </c>
      <c r="E30" s="2" t="s">
        <v>45</v>
      </c>
      <c r="F30" s="2" t="s">
        <v>23</v>
      </c>
      <c r="G30" s="2" t="s">
        <v>251</v>
      </c>
      <c r="H30" s="2" t="s">
        <v>252</v>
      </c>
      <c r="I30" s="2" t="s">
        <v>253</v>
      </c>
      <c r="J30" s="3">
        <v>44987.0</v>
      </c>
      <c r="K30" s="2" t="s">
        <v>254</v>
      </c>
      <c r="L30" s="2" t="s">
        <v>88</v>
      </c>
      <c r="M30" s="2">
        <v>363.64</v>
      </c>
      <c r="N30" s="2">
        <v>2.0</v>
      </c>
      <c r="O30" s="2" t="s">
        <v>51</v>
      </c>
      <c r="P30" s="2">
        <v>1.0</v>
      </c>
      <c r="Q30" s="2">
        <v>43.0</v>
      </c>
      <c r="R30" s="3">
        <v>44988.0</v>
      </c>
      <c r="S30" s="2" t="s">
        <v>255</v>
      </c>
    </row>
    <row r="31" ht="14.25" customHeight="1">
      <c r="A31" s="2" t="s">
        <v>256</v>
      </c>
      <c r="B31" s="2" t="s">
        <v>257</v>
      </c>
      <c r="C31" s="2" t="s">
        <v>258</v>
      </c>
      <c r="D31" s="2">
        <v>54.0</v>
      </c>
      <c r="E31" s="2" t="s">
        <v>34</v>
      </c>
      <c r="F31" s="2" t="s">
        <v>23</v>
      </c>
      <c r="G31" s="2" t="s">
        <v>259</v>
      </c>
      <c r="H31" s="2" t="s">
        <v>260</v>
      </c>
      <c r="I31" s="2" t="s">
        <v>261</v>
      </c>
      <c r="J31" s="3">
        <v>45224.0</v>
      </c>
      <c r="K31" s="2" t="s">
        <v>262</v>
      </c>
      <c r="L31" s="2" t="s">
        <v>263</v>
      </c>
      <c r="M31" s="2">
        <v>62.42</v>
      </c>
      <c r="N31" s="2">
        <v>1.0</v>
      </c>
      <c r="O31" s="2" t="s">
        <v>56</v>
      </c>
      <c r="P31" s="2">
        <v>3.0</v>
      </c>
      <c r="Q31" s="2">
        <v>58.0</v>
      </c>
      <c r="R31" s="3">
        <v>45229.0</v>
      </c>
      <c r="S31" s="2" t="s">
        <v>264</v>
      </c>
    </row>
    <row r="32" ht="14.25" customHeight="1">
      <c r="A32" s="2" t="s">
        <v>265</v>
      </c>
      <c r="B32" s="2" t="s">
        <v>266</v>
      </c>
      <c r="C32" s="2" t="s">
        <v>267</v>
      </c>
      <c r="D32" s="2">
        <v>44.0</v>
      </c>
      <c r="E32" s="2" t="s">
        <v>22</v>
      </c>
      <c r="F32" s="2" t="s">
        <v>213</v>
      </c>
      <c r="G32" s="2" t="s">
        <v>268</v>
      </c>
      <c r="H32" s="2" t="s">
        <v>269</v>
      </c>
      <c r="I32" s="2" t="s">
        <v>270</v>
      </c>
      <c r="J32" s="3">
        <v>45389.0</v>
      </c>
      <c r="K32" s="2" t="s">
        <v>271</v>
      </c>
      <c r="L32" s="2" t="s">
        <v>227</v>
      </c>
      <c r="M32" s="2">
        <v>132.97</v>
      </c>
      <c r="N32" s="2">
        <v>1.0</v>
      </c>
      <c r="O32" s="2" t="s">
        <v>56</v>
      </c>
      <c r="P32" s="2">
        <v>6.0</v>
      </c>
      <c r="Q32" s="2">
        <v>57.0</v>
      </c>
      <c r="R32" s="3">
        <v>45396.0</v>
      </c>
      <c r="S32" s="2" t="s">
        <v>272</v>
      </c>
    </row>
    <row r="33" ht="14.25" customHeight="1">
      <c r="A33" s="2" t="s">
        <v>273</v>
      </c>
      <c r="B33" s="2" t="s">
        <v>274</v>
      </c>
      <c r="C33" s="2" t="s">
        <v>275</v>
      </c>
      <c r="D33" s="2">
        <v>64.0</v>
      </c>
      <c r="E33" s="2" t="s">
        <v>45</v>
      </c>
      <c r="F33" s="2" t="s">
        <v>23</v>
      </c>
      <c r="G33" s="2" t="s">
        <v>276</v>
      </c>
      <c r="H33" s="2" t="s">
        <v>277</v>
      </c>
      <c r="I33" s="2" t="s">
        <v>278</v>
      </c>
      <c r="J33" s="3">
        <v>45039.0</v>
      </c>
      <c r="K33" s="2" t="s">
        <v>279</v>
      </c>
      <c r="L33" s="2" t="s">
        <v>280</v>
      </c>
      <c r="M33" s="2">
        <v>157.64</v>
      </c>
      <c r="N33" s="2">
        <v>4.0</v>
      </c>
      <c r="O33" s="2" t="s">
        <v>78</v>
      </c>
      <c r="P33" s="2">
        <v>7.0</v>
      </c>
      <c r="Q33" s="2">
        <v>59.0</v>
      </c>
      <c r="R33" s="3">
        <v>45046.0</v>
      </c>
      <c r="S33" s="2" t="s">
        <v>281</v>
      </c>
    </row>
    <row r="34" ht="14.25" customHeight="1">
      <c r="A34" s="2" t="s">
        <v>265</v>
      </c>
      <c r="B34" s="2" t="s">
        <v>266</v>
      </c>
      <c r="C34" s="2" t="s">
        <v>267</v>
      </c>
      <c r="D34" s="2">
        <v>44.0</v>
      </c>
      <c r="E34" s="2" t="s">
        <v>22</v>
      </c>
      <c r="F34" s="2" t="s">
        <v>213</v>
      </c>
      <c r="G34" s="2" t="s">
        <v>268</v>
      </c>
      <c r="H34" s="2" t="s">
        <v>269</v>
      </c>
      <c r="I34" s="2" t="s">
        <v>282</v>
      </c>
      <c r="J34" s="3">
        <v>45548.0</v>
      </c>
      <c r="K34" s="2" t="s">
        <v>283</v>
      </c>
      <c r="L34" s="2" t="s">
        <v>284</v>
      </c>
      <c r="M34" s="2">
        <v>158.53</v>
      </c>
      <c r="N34" s="2">
        <v>5.0</v>
      </c>
      <c r="O34" s="2" t="s">
        <v>78</v>
      </c>
      <c r="P34" s="2">
        <v>3.0</v>
      </c>
      <c r="Q34" s="2">
        <v>42.0</v>
      </c>
      <c r="R34" s="3">
        <v>45553.0</v>
      </c>
      <c r="S34" s="2" t="s">
        <v>285</v>
      </c>
    </row>
    <row r="35" ht="14.25" customHeight="1">
      <c r="A35" s="2" t="s">
        <v>286</v>
      </c>
      <c r="B35" s="2" t="s">
        <v>287</v>
      </c>
      <c r="C35" s="2" t="s">
        <v>288</v>
      </c>
      <c r="D35" s="2">
        <v>48.0</v>
      </c>
      <c r="E35" s="2" t="s">
        <v>34</v>
      </c>
      <c r="F35" s="2" t="s">
        <v>83</v>
      </c>
      <c r="G35" s="2" t="s">
        <v>289</v>
      </c>
      <c r="H35" s="2" t="s">
        <v>290</v>
      </c>
      <c r="I35" s="2" t="s">
        <v>291</v>
      </c>
      <c r="J35" s="3">
        <v>45407.0</v>
      </c>
      <c r="K35" s="2" t="s">
        <v>292</v>
      </c>
      <c r="L35" s="2" t="s">
        <v>263</v>
      </c>
      <c r="M35" s="2">
        <v>62.42</v>
      </c>
      <c r="N35" s="2">
        <v>3.0</v>
      </c>
      <c r="O35" s="2" t="s">
        <v>29</v>
      </c>
      <c r="P35" s="2">
        <v>4.0</v>
      </c>
      <c r="Q35" s="2">
        <v>36.0</v>
      </c>
      <c r="R35" s="3">
        <v>45414.0</v>
      </c>
      <c r="S35" s="2" t="s">
        <v>293</v>
      </c>
    </row>
    <row r="36" ht="14.25" customHeight="1">
      <c r="A36" s="2" t="s">
        <v>294</v>
      </c>
      <c r="B36" s="2" t="s">
        <v>295</v>
      </c>
      <c r="C36" s="2" t="s">
        <v>296</v>
      </c>
      <c r="D36" s="2">
        <v>26.0</v>
      </c>
      <c r="E36" s="2" t="s">
        <v>45</v>
      </c>
      <c r="F36" s="2" t="s">
        <v>161</v>
      </c>
      <c r="G36" s="2" t="s">
        <v>297</v>
      </c>
      <c r="H36" s="2" t="s">
        <v>298</v>
      </c>
      <c r="I36" s="2" t="s">
        <v>299</v>
      </c>
      <c r="J36" s="3">
        <v>45168.0</v>
      </c>
      <c r="K36" s="2" t="s">
        <v>300</v>
      </c>
      <c r="L36" s="2" t="s">
        <v>301</v>
      </c>
      <c r="M36" s="2">
        <v>129.75</v>
      </c>
      <c r="N36" s="2">
        <v>1.0</v>
      </c>
      <c r="O36" s="2" t="s">
        <v>89</v>
      </c>
      <c r="P36" s="2">
        <v>5.0</v>
      </c>
      <c r="Q36" s="2">
        <v>70.0</v>
      </c>
      <c r="R36" s="3">
        <v>45172.0</v>
      </c>
      <c r="S36" s="2" t="s">
        <v>302</v>
      </c>
    </row>
    <row r="37" ht="14.25" customHeight="1">
      <c r="A37" s="2" t="s">
        <v>229</v>
      </c>
      <c r="B37" s="2" t="s">
        <v>59</v>
      </c>
      <c r="C37" s="2" t="s">
        <v>230</v>
      </c>
      <c r="D37" s="2">
        <v>52.0</v>
      </c>
      <c r="E37" s="2" t="s">
        <v>45</v>
      </c>
      <c r="F37" s="2" t="s">
        <v>35</v>
      </c>
      <c r="G37" s="2" t="s">
        <v>231</v>
      </c>
      <c r="H37" s="2" t="s">
        <v>232</v>
      </c>
      <c r="I37" s="2" t="s">
        <v>303</v>
      </c>
      <c r="J37" s="3">
        <v>45244.0</v>
      </c>
      <c r="K37" s="2" t="s">
        <v>304</v>
      </c>
      <c r="L37" s="2" t="s">
        <v>280</v>
      </c>
      <c r="M37" s="2">
        <v>157.64</v>
      </c>
      <c r="N37" s="2">
        <v>5.0</v>
      </c>
      <c r="O37" s="2" t="s">
        <v>29</v>
      </c>
      <c r="P37" s="2">
        <v>4.0</v>
      </c>
      <c r="Q37" s="2">
        <v>53.0</v>
      </c>
      <c r="R37" s="3">
        <v>45246.0</v>
      </c>
      <c r="S37" s="2" t="s">
        <v>305</v>
      </c>
    </row>
    <row r="38" ht="14.25" customHeight="1">
      <c r="A38" s="2" t="s">
        <v>58</v>
      </c>
      <c r="B38" s="2" t="s">
        <v>59</v>
      </c>
      <c r="C38" s="2" t="s">
        <v>60</v>
      </c>
      <c r="D38" s="2">
        <v>49.0</v>
      </c>
      <c r="E38" s="2" t="s">
        <v>45</v>
      </c>
      <c r="F38" s="2" t="s">
        <v>23</v>
      </c>
      <c r="G38" s="2" t="s">
        <v>61</v>
      </c>
      <c r="H38" s="2" t="s">
        <v>62</v>
      </c>
      <c r="I38" s="2" t="s">
        <v>306</v>
      </c>
      <c r="J38" s="3">
        <v>45242.0</v>
      </c>
      <c r="K38" s="2" t="s">
        <v>307</v>
      </c>
      <c r="L38" s="2" t="s">
        <v>192</v>
      </c>
      <c r="M38" s="2">
        <v>20.7</v>
      </c>
      <c r="N38" s="2">
        <v>5.0</v>
      </c>
      <c r="O38" s="2" t="s">
        <v>56</v>
      </c>
      <c r="P38" s="2">
        <v>2.0</v>
      </c>
      <c r="Q38" s="2">
        <v>64.0</v>
      </c>
      <c r="R38" s="3">
        <v>45248.0</v>
      </c>
      <c r="S38" s="2" t="s">
        <v>308</v>
      </c>
    </row>
    <row r="39" ht="14.25" customHeight="1">
      <c r="A39" s="2" t="s">
        <v>309</v>
      </c>
      <c r="B39" s="2" t="s">
        <v>310</v>
      </c>
      <c r="C39" s="2" t="s">
        <v>311</v>
      </c>
      <c r="D39" s="2">
        <v>45.0</v>
      </c>
      <c r="E39" s="2" t="s">
        <v>22</v>
      </c>
      <c r="F39" s="2" t="s">
        <v>35</v>
      </c>
      <c r="G39" s="2" t="s">
        <v>312</v>
      </c>
      <c r="H39" s="2" t="s">
        <v>313</v>
      </c>
      <c r="I39" s="2" t="s">
        <v>314</v>
      </c>
      <c r="J39" s="3">
        <v>45193.0</v>
      </c>
      <c r="K39" s="2" t="s">
        <v>315</v>
      </c>
      <c r="L39" s="2" t="s">
        <v>316</v>
      </c>
      <c r="M39" s="2">
        <v>481.48</v>
      </c>
      <c r="N39" s="2">
        <v>2.0</v>
      </c>
      <c r="O39" s="2" t="s">
        <v>51</v>
      </c>
      <c r="P39" s="2">
        <v>3.0</v>
      </c>
      <c r="Q39" s="2">
        <v>50.0</v>
      </c>
      <c r="R39" s="3">
        <v>45196.0</v>
      </c>
      <c r="S39" s="2" t="s">
        <v>317</v>
      </c>
    </row>
    <row r="40" ht="14.25" customHeight="1">
      <c r="A40" s="2" t="s">
        <v>318</v>
      </c>
      <c r="B40" s="2" t="s">
        <v>319</v>
      </c>
      <c r="C40" s="2" t="s">
        <v>320</v>
      </c>
      <c r="D40" s="2">
        <v>29.0</v>
      </c>
      <c r="E40" s="2" t="s">
        <v>45</v>
      </c>
      <c r="F40" s="2" t="s">
        <v>83</v>
      </c>
      <c r="G40" s="2" t="s">
        <v>321</v>
      </c>
      <c r="H40" s="2" t="s">
        <v>322</v>
      </c>
      <c r="I40" s="2" t="s">
        <v>323</v>
      </c>
      <c r="J40" s="3">
        <v>45656.0</v>
      </c>
      <c r="K40" s="2" t="s">
        <v>324</v>
      </c>
      <c r="L40" s="2" t="s">
        <v>55</v>
      </c>
      <c r="M40" s="2">
        <v>405.0</v>
      </c>
      <c r="N40" s="2">
        <v>1.0</v>
      </c>
      <c r="O40" s="2" t="s">
        <v>56</v>
      </c>
      <c r="P40" s="2">
        <v>7.0</v>
      </c>
      <c r="Q40" s="2">
        <v>36.0</v>
      </c>
      <c r="R40" s="3">
        <v>45661.0</v>
      </c>
      <c r="S40" s="2" t="s">
        <v>325</v>
      </c>
    </row>
    <row r="41" ht="14.25" customHeight="1">
      <c r="A41" s="2" t="s">
        <v>326</v>
      </c>
      <c r="B41" s="2" t="s">
        <v>327</v>
      </c>
      <c r="C41" s="2" t="s">
        <v>328</v>
      </c>
      <c r="D41" s="2">
        <v>23.0</v>
      </c>
      <c r="E41" s="2" t="s">
        <v>22</v>
      </c>
      <c r="F41" s="2" t="s">
        <v>23</v>
      </c>
      <c r="G41" s="2" t="s">
        <v>329</v>
      </c>
      <c r="H41" s="2" t="s">
        <v>330</v>
      </c>
      <c r="I41" s="2" t="s">
        <v>331</v>
      </c>
      <c r="J41" s="3">
        <v>45574.0</v>
      </c>
      <c r="K41" s="2" t="s">
        <v>332</v>
      </c>
      <c r="L41" s="2" t="s">
        <v>333</v>
      </c>
      <c r="M41" s="2">
        <v>77.84</v>
      </c>
      <c r="N41" s="2">
        <v>5.0</v>
      </c>
      <c r="O41" s="2" t="s">
        <v>56</v>
      </c>
      <c r="P41" s="2">
        <v>4.0</v>
      </c>
      <c r="Q41" s="2">
        <v>47.0</v>
      </c>
      <c r="R41" s="3">
        <v>45575.0</v>
      </c>
      <c r="S41" s="2" t="s">
        <v>334</v>
      </c>
    </row>
    <row r="42" ht="14.25" customHeight="1">
      <c r="A42" s="2" t="s">
        <v>58</v>
      </c>
      <c r="B42" s="2" t="s">
        <v>59</v>
      </c>
      <c r="C42" s="2" t="s">
        <v>60</v>
      </c>
      <c r="D42" s="2">
        <v>49.0</v>
      </c>
      <c r="E42" s="2" t="s">
        <v>45</v>
      </c>
      <c r="F42" s="2" t="s">
        <v>23</v>
      </c>
      <c r="G42" s="2" t="s">
        <v>61</v>
      </c>
      <c r="H42" s="2" t="s">
        <v>62</v>
      </c>
      <c r="I42" s="2" t="s">
        <v>335</v>
      </c>
      <c r="J42" s="3">
        <v>45557.0</v>
      </c>
      <c r="K42" s="2" t="s">
        <v>336</v>
      </c>
      <c r="L42" s="2" t="s">
        <v>337</v>
      </c>
      <c r="M42" s="2">
        <v>372.62</v>
      </c>
      <c r="N42" s="2">
        <v>3.0</v>
      </c>
      <c r="O42" s="2" t="s">
        <v>29</v>
      </c>
      <c r="P42" s="2">
        <v>3.0</v>
      </c>
      <c r="Q42" s="2">
        <v>59.0</v>
      </c>
      <c r="R42" s="3">
        <v>45564.0</v>
      </c>
      <c r="S42" s="2" t="s">
        <v>338</v>
      </c>
    </row>
    <row r="43" ht="14.25" customHeight="1">
      <c r="A43" s="2" t="s">
        <v>140</v>
      </c>
      <c r="B43" s="2" t="s">
        <v>141</v>
      </c>
      <c r="C43" s="2" t="s">
        <v>142</v>
      </c>
      <c r="D43" s="2">
        <v>44.0</v>
      </c>
      <c r="E43" s="2" t="s">
        <v>34</v>
      </c>
      <c r="F43" s="2" t="s">
        <v>83</v>
      </c>
      <c r="G43" s="2" t="s">
        <v>143</v>
      </c>
      <c r="H43" s="2" t="s">
        <v>144</v>
      </c>
      <c r="I43" s="2" t="s">
        <v>339</v>
      </c>
      <c r="J43" s="3">
        <v>45568.0</v>
      </c>
      <c r="K43" s="2" t="s">
        <v>340</v>
      </c>
      <c r="L43" s="2" t="s">
        <v>337</v>
      </c>
      <c r="M43" s="2">
        <v>372.62</v>
      </c>
      <c r="N43" s="2">
        <v>3.0</v>
      </c>
      <c r="O43" s="2" t="s">
        <v>29</v>
      </c>
      <c r="P43" s="2">
        <v>1.0</v>
      </c>
      <c r="Q43" s="2">
        <v>52.0</v>
      </c>
      <c r="R43" s="3">
        <v>45575.0</v>
      </c>
      <c r="S43" s="2" t="s">
        <v>341</v>
      </c>
    </row>
    <row r="44" ht="14.25" customHeight="1">
      <c r="A44" s="2" t="s">
        <v>342</v>
      </c>
      <c r="B44" s="2" t="s">
        <v>343</v>
      </c>
      <c r="C44" s="2" t="s">
        <v>344</v>
      </c>
      <c r="D44" s="2">
        <v>70.0</v>
      </c>
      <c r="E44" s="2" t="s">
        <v>22</v>
      </c>
      <c r="F44" s="2" t="s">
        <v>161</v>
      </c>
      <c r="G44" s="2" t="s">
        <v>345</v>
      </c>
      <c r="H44" s="2" t="s">
        <v>346</v>
      </c>
      <c r="I44" s="2" t="s">
        <v>347</v>
      </c>
      <c r="J44" s="3">
        <v>45151.0</v>
      </c>
      <c r="K44" s="2" t="s">
        <v>348</v>
      </c>
      <c r="L44" s="2" t="s">
        <v>349</v>
      </c>
      <c r="M44" s="2">
        <v>496.59</v>
      </c>
      <c r="N44" s="2">
        <v>3.0</v>
      </c>
      <c r="O44" s="2" t="s">
        <v>51</v>
      </c>
      <c r="P44" s="2">
        <v>4.0</v>
      </c>
      <c r="Q44" s="2">
        <v>49.0</v>
      </c>
      <c r="R44" s="3">
        <v>45152.0</v>
      </c>
      <c r="S44" s="2" t="s">
        <v>350</v>
      </c>
    </row>
    <row r="45" ht="14.25" customHeight="1">
      <c r="A45" s="2" t="s">
        <v>351</v>
      </c>
      <c r="B45" s="2" t="s">
        <v>352</v>
      </c>
      <c r="C45" s="2" t="s">
        <v>353</v>
      </c>
      <c r="D45" s="2">
        <v>32.0</v>
      </c>
      <c r="E45" s="2" t="s">
        <v>34</v>
      </c>
      <c r="F45" s="2" t="s">
        <v>161</v>
      </c>
      <c r="G45" s="2" t="s">
        <v>354</v>
      </c>
      <c r="H45" s="2" t="s">
        <v>355</v>
      </c>
      <c r="I45" s="2" t="s">
        <v>356</v>
      </c>
      <c r="J45" s="3">
        <v>45020.0</v>
      </c>
      <c r="K45" s="2" t="s">
        <v>357</v>
      </c>
      <c r="L45" s="2" t="s">
        <v>301</v>
      </c>
      <c r="M45" s="2">
        <v>129.75</v>
      </c>
      <c r="N45" s="2">
        <v>1.0</v>
      </c>
      <c r="O45" s="2" t="s">
        <v>89</v>
      </c>
      <c r="P45" s="2">
        <v>6.0</v>
      </c>
      <c r="Q45" s="2">
        <v>43.0</v>
      </c>
      <c r="R45" s="3">
        <v>45026.0</v>
      </c>
      <c r="S45" s="2" t="s">
        <v>358</v>
      </c>
    </row>
    <row r="46" ht="14.25" customHeight="1">
      <c r="A46" s="2" t="s">
        <v>359</v>
      </c>
      <c r="B46" s="2" t="s">
        <v>360</v>
      </c>
      <c r="C46" s="2" t="s">
        <v>361</v>
      </c>
      <c r="D46" s="2">
        <v>31.0</v>
      </c>
      <c r="E46" s="2" t="s">
        <v>45</v>
      </c>
      <c r="F46" s="2" t="s">
        <v>133</v>
      </c>
      <c r="G46" s="2" t="s">
        <v>362</v>
      </c>
      <c r="H46" s="2" t="s">
        <v>363</v>
      </c>
      <c r="I46" s="2" t="s">
        <v>364</v>
      </c>
      <c r="J46" s="3">
        <v>45336.0</v>
      </c>
      <c r="K46" s="2" t="s">
        <v>365</v>
      </c>
      <c r="L46" s="2" t="s">
        <v>138</v>
      </c>
      <c r="M46" s="2">
        <v>190.1</v>
      </c>
      <c r="N46" s="2">
        <v>5.0</v>
      </c>
      <c r="O46" s="2" t="s">
        <v>29</v>
      </c>
      <c r="P46" s="2">
        <v>5.0</v>
      </c>
      <c r="Q46" s="2">
        <v>35.0</v>
      </c>
      <c r="R46" s="3">
        <v>45341.0</v>
      </c>
      <c r="S46" s="2" t="s">
        <v>366</v>
      </c>
    </row>
    <row r="47" ht="14.25" customHeight="1">
      <c r="A47" s="2" t="s">
        <v>367</v>
      </c>
      <c r="B47" s="2" t="s">
        <v>33</v>
      </c>
      <c r="C47" s="2" t="s">
        <v>368</v>
      </c>
      <c r="D47" s="2">
        <v>50.0</v>
      </c>
      <c r="E47" s="2" t="s">
        <v>45</v>
      </c>
      <c r="F47" s="2" t="s">
        <v>133</v>
      </c>
      <c r="G47" s="2" t="s">
        <v>369</v>
      </c>
      <c r="H47" s="2" t="s">
        <v>370</v>
      </c>
      <c r="I47" s="2" t="s">
        <v>371</v>
      </c>
      <c r="J47" s="3">
        <v>44987.0</v>
      </c>
      <c r="K47" s="2" t="s">
        <v>372</v>
      </c>
      <c r="L47" s="2" t="s">
        <v>138</v>
      </c>
      <c r="M47" s="2">
        <v>190.1</v>
      </c>
      <c r="N47" s="2">
        <v>1.0</v>
      </c>
      <c r="O47" s="2" t="s">
        <v>78</v>
      </c>
      <c r="P47" s="2">
        <v>4.0</v>
      </c>
      <c r="Q47" s="2">
        <v>63.0</v>
      </c>
      <c r="R47" s="3">
        <v>44992.0</v>
      </c>
      <c r="S47" s="2" t="s">
        <v>373</v>
      </c>
    </row>
    <row r="48" ht="14.25" customHeight="1">
      <c r="A48" s="2" t="s">
        <v>294</v>
      </c>
      <c r="B48" s="2" t="s">
        <v>295</v>
      </c>
      <c r="C48" s="2" t="s">
        <v>296</v>
      </c>
      <c r="D48" s="2">
        <v>26.0</v>
      </c>
      <c r="E48" s="2" t="s">
        <v>45</v>
      </c>
      <c r="F48" s="2" t="s">
        <v>161</v>
      </c>
      <c r="G48" s="2" t="s">
        <v>297</v>
      </c>
      <c r="H48" s="2" t="s">
        <v>298</v>
      </c>
      <c r="I48" s="2" t="s">
        <v>374</v>
      </c>
      <c r="J48" s="3">
        <v>45313.0</v>
      </c>
      <c r="K48" s="2" t="s">
        <v>375</v>
      </c>
      <c r="L48" s="2" t="s">
        <v>376</v>
      </c>
      <c r="M48" s="2">
        <v>431.44</v>
      </c>
      <c r="N48" s="2">
        <v>5.0</v>
      </c>
      <c r="O48" s="2" t="s">
        <v>29</v>
      </c>
      <c r="P48" s="2">
        <v>2.0</v>
      </c>
      <c r="Q48" s="2">
        <v>57.0</v>
      </c>
      <c r="R48" s="3">
        <v>45318.0</v>
      </c>
      <c r="S48" s="2" t="s">
        <v>377</v>
      </c>
    </row>
    <row r="49" ht="14.25" customHeight="1">
      <c r="A49" s="2" t="s">
        <v>378</v>
      </c>
      <c r="B49" s="2" t="s">
        <v>379</v>
      </c>
      <c r="C49" s="2" t="s">
        <v>380</v>
      </c>
      <c r="D49" s="2">
        <v>47.0</v>
      </c>
      <c r="E49" s="2" t="s">
        <v>34</v>
      </c>
      <c r="F49" s="2" t="s">
        <v>83</v>
      </c>
      <c r="G49" s="2" t="s">
        <v>381</v>
      </c>
      <c r="H49" s="2" t="s">
        <v>382</v>
      </c>
      <c r="I49" s="2" t="s">
        <v>383</v>
      </c>
      <c r="J49" s="3">
        <v>45054.0</v>
      </c>
      <c r="K49" s="2" t="s">
        <v>384</v>
      </c>
      <c r="L49" s="2" t="s">
        <v>280</v>
      </c>
      <c r="M49" s="2">
        <v>157.64</v>
      </c>
      <c r="N49" s="2">
        <v>4.0</v>
      </c>
      <c r="O49" s="2" t="s">
        <v>29</v>
      </c>
      <c r="P49" s="2">
        <v>4.0</v>
      </c>
      <c r="Q49" s="2">
        <v>44.0</v>
      </c>
      <c r="R49" s="3">
        <v>45061.0</v>
      </c>
      <c r="S49" s="2" t="s">
        <v>385</v>
      </c>
    </row>
    <row r="50" ht="14.25" customHeight="1">
      <c r="A50" s="2" t="s">
        <v>386</v>
      </c>
      <c r="B50" s="2" t="s">
        <v>387</v>
      </c>
      <c r="C50" s="2" t="s">
        <v>388</v>
      </c>
      <c r="D50" s="2">
        <v>40.0</v>
      </c>
      <c r="E50" s="2" t="s">
        <v>45</v>
      </c>
      <c r="F50" s="2" t="s">
        <v>161</v>
      </c>
      <c r="G50" s="2" t="s">
        <v>389</v>
      </c>
      <c r="H50" s="2" t="s">
        <v>390</v>
      </c>
      <c r="I50" s="2" t="s">
        <v>391</v>
      </c>
      <c r="J50" s="3">
        <v>45620.0</v>
      </c>
      <c r="K50" s="2" t="s">
        <v>392</v>
      </c>
      <c r="L50" s="2" t="s">
        <v>40</v>
      </c>
      <c r="M50" s="2">
        <v>166.28</v>
      </c>
      <c r="N50" s="2">
        <v>4.0</v>
      </c>
      <c r="O50" s="2" t="s">
        <v>56</v>
      </c>
      <c r="P50" s="2">
        <v>3.0</v>
      </c>
      <c r="Q50" s="2">
        <v>41.0</v>
      </c>
      <c r="R50" s="3">
        <v>45626.0</v>
      </c>
      <c r="S50" s="2" t="s">
        <v>393</v>
      </c>
    </row>
    <row r="51" ht="14.25" customHeight="1">
      <c r="A51" s="2" t="s">
        <v>394</v>
      </c>
      <c r="B51" s="2" t="s">
        <v>395</v>
      </c>
      <c r="C51" s="2" t="s">
        <v>396</v>
      </c>
      <c r="D51" s="2">
        <v>70.0</v>
      </c>
      <c r="E51" s="2" t="s">
        <v>22</v>
      </c>
      <c r="F51" s="2" t="s">
        <v>23</v>
      </c>
      <c r="G51" s="2" t="s">
        <v>397</v>
      </c>
      <c r="H51" s="2" t="s">
        <v>398</v>
      </c>
      <c r="I51" s="2" t="s">
        <v>399</v>
      </c>
      <c r="J51" s="3">
        <v>45545.0</v>
      </c>
      <c r="K51" s="2" t="s">
        <v>400</v>
      </c>
      <c r="L51" s="2" t="s">
        <v>192</v>
      </c>
      <c r="M51" s="2">
        <v>20.7</v>
      </c>
      <c r="N51" s="2">
        <v>2.0</v>
      </c>
      <c r="O51" s="2" t="s">
        <v>89</v>
      </c>
      <c r="P51" s="2">
        <v>2.0</v>
      </c>
      <c r="Q51" s="2">
        <v>50.0</v>
      </c>
      <c r="R51" s="3">
        <v>45547.0</v>
      </c>
      <c r="S51" s="2" t="s">
        <v>401</v>
      </c>
    </row>
    <row r="52" ht="14.25" customHeight="1">
      <c r="A52" s="2" t="s">
        <v>342</v>
      </c>
      <c r="B52" s="2" t="s">
        <v>343</v>
      </c>
      <c r="C52" s="2" t="s">
        <v>344</v>
      </c>
      <c r="D52" s="2">
        <v>70.0</v>
      </c>
      <c r="E52" s="2" t="s">
        <v>22</v>
      </c>
      <c r="F52" s="2" t="s">
        <v>161</v>
      </c>
      <c r="G52" s="2" t="s">
        <v>345</v>
      </c>
      <c r="H52" s="2" t="s">
        <v>346</v>
      </c>
      <c r="I52" s="2" t="s">
        <v>402</v>
      </c>
      <c r="J52" s="3">
        <v>45224.0</v>
      </c>
      <c r="K52" s="2" t="s">
        <v>403</v>
      </c>
      <c r="L52" s="2" t="s">
        <v>301</v>
      </c>
      <c r="M52" s="2">
        <v>129.75</v>
      </c>
      <c r="N52" s="2">
        <v>2.0</v>
      </c>
      <c r="O52" s="2" t="s">
        <v>78</v>
      </c>
      <c r="P52" s="2">
        <v>5.0</v>
      </c>
      <c r="Q52" s="2">
        <v>42.0</v>
      </c>
      <c r="R52" s="3">
        <v>45227.0</v>
      </c>
      <c r="S52" s="2" t="s">
        <v>404</v>
      </c>
    </row>
    <row r="53" ht="14.25" customHeight="1">
      <c r="A53" s="2" t="s">
        <v>405</v>
      </c>
      <c r="B53" s="2" t="s">
        <v>221</v>
      </c>
      <c r="C53" s="2" t="s">
        <v>406</v>
      </c>
      <c r="D53" s="2">
        <v>28.0</v>
      </c>
      <c r="E53" s="2" t="s">
        <v>45</v>
      </c>
      <c r="F53" s="2" t="s">
        <v>133</v>
      </c>
      <c r="G53" s="2" t="s">
        <v>407</v>
      </c>
      <c r="H53" s="2" t="s">
        <v>408</v>
      </c>
      <c r="I53" s="2" t="s">
        <v>409</v>
      </c>
      <c r="J53" s="3">
        <v>45365.0</v>
      </c>
      <c r="K53" s="2" t="s">
        <v>410</v>
      </c>
      <c r="L53" s="2" t="s">
        <v>411</v>
      </c>
      <c r="M53" s="2">
        <v>44.5</v>
      </c>
      <c r="N53" s="2">
        <v>4.0</v>
      </c>
      <c r="O53" s="2" t="s">
        <v>29</v>
      </c>
      <c r="P53" s="2">
        <v>2.0</v>
      </c>
      <c r="Q53" s="2">
        <v>40.0</v>
      </c>
      <c r="R53" s="3">
        <v>45368.0</v>
      </c>
      <c r="S53" s="2" t="s">
        <v>412</v>
      </c>
    </row>
    <row r="54" ht="14.25" customHeight="1">
      <c r="A54" s="2" t="s">
        <v>413</v>
      </c>
      <c r="B54" s="2" t="s">
        <v>414</v>
      </c>
      <c r="C54" s="2" t="s">
        <v>415</v>
      </c>
      <c r="D54" s="2">
        <v>52.0</v>
      </c>
      <c r="E54" s="2" t="s">
        <v>45</v>
      </c>
      <c r="F54" s="2" t="s">
        <v>213</v>
      </c>
      <c r="G54" s="2" t="s">
        <v>416</v>
      </c>
      <c r="H54" s="2" t="s">
        <v>417</v>
      </c>
      <c r="I54" s="2" t="s">
        <v>418</v>
      </c>
      <c r="J54" s="3">
        <v>45145.0</v>
      </c>
      <c r="K54" s="2" t="s">
        <v>419</v>
      </c>
      <c r="L54" s="2" t="s">
        <v>243</v>
      </c>
      <c r="M54" s="2">
        <v>128.14</v>
      </c>
      <c r="N54" s="2">
        <v>5.0</v>
      </c>
      <c r="O54" s="2" t="s">
        <v>51</v>
      </c>
      <c r="P54" s="2">
        <v>2.0</v>
      </c>
      <c r="Q54" s="2">
        <v>57.0</v>
      </c>
      <c r="R54" s="3">
        <v>45147.0</v>
      </c>
      <c r="S54" s="2" t="s">
        <v>420</v>
      </c>
    </row>
    <row r="55" ht="14.25" customHeight="1">
      <c r="A55" s="2" t="s">
        <v>294</v>
      </c>
      <c r="B55" s="2" t="s">
        <v>295</v>
      </c>
      <c r="C55" s="2" t="s">
        <v>296</v>
      </c>
      <c r="D55" s="2">
        <v>26.0</v>
      </c>
      <c r="E55" s="2" t="s">
        <v>45</v>
      </c>
      <c r="F55" s="2" t="s">
        <v>161</v>
      </c>
      <c r="G55" s="2" t="s">
        <v>297</v>
      </c>
      <c r="H55" s="2" t="s">
        <v>298</v>
      </c>
      <c r="I55" s="2" t="s">
        <v>421</v>
      </c>
      <c r="J55" s="3">
        <v>45312.0</v>
      </c>
      <c r="K55" s="2" t="s">
        <v>422</v>
      </c>
      <c r="L55" s="2" t="s">
        <v>423</v>
      </c>
      <c r="M55" s="2">
        <v>369.03</v>
      </c>
      <c r="N55" s="2">
        <v>2.0</v>
      </c>
      <c r="O55" s="2" t="s">
        <v>89</v>
      </c>
      <c r="P55" s="2">
        <v>4.0</v>
      </c>
      <c r="Q55" s="2">
        <v>46.0</v>
      </c>
      <c r="R55" s="3">
        <v>45318.0</v>
      </c>
      <c r="S55" s="2" t="s">
        <v>424</v>
      </c>
    </row>
    <row r="56" ht="14.25" customHeight="1">
      <c r="A56" s="2" t="s">
        <v>405</v>
      </c>
      <c r="B56" s="2" t="s">
        <v>221</v>
      </c>
      <c r="C56" s="2" t="s">
        <v>406</v>
      </c>
      <c r="D56" s="2">
        <v>28.0</v>
      </c>
      <c r="E56" s="2" t="s">
        <v>45</v>
      </c>
      <c r="F56" s="2" t="s">
        <v>133</v>
      </c>
      <c r="G56" s="2" t="s">
        <v>407</v>
      </c>
      <c r="H56" s="2" t="s">
        <v>408</v>
      </c>
      <c r="I56" s="2" t="s">
        <v>425</v>
      </c>
      <c r="J56" s="3">
        <v>45599.0</v>
      </c>
      <c r="K56" s="2" t="s">
        <v>426</v>
      </c>
      <c r="L56" s="2" t="s">
        <v>88</v>
      </c>
      <c r="M56" s="2">
        <v>363.64</v>
      </c>
      <c r="N56" s="2">
        <v>1.0</v>
      </c>
      <c r="O56" s="2" t="s">
        <v>89</v>
      </c>
      <c r="P56" s="2">
        <v>3.0</v>
      </c>
      <c r="Q56" s="2">
        <v>70.0</v>
      </c>
      <c r="R56" s="3">
        <v>45606.0</v>
      </c>
      <c r="S56" s="2" t="s">
        <v>427</v>
      </c>
    </row>
    <row r="57" ht="14.25" customHeight="1">
      <c r="A57" s="2" t="s">
        <v>428</v>
      </c>
      <c r="B57" s="2" t="s">
        <v>429</v>
      </c>
      <c r="C57" s="2" t="s">
        <v>430</v>
      </c>
      <c r="D57" s="2">
        <v>28.0</v>
      </c>
      <c r="E57" s="2" t="s">
        <v>45</v>
      </c>
      <c r="F57" s="2" t="s">
        <v>69</v>
      </c>
      <c r="G57" s="2" t="s">
        <v>431</v>
      </c>
      <c r="H57" s="2" t="s">
        <v>432</v>
      </c>
      <c r="I57" s="2" t="s">
        <v>433</v>
      </c>
      <c r="J57" s="3">
        <v>45229.0</v>
      </c>
      <c r="K57" s="2" t="s">
        <v>434</v>
      </c>
      <c r="L57" s="2" t="s">
        <v>55</v>
      </c>
      <c r="M57" s="2">
        <v>405.0</v>
      </c>
      <c r="N57" s="2">
        <v>1.0</v>
      </c>
      <c r="O57" s="2" t="s">
        <v>56</v>
      </c>
      <c r="P57" s="2">
        <v>5.0</v>
      </c>
      <c r="Q57" s="2">
        <v>44.0</v>
      </c>
      <c r="R57" s="3">
        <v>45233.0</v>
      </c>
      <c r="S57" s="2" t="s">
        <v>435</v>
      </c>
    </row>
    <row r="58" ht="14.25" customHeight="1">
      <c r="A58" s="2" t="s">
        <v>436</v>
      </c>
      <c r="B58" s="2" t="s">
        <v>92</v>
      </c>
      <c r="C58" s="2" t="s">
        <v>437</v>
      </c>
      <c r="D58" s="2">
        <v>36.0</v>
      </c>
      <c r="E58" s="2" t="s">
        <v>34</v>
      </c>
      <c r="F58" s="2" t="s">
        <v>23</v>
      </c>
      <c r="G58" s="2" t="s">
        <v>438</v>
      </c>
      <c r="H58" s="2" t="s">
        <v>439</v>
      </c>
      <c r="I58" s="2" t="s">
        <v>440</v>
      </c>
      <c r="J58" s="3">
        <v>45149.0</v>
      </c>
      <c r="K58" s="2" t="s">
        <v>441</v>
      </c>
      <c r="L58" s="2" t="s">
        <v>263</v>
      </c>
      <c r="M58" s="2">
        <v>62.42</v>
      </c>
      <c r="N58" s="2">
        <v>2.0</v>
      </c>
      <c r="O58" s="2" t="s">
        <v>51</v>
      </c>
      <c r="P58" s="2">
        <v>1.0</v>
      </c>
      <c r="Q58" s="2">
        <v>53.0</v>
      </c>
      <c r="R58" s="3">
        <v>45154.0</v>
      </c>
      <c r="S58" s="2" t="s">
        <v>442</v>
      </c>
    </row>
    <row r="59" ht="14.25" customHeight="1">
      <c r="A59" s="2" t="s">
        <v>443</v>
      </c>
      <c r="B59" s="2" t="s">
        <v>444</v>
      </c>
      <c r="C59" s="2" t="s">
        <v>445</v>
      </c>
      <c r="D59" s="2">
        <v>69.0</v>
      </c>
      <c r="E59" s="2" t="s">
        <v>22</v>
      </c>
      <c r="F59" s="2" t="s">
        <v>23</v>
      </c>
      <c r="G59" s="2" t="s">
        <v>446</v>
      </c>
      <c r="H59" s="2" t="s">
        <v>447</v>
      </c>
      <c r="I59" s="2" t="s">
        <v>448</v>
      </c>
      <c r="J59" s="3">
        <v>45213.0</v>
      </c>
      <c r="K59" s="2" t="s">
        <v>449</v>
      </c>
      <c r="L59" s="2" t="s">
        <v>192</v>
      </c>
      <c r="M59" s="2">
        <v>20.7</v>
      </c>
      <c r="N59" s="2">
        <v>5.0</v>
      </c>
      <c r="O59" s="2" t="s">
        <v>51</v>
      </c>
      <c r="P59" s="2">
        <v>7.0</v>
      </c>
      <c r="Q59" s="2">
        <v>57.0</v>
      </c>
      <c r="R59" s="3">
        <v>45218.0</v>
      </c>
      <c r="S59" s="2" t="s">
        <v>450</v>
      </c>
    </row>
    <row r="60" ht="14.25" customHeight="1">
      <c r="A60" s="2" t="s">
        <v>451</v>
      </c>
      <c r="B60" s="2" t="s">
        <v>452</v>
      </c>
      <c r="C60" s="2" t="s">
        <v>453</v>
      </c>
      <c r="D60" s="2">
        <v>63.0</v>
      </c>
      <c r="E60" s="2" t="s">
        <v>22</v>
      </c>
      <c r="F60" s="2" t="s">
        <v>133</v>
      </c>
      <c r="G60" s="2" t="s">
        <v>454</v>
      </c>
      <c r="H60" s="2" t="s">
        <v>455</v>
      </c>
      <c r="I60" s="2" t="s">
        <v>456</v>
      </c>
      <c r="J60" s="3">
        <v>45655.0</v>
      </c>
      <c r="K60" s="2" t="s">
        <v>457</v>
      </c>
      <c r="L60" s="2" t="s">
        <v>88</v>
      </c>
      <c r="M60" s="2">
        <v>363.64</v>
      </c>
      <c r="N60" s="2">
        <v>3.0</v>
      </c>
      <c r="O60" s="2" t="s">
        <v>89</v>
      </c>
      <c r="P60" s="2">
        <v>6.0</v>
      </c>
      <c r="Q60" s="2">
        <v>69.0</v>
      </c>
      <c r="R60" s="3">
        <v>45662.0</v>
      </c>
      <c r="S60" s="2" t="s">
        <v>458</v>
      </c>
    </row>
    <row r="61" ht="14.25" customHeight="1">
      <c r="A61" s="2" t="s">
        <v>459</v>
      </c>
      <c r="B61" s="2" t="s">
        <v>460</v>
      </c>
      <c r="C61" s="2" t="s">
        <v>461</v>
      </c>
      <c r="D61" s="2">
        <v>18.0</v>
      </c>
      <c r="E61" s="2" t="s">
        <v>34</v>
      </c>
      <c r="F61" s="2" t="s">
        <v>35</v>
      </c>
      <c r="G61" s="2" t="s">
        <v>462</v>
      </c>
      <c r="H61" s="2" t="s">
        <v>463</v>
      </c>
      <c r="I61" s="2" t="s">
        <v>464</v>
      </c>
      <c r="J61" s="3">
        <v>44972.0</v>
      </c>
      <c r="K61" s="2" t="s">
        <v>465</v>
      </c>
      <c r="L61" s="2" t="s">
        <v>466</v>
      </c>
      <c r="M61" s="2">
        <v>286.07</v>
      </c>
      <c r="N61" s="2">
        <v>3.0</v>
      </c>
      <c r="O61" s="2" t="s">
        <v>78</v>
      </c>
      <c r="P61" s="2">
        <v>2.0</v>
      </c>
      <c r="Q61" s="2">
        <v>54.0</v>
      </c>
      <c r="R61" s="3">
        <v>44977.0</v>
      </c>
      <c r="S61" s="2" t="s">
        <v>467</v>
      </c>
    </row>
    <row r="62" ht="14.25" customHeight="1">
      <c r="A62" s="2" t="s">
        <v>468</v>
      </c>
      <c r="B62" s="2" t="s">
        <v>101</v>
      </c>
      <c r="C62" s="2" t="s">
        <v>469</v>
      </c>
      <c r="D62" s="2">
        <v>33.0</v>
      </c>
      <c r="E62" s="2" t="s">
        <v>22</v>
      </c>
      <c r="F62" s="2" t="s">
        <v>161</v>
      </c>
      <c r="G62" s="2" t="s">
        <v>470</v>
      </c>
      <c r="H62" s="2" t="s">
        <v>471</v>
      </c>
      <c r="I62" s="2" t="s">
        <v>472</v>
      </c>
      <c r="J62" s="3">
        <v>45435.0</v>
      </c>
      <c r="K62" s="2" t="s">
        <v>473</v>
      </c>
      <c r="L62" s="2" t="s">
        <v>474</v>
      </c>
      <c r="M62" s="2">
        <v>87.09</v>
      </c>
      <c r="N62" s="2">
        <v>4.0</v>
      </c>
      <c r="O62" s="2" t="s">
        <v>56</v>
      </c>
      <c r="P62" s="2">
        <v>6.0</v>
      </c>
      <c r="Q62" s="2">
        <v>63.0</v>
      </c>
      <c r="R62" s="3">
        <v>45439.0</v>
      </c>
      <c r="S62" s="2" t="s">
        <v>475</v>
      </c>
    </row>
    <row r="63" ht="14.25" customHeight="1">
      <c r="A63" s="2" t="s">
        <v>476</v>
      </c>
      <c r="B63" s="2" t="s">
        <v>477</v>
      </c>
      <c r="C63" s="2" t="s">
        <v>123</v>
      </c>
      <c r="D63" s="2">
        <v>68.0</v>
      </c>
      <c r="E63" s="2" t="s">
        <v>45</v>
      </c>
      <c r="F63" s="2" t="s">
        <v>213</v>
      </c>
      <c r="G63" s="2" t="s">
        <v>478</v>
      </c>
      <c r="H63" s="2" t="s">
        <v>479</v>
      </c>
      <c r="I63" s="2" t="s">
        <v>480</v>
      </c>
      <c r="J63" s="3">
        <v>45002.0</v>
      </c>
      <c r="K63" s="2" t="s">
        <v>481</v>
      </c>
      <c r="L63" s="2" t="s">
        <v>98</v>
      </c>
      <c r="M63" s="2">
        <v>275.44</v>
      </c>
      <c r="N63" s="2">
        <v>4.0</v>
      </c>
      <c r="O63" s="2" t="s">
        <v>29</v>
      </c>
      <c r="P63" s="2">
        <v>4.0</v>
      </c>
      <c r="Q63" s="2">
        <v>40.0</v>
      </c>
      <c r="R63" s="3">
        <v>45007.0</v>
      </c>
      <c r="S63" s="2" t="s">
        <v>482</v>
      </c>
    </row>
    <row r="64" ht="14.25" customHeight="1">
      <c r="A64" s="2" t="s">
        <v>483</v>
      </c>
      <c r="B64" s="2" t="s">
        <v>179</v>
      </c>
      <c r="C64" s="2" t="s">
        <v>320</v>
      </c>
      <c r="D64" s="2">
        <v>39.0</v>
      </c>
      <c r="E64" s="2" t="s">
        <v>45</v>
      </c>
      <c r="F64" s="2" t="s">
        <v>35</v>
      </c>
      <c r="G64" s="2" t="s">
        <v>484</v>
      </c>
      <c r="H64" s="2" t="s">
        <v>485</v>
      </c>
      <c r="I64" s="2" t="s">
        <v>486</v>
      </c>
      <c r="J64" s="3">
        <v>45680.0</v>
      </c>
      <c r="K64" s="2" t="s">
        <v>487</v>
      </c>
      <c r="L64" s="2" t="s">
        <v>488</v>
      </c>
      <c r="M64" s="2">
        <v>421.7</v>
      </c>
      <c r="N64" s="2">
        <v>1.0</v>
      </c>
      <c r="O64" s="2" t="s">
        <v>89</v>
      </c>
      <c r="P64" s="2">
        <v>3.0</v>
      </c>
      <c r="Q64" s="2">
        <v>59.0</v>
      </c>
      <c r="R64" s="3">
        <v>45684.0</v>
      </c>
      <c r="S64" s="2" t="s">
        <v>489</v>
      </c>
    </row>
    <row r="65" ht="14.25" customHeight="1">
      <c r="A65" s="2" t="s">
        <v>220</v>
      </c>
      <c r="B65" s="2" t="s">
        <v>221</v>
      </c>
      <c r="C65" s="2" t="s">
        <v>222</v>
      </c>
      <c r="D65" s="2">
        <v>64.0</v>
      </c>
      <c r="E65" s="2" t="s">
        <v>34</v>
      </c>
      <c r="F65" s="2" t="s">
        <v>35</v>
      </c>
      <c r="G65" s="2" t="s">
        <v>223</v>
      </c>
      <c r="H65" s="2" t="s">
        <v>224</v>
      </c>
      <c r="I65" s="2" t="s">
        <v>490</v>
      </c>
      <c r="J65" s="3">
        <v>45629.0</v>
      </c>
      <c r="K65" s="2" t="s">
        <v>491</v>
      </c>
      <c r="L65" s="2" t="s">
        <v>166</v>
      </c>
      <c r="M65" s="2">
        <v>272.51</v>
      </c>
      <c r="N65" s="2">
        <v>1.0</v>
      </c>
      <c r="O65" s="2" t="s">
        <v>78</v>
      </c>
      <c r="P65" s="2">
        <v>4.0</v>
      </c>
      <c r="Q65" s="2">
        <v>43.0</v>
      </c>
      <c r="R65" s="3">
        <v>45630.0</v>
      </c>
      <c r="S65" s="2" t="s">
        <v>492</v>
      </c>
    </row>
    <row r="66" ht="14.25" customHeight="1">
      <c r="A66" s="2" t="s">
        <v>493</v>
      </c>
      <c r="B66" s="2" t="s">
        <v>494</v>
      </c>
      <c r="C66" s="2" t="s">
        <v>380</v>
      </c>
      <c r="D66" s="2">
        <v>57.0</v>
      </c>
      <c r="E66" s="2" t="s">
        <v>34</v>
      </c>
      <c r="F66" s="2" t="s">
        <v>213</v>
      </c>
      <c r="G66" s="2" t="s">
        <v>495</v>
      </c>
      <c r="H66" s="2" t="s">
        <v>496</v>
      </c>
      <c r="I66" s="2" t="s">
        <v>497</v>
      </c>
      <c r="J66" s="3">
        <v>45346.0</v>
      </c>
      <c r="K66" s="2" t="s">
        <v>498</v>
      </c>
      <c r="L66" s="2" t="s">
        <v>128</v>
      </c>
      <c r="M66" s="2">
        <v>175.93</v>
      </c>
      <c r="N66" s="2">
        <v>3.0</v>
      </c>
      <c r="O66" s="2" t="s">
        <v>29</v>
      </c>
      <c r="P66" s="2">
        <v>4.0</v>
      </c>
      <c r="Q66" s="2">
        <v>46.0</v>
      </c>
      <c r="R66" s="3">
        <v>45351.0</v>
      </c>
      <c r="S66" s="2" t="s">
        <v>499</v>
      </c>
    </row>
    <row r="67" ht="14.25" customHeight="1">
      <c r="A67" s="2" t="s">
        <v>500</v>
      </c>
      <c r="B67" s="2" t="s">
        <v>501</v>
      </c>
      <c r="C67" s="2" t="s">
        <v>502</v>
      </c>
      <c r="D67" s="2">
        <v>64.0</v>
      </c>
      <c r="E67" s="2" t="s">
        <v>22</v>
      </c>
      <c r="F67" s="2" t="s">
        <v>23</v>
      </c>
      <c r="G67" s="2" t="s">
        <v>503</v>
      </c>
      <c r="H67" s="2" t="s">
        <v>504</v>
      </c>
      <c r="I67" s="2" t="s">
        <v>505</v>
      </c>
      <c r="J67" s="3">
        <v>45503.0</v>
      </c>
      <c r="K67" s="2" t="s">
        <v>506</v>
      </c>
      <c r="L67" s="2" t="s">
        <v>507</v>
      </c>
      <c r="M67" s="2">
        <v>136.3</v>
      </c>
      <c r="N67" s="2">
        <v>5.0</v>
      </c>
      <c r="O67" s="2" t="s">
        <v>51</v>
      </c>
      <c r="P67" s="2">
        <v>6.0</v>
      </c>
      <c r="Q67" s="2">
        <v>39.0</v>
      </c>
      <c r="R67" s="3">
        <v>45510.0</v>
      </c>
      <c r="S67" s="2" t="s">
        <v>508</v>
      </c>
    </row>
    <row r="68" ht="14.25" customHeight="1">
      <c r="A68" s="2" t="s">
        <v>248</v>
      </c>
      <c r="B68" s="2" t="s">
        <v>249</v>
      </c>
      <c r="C68" s="2" t="s">
        <v>250</v>
      </c>
      <c r="D68" s="2">
        <v>60.0</v>
      </c>
      <c r="E68" s="2" t="s">
        <v>45</v>
      </c>
      <c r="F68" s="2" t="s">
        <v>23</v>
      </c>
      <c r="G68" s="2" t="s">
        <v>251</v>
      </c>
      <c r="H68" s="2" t="s">
        <v>252</v>
      </c>
      <c r="I68" s="2" t="s">
        <v>509</v>
      </c>
      <c r="J68" s="3">
        <v>45451.0</v>
      </c>
      <c r="K68" s="2" t="s">
        <v>510</v>
      </c>
      <c r="L68" s="2" t="s">
        <v>511</v>
      </c>
      <c r="M68" s="2">
        <v>441.03</v>
      </c>
      <c r="N68" s="2">
        <v>2.0</v>
      </c>
      <c r="O68" s="2" t="s">
        <v>89</v>
      </c>
      <c r="P68" s="2">
        <v>3.0</v>
      </c>
      <c r="Q68" s="2">
        <v>49.0</v>
      </c>
      <c r="R68" s="3">
        <v>45458.0</v>
      </c>
      <c r="S68" s="2" t="s">
        <v>512</v>
      </c>
    </row>
    <row r="69" ht="14.25" customHeight="1">
      <c r="A69" s="2" t="s">
        <v>513</v>
      </c>
      <c r="B69" s="2" t="s">
        <v>514</v>
      </c>
      <c r="C69" s="2" t="s">
        <v>515</v>
      </c>
      <c r="D69" s="2">
        <v>42.0</v>
      </c>
      <c r="E69" s="2" t="s">
        <v>45</v>
      </c>
      <c r="F69" s="2" t="s">
        <v>69</v>
      </c>
      <c r="G69" s="2" t="s">
        <v>516</v>
      </c>
      <c r="H69" s="2" t="s">
        <v>517</v>
      </c>
      <c r="I69" s="2" t="s">
        <v>518</v>
      </c>
      <c r="J69" s="3">
        <v>45322.0</v>
      </c>
      <c r="K69" s="2" t="s">
        <v>519</v>
      </c>
      <c r="L69" s="2" t="s">
        <v>423</v>
      </c>
      <c r="M69" s="2">
        <v>369.03</v>
      </c>
      <c r="N69" s="2">
        <v>4.0</v>
      </c>
      <c r="O69" s="2" t="s">
        <v>78</v>
      </c>
      <c r="P69" s="2">
        <v>7.0</v>
      </c>
      <c r="Q69" s="2">
        <v>52.0</v>
      </c>
      <c r="R69" s="3">
        <v>45327.0</v>
      </c>
      <c r="S69" s="2" t="s">
        <v>520</v>
      </c>
    </row>
    <row r="70" ht="14.25" customHeight="1">
      <c r="A70" s="2" t="s">
        <v>521</v>
      </c>
      <c r="B70" s="2" t="s">
        <v>387</v>
      </c>
      <c r="C70" s="2" t="s">
        <v>522</v>
      </c>
      <c r="D70" s="2">
        <v>51.0</v>
      </c>
      <c r="E70" s="2" t="s">
        <v>45</v>
      </c>
      <c r="F70" s="2" t="s">
        <v>133</v>
      </c>
      <c r="G70" s="2" t="s">
        <v>523</v>
      </c>
      <c r="H70" s="2" t="s">
        <v>524</v>
      </c>
      <c r="I70" s="2" t="s">
        <v>525</v>
      </c>
      <c r="J70" s="3">
        <v>45277.0</v>
      </c>
      <c r="K70" s="2" t="s">
        <v>526</v>
      </c>
      <c r="L70" s="2" t="s">
        <v>349</v>
      </c>
      <c r="M70" s="2">
        <v>496.59</v>
      </c>
      <c r="N70" s="2">
        <v>4.0</v>
      </c>
      <c r="O70" s="2" t="s">
        <v>51</v>
      </c>
      <c r="P70" s="2">
        <v>7.0</v>
      </c>
      <c r="Q70" s="2">
        <v>36.0</v>
      </c>
      <c r="R70" s="3">
        <v>45280.0</v>
      </c>
      <c r="S70" s="2" t="s">
        <v>527</v>
      </c>
    </row>
    <row r="71" ht="14.25" customHeight="1">
      <c r="A71" s="2" t="s">
        <v>528</v>
      </c>
      <c r="B71" s="2" t="s">
        <v>529</v>
      </c>
      <c r="C71" s="2" t="s">
        <v>530</v>
      </c>
      <c r="D71" s="2">
        <v>32.0</v>
      </c>
      <c r="E71" s="2" t="s">
        <v>45</v>
      </c>
      <c r="F71" s="2" t="s">
        <v>83</v>
      </c>
      <c r="G71" s="2" t="s">
        <v>531</v>
      </c>
      <c r="H71" s="2" t="s">
        <v>532</v>
      </c>
      <c r="I71" s="2" t="s">
        <v>533</v>
      </c>
      <c r="J71" s="3">
        <v>45586.0</v>
      </c>
      <c r="K71" s="2" t="s">
        <v>534</v>
      </c>
      <c r="L71" s="2" t="s">
        <v>349</v>
      </c>
      <c r="M71" s="2">
        <v>496.59</v>
      </c>
      <c r="N71" s="2">
        <v>2.0</v>
      </c>
      <c r="O71" s="2" t="s">
        <v>29</v>
      </c>
      <c r="P71" s="2">
        <v>5.0</v>
      </c>
      <c r="Q71" s="2">
        <v>41.0</v>
      </c>
      <c r="R71" s="3">
        <v>45588.0</v>
      </c>
      <c r="S71" s="2" t="s">
        <v>535</v>
      </c>
    </row>
    <row r="72" ht="14.25" customHeight="1">
      <c r="A72" s="2" t="s">
        <v>19</v>
      </c>
      <c r="B72" s="2" t="s">
        <v>20</v>
      </c>
      <c r="C72" s="2" t="s">
        <v>21</v>
      </c>
      <c r="D72" s="2">
        <v>37.0</v>
      </c>
      <c r="E72" s="2" t="s">
        <v>22</v>
      </c>
      <c r="F72" s="2" t="s">
        <v>23</v>
      </c>
      <c r="G72" s="2" t="s">
        <v>24</v>
      </c>
      <c r="H72" s="2" t="s">
        <v>25</v>
      </c>
      <c r="I72" s="2" t="s">
        <v>536</v>
      </c>
      <c r="J72" s="3">
        <v>45567.0</v>
      </c>
      <c r="K72" s="2" t="s">
        <v>537</v>
      </c>
      <c r="L72" s="2" t="s">
        <v>28</v>
      </c>
      <c r="M72" s="2">
        <v>308.88</v>
      </c>
      <c r="N72" s="2">
        <v>1.0</v>
      </c>
      <c r="O72" s="2" t="s">
        <v>56</v>
      </c>
      <c r="P72" s="2">
        <v>6.0</v>
      </c>
      <c r="Q72" s="2">
        <v>62.0</v>
      </c>
      <c r="R72" s="3">
        <v>45569.0</v>
      </c>
      <c r="S72" s="2" t="s">
        <v>538</v>
      </c>
    </row>
    <row r="73" ht="14.25" customHeight="1">
      <c r="A73" s="2" t="s">
        <v>539</v>
      </c>
      <c r="B73" s="2" t="s">
        <v>540</v>
      </c>
      <c r="C73" s="2" t="s">
        <v>541</v>
      </c>
      <c r="D73" s="2">
        <v>33.0</v>
      </c>
      <c r="E73" s="2" t="s">
        <v>45</v>
      </c>
      <c r="F73" s="2" t="s">
        <v>161</v>
      </c>
      <c r="G73" s="2" t="s">
        <v>542</v>
      </c>
      <c r="H73" s="2" t="s">
        <v>543</v>
      </c>
      <c r="I73" s="2" t="s">
        <v>544</v>
      </c>
      <c r="J73" s="3">
        <v>45495.0</v>
      </c>
      <c r="K73" s="2" t="s">
        <v>545</v>
      </c>
      <c r="L73" s="2" t="s">
        <v>546</v>
      </c>
      <c r="M73" s="2">
        <v>425.59</v>
      </c>
      <c r="N73" s="2">
        <v>4.0</v>
      </c>
      <c r="O73" s="2" t="s">
        <v>56</v>
      </c>
      <c r="P73" s="2">
        <v>6.0</v>
      </c>
      <c r="Q73" s="2">
        <v>53.0</v>
      </c>
      <c r="R73" s="3">
        <v>45496.0</v>
      </c>
      <c r="S73" s="2" t="s">
        <v>547</v>
      </c>
    </row>
    <row r="74" ht="14.25" customHeight="1">
      <c r="A74" s="2" t="s">
        <v>210</v>
      </c>
      <c r="B74" s="2" t="s">
        <v>211</v>
      </c>
      <c r="C74" s="2" t="s">
        <v>212</v>
      </c>
      <c r="D74" s="2">
        <v>33.0</v>
      </c>
      <c r="E74" s="2" t="s">
        <v>45</v>
      </c>
      <c r="F74" s="2" t="s">
        <v>213</v>
      </c>
      <c r="G74" s="2" t="s">
        <v>214</v>
      </c>
      <c r="H74" s="2" t="s">
        <v>215</v>
      </c>
      <c r="I74" s="2" t="s">
        <v>548</v>
      </c>
      <c r="J74" s="3">
        <v>45355.0</v>
      </c>
      <c r="K74" s="2" t="s">
        <v>549</v>
      </c>
      <c r="L74" s="2" t="s">
        <v>28</v>
      </c>
      <c r="M74" s="2">
        <v>308.88</v>
      </c>
      <c r="N74" s="2">
        <v>1.0</v>
      </c>
      <c r="O74" s="2" t="s">
        <v>89</v>
      </c>
      <c r="P74" s="2">
        <v>1.0</v>
      </c>
      <c r="Q74" s="2">
        <v>56.0</v>
      </c>
      <c r="R74" s="3">
        <v>45360.0</v>
      </c>
      <c r="S74" s="2" t="s">
        <v>550</v>
      </c>
    </row>
    <row r="75" ht="14.25" customHeight="1">
      <c r="A75" s="2" t="s">
        <v>443</v>
      </c>
      <c r="B75" s="2" t="s">
        <v>444</v>
      </c>
      <c r="C75" s="2" t="s">
        <v>445</v>
      </c>
      <c r="D75" s="2">
        <v>69.0</v>
      </c>
      <c r="E75" s="2" t="s">
        <v>22</v>
      </c>
      <c r="F75" s="2" t="s">
        <v>23</v>
      </c>
      <c r="G75" s="2" t="s">
        <v>446</v>
      </c>
      <c r="H75" s="2" t="s">
        <v>447</v>
      </c>
      <c r="I75" s="2" t="s">
        <v>551</v>
      </c>
      <c r="J75" s="3">
        <v>45132.0</v>
      </c>
      <c r="K75" s="2" t="s">
        <v>552</v>
      </c>
      <c r="L75" s="2" t="s">
        <v>376</v>
      </c>
      <c r="M75" s="2">
        <v>431.44</v>
      </c>
      <c r="N75" s="2">
        <v>5.0</v>
      </c>
      <c r="O75" s="2" t="s">
        <v>51</v>
      </c>
      <c r="P75" s="2">
        <v>6.0</v>
      </c>
      <c r="Q75" s="2">
        <v>59.0</v>
      </c>
      <c r="R75" s="3">
        <v>45139.0</v>
      </c>
      <c r="S75" s="2" t="s">
        <v>553</v>
      </c>
    </row>
    <row r="76" ht="14.25" customHeight="1">
      <c r="A76" s="2" t="s">
        <v>443</v>
      </c>
      <c r="B76" s="2" t="s">
        <v>444</v>
      </c>
      <c r="C76" s="2" t="s">
        <v>445</v>
      </c>
      <c r="D76" s="2">
        <v>69.0</v>
      </c>
      <c r="E76" s="2" t="s">
        <v>22</v>
      </c>
      <c r="F76" s="2" t="s">
        <v>23</v>
      </c>
      <c r="G76" s="2" t="s">
        <v>446</v>
      </c>
      <c r="H76" s="2" t="s">
        <v>447</v>
      </c>
      <c r="I76" s="2" t="s">
        <v>554</v>
      </c>
      <c r="J76" s="3">
        <v>45650.0</v>
      </c>
      <c r="K76" s="2" t="s">
        <v>555</v>
      </c>
      <c r="L76" s="2" t="s">
        <v>556</v>
      </c>
      <c r="M76" s="2">
        <v>133.62</v>
      </c>
      <c r="N76" s="2">
        <v>2.0</v>
      </c>
      <c r="O76" s="2" t="s">
        <v>89</v>
      </c>
      <c r="P76" s="2">
        <v>4.0</v>
      </c>
      <c r="Q76" s="2">
        <v>50.0</v>
      </c>
      <c r="R76" s="3">
        <v>45651.0</v>
      </c>
      <c r="S76" s="2" t="s">
        <v>557</v>
      </c>
    </row>
    <row r="77" ht="14.25" customHeight="1">
      <c r="A77" s="2" t="s">
        <v>273</v>
      </c>
      <c r="B77" s="2" t="s">
        <v>274</v>
      </c>
      <c r="C77" s="2" t="s">
        <v>275</v>
      </c>
      <c r="D77" s="2">
        <v>64.0</v>
      </c>
      <c r="E77" s="2" t="s">
        <v>45</v>
      </c>
      <c r="F77" s="2" t="s">
        <v>23</v>
      </c>
      <c r="G77" s="2" t="s">
        <v>276</v>
      </c>
      <c r="H77" s="2" t="s">
        <v>277</v>
      </c>
      <c r="I77" s="2" t="s">
        <v>558</v>
      </c>
      <c r="J77" s="3">
        <v>45459.0</v>
      </c>
      <c r="K77" s="2" t="s">
        <v>559</v>
      </c>
      <c r="L77" s="2" t="s">
        <v>88</v>
      </c>
      <c r="M77" s="2">
        <v>363.64</v>
      </c>
      <c r="N77" s="2">
        <v>3.0</v>
      </c>
      <c r="O77" s="2" t="s">
        <v>56</v>
      </c>
      <c r="P77" s="2">
        <v>7.0</v>
      </c>
      <c r="Q77" s="2">
        <v>41.0</v>
      </c>
      <c r="R77" s="3">
        <v>45461.0</v>
      </c>
      <c r="S77" s="2" t="s">
        <v>560</v>
      </c>
    </row>
    <row r="78" ht="14.25" customHeight="1">
      <c r="A78" s="2" t="s">
        <v>31</v>
      </c>
      <c r="B78" s="2" t="s">
        <v>32</v>
      </c>
      <c r="C78" s="2" t="s">
        <v>33</v>
      </c>
      <c r="D78" s="2">
        <v>53.0</v>
      </c>
      <c r="E78" s="2" t="s">
        <v>34</v>
      </c>
      <c r="F78" s="2" t="s">
        <v>35</v>
      </c>
      <c r="G78" s="2" t="s">
        <v>36</v>
      </c>
      <c r="H78" s="2" t="s">
        <v>37</v>
      </c>
      <c r="I78" s="2" t="s">
        <v>561</v>
      </c>
      <c r="J78" s="3">
        <v>45041.0</v>
      </c>
      <c r="K78" s="2" t="s">
        <v>562</v>
      </c>
      <c r="L78" s="2" t="s">
        <v>243</v>
      </c>
      <c r="M78" s="2">
        <v>128.14</v>
      </c>
      <c r="N78" s="2">
        <v>1.0</v>
      </c>
      <c r="O78" s="2" t="s">
        <v>29</v>
      </c>
      <c r="P78" s="2">
        <v>7.0</v>
      </c>
      <c r="Q78" s="2">
        <v>70.0</v>
      </c>
      <c r="R78" s="3">
        <v>45045.0</v>
      </c>
      <c r="S78" s="2" t="s">
        <v>563</v>
      </c>
    </row>
    <row r="79" ht="14.25" customHeight="1">
      <c r="A79" s="2" t="s">
        <v>378</v>
      </c>
      <c r="B79" s="2" t="s">
        <v>379</v>
      </c>
      <c r="C79" s="2" t="s">
        <v>380</v>
      </c>
      <c r="D79" s="2">
        <v>47.0</v>
      </c>
      <c r="E79" s="2" t="s">
        <v>34</v>
      </c>
      <c r="F79" s="2" t="s">
        <v>83</v>
      </c>
      <c r="G79" s="2" t="s">
        <v>381</v>
      </c>
      <c r="H79" s="2" t="s">
        <v>382</v>
      </c>
      <c r="I79" s="2" t="s">
        <v>564</v>
      </c>
      <c r="J79" s="3">
        <v>45683.0</v>
      </c>
      <c r="K79" s="2" t="s">
        <v>565</v>
      </c>
      <c r="L79" s="2" t="s">
        <v>566</v>
      </c>
      <c r="M79" s="2">
        <v>477.52</v>
      </c>
      <c r="N79" s="2">
        <v>2.0</v>
      </c>
      <c r="O79" s="2" t="s">
        <v>29</v>
      </c>
      <c r="P79" s="2">
        <v>6.0</v>
      </c>
      <c r="Q79" s="2">
        <v>55.0</v>
      </c>
      <c r="R79" s="3">
        <v>45685.0</v>
      </c>
      <c r="S79" s="2" t="s">
        <v>567</v>
      </c>
    </row>
    <row r="80" ht="14.25" customHeight="1">
      <c r="A80" s="2" t="s">
        <v>568</v>
      </c>
      <c r="B80" s="2" t="s">
        <v>249</v>
      </c>
      <c r="C80" s="2" t="s">
        <v>569</v>
      </c>
      <c r="D80" s="2">
        <v>35.0</v>
      </c>
      <c r="E80" s="2" t="s">
        <v>22</v>
      </c>
      <c r="F80" s="2" t="s">
        <v>23</v>
      </c>
      <c r="G80" s="2" t="s">
        <v>570</v>
      </c>
      <c r="H80" s="2" t="s">
        <v>571</v>
      </c>
      <c r="I80" s="2" t="s">
        <v>572</v>
      </c>
      <c r="J80" s="3">
        <v>45054.0</v>
      </c>
      <c r="K80" s="2" t="s">
        <v>573</v>
      </c>
      <c r="L80" s="2" t="s">
        <v>235</v>
      </c>
      <c r="M80" s="2">
        <v>126.19</v>
      </c>
      <c r="N80" s="2">
        <v>3.0</v>
      </c>
      <c r="O80" s="2" t="s">
        <v>56</v>
      </c>
      <c r="P80" s="2">
        <v>5.0</v>
      </c>
      <c r="Q80" s="2">
        <v>40.0</v>
      </c>
      <c r="R80" s="3">
        <v>45058.0</v>
      </c>
      <c r="S80" s="2" t="s">
        <v>574</v>
      </c>
    </row>
    <row r="81" ht="14.25" customHeight="1">
      <c r="A81" s="2" t="s">
        <v>405</v>
      </c>
      <c r="B81" s="2" t="s">
        <v>221</v>
      </c>
      <c r="C81" s="2" t="s">
        <v>406</v>
      </c>
      <c r="D81" s="2">
        <v>28.0</v>
      </c>
      <c r="E81" s="2" t="s">
        <v>45</v>
      </c>
      <c r="F81" s="2" t="s">
        <v>133</v>
      </c>
      <c r="G81" s="2" t="s">
        <v>407</v>
      </c>
      <c r="H81" s="2" t="s">
        <v>408</v>
      </c>
      <c r="I81" s="2" t="s">
        <v>575</v>
      </c>
      <c r="J81" s="3">
        <v>45443.0</v>
      </c>
      <c r="K81" s="2" t="s">
        <v>576</v>
      </c>
      <c r="L81" s="2" t="s">
        <v>316</v>
      </c>
      <c r="M81" s="2">
        <v>481.48</v>
      </c>
      <c r="N81" s="2">
        <v>4.0</v>
      </c>
      <c r="O81" s="2" t="s">
        <v>89</v>
      </c>
      <c r="P81" s="2">
        <v>1.0</v>
      </c>
      <c r="Q81" s="2">
        <v>36.0</v>
      </c>
      <c r="R81" s="3">
        <v>45447.0</v>
      </c>
      <c r="S81" s="2" t="s">
        <v>577</v>
      </c>
    </row>
    <row r="82" ht="14.25" customHeight="1">
      <c r="A82" s="2" t="s">
        <v>468</v>
      </c>
      <c r="B82" s="2" t="s">
        <v>101</v>
      </c>
      <c r="C82" s="2" t="s">
        <v>469</v>
      </c>
      <c r="D82" s="2">
        <v>33.0</v>
      </c>
      <c r="E82" s="2" t="s">
        <v>22</v>
      </c>
      <c r="F82" s="2" t="s">
        <v>161</v>
      </c>
      <c r="G82" s="2" t="s">
        <v>470</v>
      </c>
      <c r="H82" s="2" t="s">
        <v>471</v>
      </c>
      <c r="I82" s="2" t="s">
        <v>578</v>
      </c>
      <c r="J82" s="3">
        <v>45675.0</v>
      </c>
      <c r="K82" s="2" t="s">
        <v>579</v>
      </c>
      <c r="L82" s="2" t="s">
        <v>28</v>
      </c>
      <c r="M82" s="2">
        <v>308.88</v>
      </c>
      <c r="N82" s="2">
        <v>3.0</v>
      </c>
      <c r="O82" s="2" t="s">
        <v>51</v>
      </c>
      <c r="P82" s="2">
        <v>4.0</v>
      </c>
      <c r="Q82" s="2">
        <v>48.0</v>
      </c>
      <c r="R82" s="3">
        <v>45678.0</v>
      </c>
      <c r="S82" s="2" t="s">
        <v>580</v>
      </c>
    </row>
    <row r="83" ht="14.25" customHeight="1">
      <c r="A83" s="2" t="s">
        <v>202</v>
      </c>
      <c r="B83" s="2" t="s">
        <v>203</v>
      </c>
      <c r="C83" s="2" t="s">
        <v>204</v>
      </c>
      <c r="D83" s="2">
        <v>39.0</v>
      </c>
      <c r="E83" s="2" t="s">
        <v>34</v>
      </c>
      <c r="F83" s="2" t="s">
        <v>152</v>
      </c>
      <c r="G83" s="2" t="s">
        <v>205</v>
      </c>
      <c r="H83" s="2" t="s">
        <v>206</v>
      </c>
      <c r="I83" s="2" t="s">
        <v>581</v>
      </c>
      <c r="J83" s="3">
        <v>45525.0</v>
      </c>
      <c r="K83" s="2" t="s">
        <v>582</v>
      </c>
      <c r="L83" s="2" t="s">
        <v>583</v>
      </c>
      <c r="M83" s="2">
        <v>403.03</v>
      </c>
      <c r="N83" s="2">
        <v>1.0</v>
      </c>
      <c r="O83" s="2" t="s">
        <v>78</v>
      </c>
      <c r="P83" s="2">
        <v>3.0</v>
      </c>
      <c r="Q83" s="2">
        <v>52.0</v>
      </c>
      <c r="R83" s="3">
        <v>45526.0</v>
      </c>
      <c r="S83" s="2" t="s">
        <v>584</v>
      </c>
    </row>
    <row r="84" ht="14.25" customHeight="1">
      <c r="A84" s="2" t="s">
        <v>585</v>
      </c>
      <c r="B84" s="2" t="s">
        <v>586</v>
      </c>
      <c r="C84" s="2" t="s">
        <v>587</v>
      </c>
      <c r="D84" s="2">
        <v>21.0</v>
      </c>
      <c r="E84" s="2" t="s">
        <v>22</v>
      </c>
      <c r="F84" s="2" t="s">
        <v>35</v>
      </c>
      <c r="G84" s="2" t="s">
        <v>588</v>
      </c>
      <c r="H84" s="2" t="s">
        <v>589</v>
      </c>
      <c r="I84" s="2" t="s">
        <v>590</v>
      </c>
      <c r="J84" s="3">
        <v>45041.0</v>
      </c>
      <c r="K84" s="2" t="s">
        <v>591</v>
      </c>
      <c r="L84" s="2" t="s">
        <v>74</v>
      </c>
      <c r="M84" s="2">
        <v>330.11</v>
      </c>
      <c r="N84" s="2">
        <v>2.0</v>
      </c>
      <c r="O84" s="2" t="s">
        <v>29</v>
      </c>
      <c r="P84" s="2">
        <v>3.0</v>
      </c>
      <c r="Q84" s="2">
        <v>64.0</v>
      </c>
      <c r="R84" s="3">
        <v>45046.0</v>
      </c>
      <c r="S84" s="2" t="s">
        <v>592</v>
      </c>
    </row>
    <row r="85" ht="14.25" customHeight="1">
      <c r="A85" s="2" t="s">
        <v>405</v>
      </c>
      <c r="B85" s="2" t="s">
        <v>221</v>
      </c>
      <c r="C85" s="2" t="s">
        <v>406</v>
      </c>
      <c r="D85" s="2">
        <v>28.0</v>
      </c>
      <c r="E85" s="2" t="s">
        <v>45</v>
      </c>
      <c r="F85" s="2" t="s">
        <v>133</v>
      </c>
      <c r="G85" s="2" t="s">
        <v>407</v>
      </c>
      <c r="H85" s="2" t="s">
        <v>408</v>
      </c>
      <c r="I85" s="2" t="s">
        <v>593</v>
      </c>
      <c r="J85" s="3">
        <v>45322.0</v>
      </c>
      <c r="K85" s="2" t="s">
        <v>594</v>
      </c>
      <c r="L85" s="2" t="s">
        <v>263</v>
      </c>
      <c r="M85" s="2">
        <v>62.42</v>
      </c>
      <c r="N85" s="2">
        <v>1.0</v>
      </c>
      <c r="O85" s="2" t="s">
        <v>78</v>
      </c>
      <c r="P85" s="2">
        <v>6.0</v>
      </c>
      <c r="Q85" s="2">
        <v>53.0</v>
      </c>
      <c r="R85" s="3">
        <v>45329.0</v>
      </c>
      <c r="S85" s="2" t="s">
        <v>595</v>
      </c>
    </row>
    <row r="86" ht="14.25" customHeight="1">
      <c r="A86" s="2" t="s">
        <v>596</v>
      </c>
      <c r="B86" s="2" t="s">
        <v>597</v>
      </c>
      <c r="C86" s="2" t="s">
        <v>396</v>
      </c>
      <c r="D86" s="2">
        <v>18.0</v>
      </c>
      <c r="E86" s="2" t="s">
        <v>34</v>
      </c>
      <c r="F86" s="2" t="s">
        <v>35</v>
      </c>
      <c r="G86" s="2" t="s">
        <v>598</v>
      </c>
      <c r="H86" s="2" t="s">
        <v>599</v>
      </c>
      <c r="I86" s="2" t="s">
        <v>600</v>
      </c>
      <c r="J86" s="3">
        <v>45625.0</v>
      </c>
      <c r="K86" s="2" t="s">
        <v>601</v>
      </c>
      <c r="L86" s="2" t="s">
        <v>74</v>
      </c>
      <c r="M86" s="2">
        <v>330.11</v>
      </c>
      <c r="N86" s="2">
        <v>1.0</v>
      </c>
      <c r="O86" s="2" t="s">
        <v>78</v>
      </c>
      <c r="P86" s="2">
        <v>4.0</v>
      </c>
      <c r="Q86" s="2">
        <v>67.0</v>
      </c>
      <c r="R86" s="3">
        <v>45627.0</v>
      </c>
      <c r="S86" s="2" t="s">
        <v>602</v>
      </c>
    </row>
    <row r="87" ht="14.25" customHeight="1">
      <c r="A87" s="2" t="s">
        <v>286</v>
      </c>
      <c r="B87" s="2" t="s">
        <v>287</v>
      </c>
      <c r="C87" s="2" t="s">
        <v>288</v>
      </c>
      <c r="D87" s="2">
        <v>48.0</v>
      </c>
      <c r="E87" s="2" t="s">
        <v>34</v>
      </c>
      <c r="F87" s="2" t="s">
        <v>83</v>
      </c>
      <c r="G87" s="2" t="s">
        <v>289</v>
      </c>
      <c r="H87" s="2" t="s">
        <v>290</v>
      </c>
      <c r="I87" s="2" t="s">
        <v>603</v>
      </c>
      <c r="J87" s="3">
        <v>45505.0</v>
      </c>
      <c r="K87" s="2" t="s">
        <v>604</v>
      </c>
      <c r="L87" s="2" t="s">
        <v>107</v>
      </c>
      <c r="M87" s="2">
        <v>48.45</v>
      </c>
      <c r="N87" s="2">
        <v>1.0</v>
      </c>
      <c r="O87" s="2" t="s">
        <v>51</v>
      </c>
      <c r="P87" s="2">
        <v>6.0</v>
      </c>
      <c r="Q87" s="2">
        <v>66.0</v>
      </c>
      <c r="R87" s="3">
        <v>45512.0</v>
      </c>
      <c r="S87" s="2" t="s">
        <v>605</v>
      </c>
    </row>
    <row r="88" ht="14.25" customHeight="1">
      <c r="A88" s="2" t="s">
        <v>493</v>
      </c>
      <c r="B88" s="2" t="s">
        <v>494</v>
      </c>
      <c r="C88" s="2" t="s">
        <v>380</v>
      </c>
      <c r="D88" s="2">
        <v>57.0</v>
      </c>
      <c r="E88" s="2" t="s">
        <v>34</v>
      </c>
      <c r="F88" s="2" t="s">
        <v>213</v>
      </c>
      <c r="G88" s="2" t="s">
        <v>495</v>
      </c>
      <c r="H88" s="2" t="s">
        <v>496</v>
      </c>
      <c r="I88" s="2" t="s">
        <v>606</v>
      </c>
      <c r="J88" s="3">
        <v>45252.0</v>
      </c>
      <c r="K88" s="2" t="s">
        <v>607</v>
      </c>
      <c r="L88" s="2" t="s">
        <v>55</v>
      </c>
      <c r="M88" s="2">
        <v>405.0</v>
      </c>
      <c r="N88" s="2">
        <v>2.0</v>
      </c>
      <c r="O88" s="2" t="s">
        <v>56</v>
      </c>
      <c r="P88" s="2">
        <v>4.0</v>
      </c>
      <c r="Q88" s="2">
        <v>70.0</v>
      </c>
      <c r="R88" s="3">
        <v>45257.0</v>
      </c>
      <c r="S88" s="2" t="s">
        <v>608</v>
      </c>
    </row>
    <row r="89" ht="14.25" customHeight="1">
      <c r="A89" s="2" t="s">
        <v>493</v>
      </c>
      <c r="B89" s="2" t="s">
        <v>494</v>
      </c>
      <c r="C89" s="2" t="s">
        <v>380</v>
      </c>
      <c r="D89" s="2">
        <v>57.0</v>
      </c>
      <c r="E89" s="2" t="s">
        <v>34</v>
      </c>
      <c r="F89" s="2" t="s">
        <v>213</v>
      </c>
      <c r="G89" s="2" t="s">
        <v>495</v>
      </c>
      <c r="H89" s="2" t="s">
        <v>496</v>
      </c>
      <c r="I89" s="2" t="s">
        <v>609</v>
      </c>
      <c r="J89" s="3">
        <v>45595.0</v>
      </c>
      <c r="K89" s="2" t="s">
        <v>610</v>
      </c>
      <c r="L89" s="2" t="s">
        <v>349</v>
      </c>
      <c r="M89" s="2">
        <v>496.59</v>
      </c>
      <c r="N89" s="2">
        <v>2.0</v>
      </c>
      <c r="O89" s="2" t="s">
        <v>89</v>
      </c>
      <c r="P89" s="2">
        <v>1.0</v>
      </c>
      <c r="Q89" s="2">
        <v>46.0</v>
      </c>
      <c r="R89" s="3">
        <v>45598.0</v>
      </c>
      <c r="S89" s="2" t="s">
        <v>611</v>
      </c>
    </row>
    <row r="90" ht="14.25" customHeight="1">
      <c r="A90" s="2" t="s">
        <v>91</v>
      </c>
      <c r="B90" s="2" t="s">
        <v>92</v>
      </c>
      <c r="C90" s="2" t="s">
        <v>93</v>
      </c>
      <c r="D90" s="2">
        <v>39.0</v>
      </c>
      <c r="E90" s="2" t="s">
        <v>22</v>
      </c>
      <c r="F90" s="2" t="s">
        <v>23</v>
      </c>
      <c r="G90" s="2" t="s">
        <v>94</v>
      </c>
      <c r="H90" s="2" t="s">
        <v>95</v>
      </c>
      <c r="I90" s="2" t="s">
        <v>612</v>
      </c>
      <c r="J90" s="3">
        <v>45227.0</v>
      </c>
      <c r="K90" s="2" t="s">
        <v>613</v>
      </c>
      <c r="L90" s="2" t="s">
        <v>107</v>
      </c>
      <c r="M90" s="2">
        <v>48.45</v>
      </c>
      <c r="N90" s="2">
        <v>1.0</v>
      </c>
      <c r="O90" s="2" t="s">
        <v>78</v>
      </c>
      <c r="P90" s="2">
        <v>4.0</v>
      </c>
      <c r="Q90" s="2">
        <v>66.0</v>
      </c>
      <c r="R90" s="3">
        <v>45228.0</v>
      </c>
      <c r="S90" s="2" t="s">
        <v>614</v>
      </c>
    </row>
    <row r="91" ht="14.25" customHeight="1">
      <c r="A91" s="2" t="s">
        <v>615</v>
      </c>
      <c r="B91" s="2" t="s">
        <v>122</v>
      </c>
      <c r="C91" s="2" t="s">
        <v>616</v>
      </c>
      <c r="D91" s="2">
        <v>47.0</v>
      </c>
      <c r="E91" s="2" t="s">
        <v>45</v>
      </c>
      <c r="F91" s="2" t="s">
        <v>69</v>
      </c>
      <c r="G91" s="2" t="s">
        <v>617</v>
      </c>
      <c r="H91" s="2" t="s">
        <v>618</v>
      </c>
      <c r="I91" s="2" t="s">
        <v>619</v>
      </c>
      <c r="J91" s="3">
        <v>45076.0</v>
      </c>
      <c r="K91" s="2" t="s">
        <v>620</v>
      </c>
      <c r="L91" s="2" t="s">
        <v>376</v>
      </c>
      <c r="M91" s="2">
        <v>431.44</v>
      </c>
      <c r="N91" s="2">
        <v>1.0</v>
      </c>
      <c r="O91" s="2" t="s">
        <v>56</v>
      </c>
      <c r="P91" s="2">
        <v>7.0</v>
      </c>
      <c r="Q91" s="2">
        <v>35.0</v>
      </c>
      <c r="R91" s="3">
        <v>45080.0</v>
      </c>
      <c r="S91" s="2" t="s">
        <v>621</v>
      </c>
    </row>
    <row r="92" ht="14.25" customHeight="1">
      <c r="A92" s="2" t="s">
        <v>149</v>
      </c>
      <c r="B92" s="2" t="s">
        <v>150</v>
      </c>
      <c r="C92" s="2" t="s">
        <v>151</v>
      </c>
      <c r="D92" s="2">
        <v>24.0</v>
      </c>
      <c r="E92" s="2" t="s">
        <v>22</v>
      </c>
      <c r="F92" s="2" t="s">
        <v>152</v>
      </c>
      <c r="G92" s="2" t="s">
        <v>153</v>
      </c>
      <c r="H92" s="2" t="s">
        <v>154</v>
      </c>
      <c r="I92" s="2" t="s">
        <v>622</v>
      </c>
      <c r="J92" s="3">
        <v>45555.0</v>
      </c>
      <c r="K92" s="2" t="s">
        <v>623</v>
      </c>
      <c r="L92" s="2" t="s">
        <v>466</v>
      </c>
      <c r="M92" s="2">
        <v>286.07</v>
      </c>
      <c r="N92" s="2">
        <v>5.0</v>
      </c>
      <c r="O92" s="2" t="s">
        <v>51</v>
      </c>
      <c r="P92" s="2">
        <v>5.0</v>
      </c>
      <c r="Q92" s="2">
        <v>65.0</v>
      </c>
      <c r="R92" s="3">
        <v>45558.0</v>
      </c>
      <c r="S92" s="2" t="s">
        <v>624</v>
      </c>
    </row>
    <row r="93" ht="14.25" customHeight="1">
      <c r="A93" s="2" t="s">
        <v>405</v>
      </c>
      <c r="B93" s="2" t="s">
        <v>221</v>
      </c>
      <c r="C93" s="2" t="s">
        <v>406</v>
      </c>
      <c r="D93" s="2">
        <v>28.0</v>
      </c>
      <c r="E93" s="2" t="s">
        <v>45</v>
      </c>
      <c r="F93" s="2" t="s">
        <v>133</v>
      </c>
      <c r="G93" s="2" t="s">
        <v>407</v>
      </c>
      <c r="H93" s="2" t="s">
        <v>408</v>
      </c>
      <c r="I93" s="2" t="s">
        <v>625</v>
      </c>
      <c r="J93" s="3">
        <v>45495.0</v>
      </c>
      <c r="K93" s="2" t="s">
        <v>626</v>
      </c>
      <c r="L93" s="2" t="s">
        <v>235</v>
      </c>
      <c r="M93" s="2">
        <v>126.19</v>
      </c>
      <c r="N93" s="2">
        <v>2.0</v>
      </c>
      <c r="O93" s="2" t="s">
        <v>29</v>
      </c>
      <c r="P93" s="2">
        <v>7.0</v>
      </c>
      <c r="Q93" s="2">
        <v>48.0</v>
      </c>
      <c r="R93" s="3">
        <v>45496.0</v>
      </c>
      <c r="S93" s="2" t="s">
        <v>627</v>
      </c>
    </row>
    <row r="94" ht="14.25" customHeight="1">
      <c r="A94" s="2" t="s">
        <v>265</v>
      </c>
      <c r="B94" s="2" t="s">
        <v>266</v>
      </c>
      <c r="C94" s="2" t="s">
        <v>267</v>
      </c>
      <c r="D94" s="2">
        <v>44.0</v>
      </c>
      <c r="E94" s="2" t="s">
        <v>22</v>
      </c>
      <c r="F94" s="2" t="s">
        <v>213</v>
      </c>
      <c r="G94" s="2" t="s">
        <v>268</v>
      </c>
      <c r="H94" s="2" t="s">
        <v>269</v>
      </c>
      <c r="I94" s="2" t="s">
        <v>628</v>
      </c>
      <c r="J94" s="3">
        <v>45307.0</v>
      </c>
      <c r="K94" s="2" t="s">
        <v>629</v>
      </c>
      <c r="L94" s="2" t="s">
        <v>630</v>
      </c>
      <c r="M94" s="2">
        <v>445.81</v>
      </c>
      <c r="N94" s="2">
        <v>5.0</v>
      </c>
      <c r="O94" s="2" t="s">
        <v>51</v>
      </c>
      <c r="P94" s="2">
        <v>1.0</v>
      </c>
      <c r="Q94" s="2">
        <v>56.0</v>
      </c>
      <c r="R94" s="3">
        <v>45313.0</v>
      </c>
      <c r="S94" s="2" t="s">
        <v>631</v>
      </c>
    </row>
    <row r="95" ht="14.25" customHeight="1">
      <c r="A95" s="2" t="s">
        <v>632</v>
      </c>
      <c r="B95" s="2" t="s">
        <v>141</v>
      </c>
      <c r="C95" s="2" t="s">
        <v>633</v>
      </c>
      <c r="D95" s="2">
        <v>44.0</v>
      </c>
      <c r="E95" s="2" t="s">
        <v>45</v>
      </c>
      <c r="F95" s="2" t="s">
        <v>83</v>
      </c>
      <c r="G95" s="2" t="s">
        <v>634</v>
      </c>
      <c r="H95" s="2" t="s">
        <v>635</v>
      </c>
      <c r="I95" s="2" t="s">
        <v>636</v>
      </c>
      <c r="J95" s="3">
        <v>45625.0</v>
      </c>
      <c r="K95" s="2" t="s">
        <v>637</v>
      </c>
      <c r="L95" s="2" t="s">
        <v>423</v>
      </c>
      <c r="M95" s="2">
        <v>369.03</v>
      </c>
      <c r="N95" s="2">
        <v>4.0</v>
      </c>
      <c r="O95" s="2" t="s">
        <v>78</v>
      </c>
      <c r="P95" s="2">
        <v>4.0</v>
      </c>
      <c r="Q95" s="2">
        <v>56.0</v>
      </c>
      <c r="R95" s="3">
        <v>45630.0</v>
      </c>
      <c r="S95" s="2" t="s">
        <v>638</v>
      </c>
    </row>
    <row r="96" ht="14.25" customHeight="1">
      <c r="A96" s="2" t="s">
        <v>639</v>
      </c>
      <c r="B96" s="2" t="s">
        <v>640</v>
      </c>
      <c r="C96" s="2" t="s">
        <v>641</v>
      </c>
      <c r="D96" s="2">
        <v>45.0</v>
      </c>
      <c r="E96" s="2" t="s">
        <v>45</v>
      </c>
      <c r="F96" s="2" t="s">
        <v>83</v>
      </c>
      <c r="G96" s="2" t="s">
        <v>642</v>
      </c>
      <c r="H96" s="2" t="s">
        <v>643</v>
      </c>
      <c r="I96" s="2" t="s">
        <v>644</v>
      </c>
      <c r="J96" s="3">
        <v>45504.0</v>
      </c>
      <c r="K96" s="2" t="s">
        <v>645</v>
      </c>
      <c r="L96" s="2" t="s">
        <v>646</v>
      </c>
      <c r="M96" s="2">
        <v>433.62</v>
      </c>
      <c r="N96" s="2">
        <v>2.0</v>
      </c>
      <c r="O96" s="2" t="s">
        <v>78</v>
      </c>
      <c r="P96" s="2">
        <v>1.0</v>
      </c>
      <c r="Q96" s="2">
        <v>41.0</v>
      </c>
      <c r="R96" s="3">
        <v>45510.0</v>
      </c>
      <c r="S96" s="2" t="s">
        <v>647</v>
      </c>
    </row>
    <row r="97" ht="14.25" customHeight="1">
      <c r="A97" s="2" t="s">
        <v>500</v>
      </c>
      <c r="B97" s="2" t="s">
        <v>501</v>
      </c>
      <c r="C97" s="2" t="s">
        <v>502</v>
      </c>
      <c r="D97" s="2">
        <v>64.0</v>
      </c>
      <c r="E97" s="2" t="s">
        <v>22</v>
      </c>
      <c r="F97" s="2" t="s">
        <v>23</v>
      </c>
      <c r="G97" s="2" t="s">
        <v>503</v>
      </c>
      <c r="H97" s="2" t="s">
        <v>504</v>
      </c>
      <c r="I97" s="2" t="s">
        <v>648</v>
      </c>
      <c r="J97" s="3">
        <v>45488.0</v>
      </c>
      <c r="K97" s="2" t="s">
        <v>649</v>
      </c>
      <c r="L97" s="2" t="s">
        <v>650</v>
      </c>
      <c r="M97" s="2">
        <v>235.63</v>
      </c>
      <c r="N97" s="2">
        <v>4.0</v>
      </c>
      <c r="O97" s="2" t="s">
        <v>78</v>
      </c>
      <c r="P97" s="2">
        <v>2.0</v>
      </c>
      <c r="Q97" s="2">
        <v>60.0</v>
      </c>
      <c r="R97" s="3">
        <v>45495.0</v>
      </c>
      <c r="S97" s="2" t="s">
        <v>651</v>
      </c>
    </row>
    <row r="98" ht="14.25" customHeight="1">
      <c r="A98" s="2" t="s">
        <v>220</v>
      </c>
      <c r="B98" s="2" t="s">
        <v>221</v>
      </c>
      <c r="C98" s="2" t="s">
        <v>222</v>
      </c>
      <c r="D98" s="2">
        <v>64.0</v>
      </c>
      <c r="E98" s="2" t="s">
        <v>34</v>
      </c>
      <c r="F98" s="2" t="s">
        <v>35</v>
      </c>
      <c r="G98" s="2" t="s">
        <v>223</v>
      </c>
      <c r="H98" s="2" t="s">
        <v>224</v>
      </c>
      <c r="I98" s="2" t="s">
        <v>652</v>
      </c>
      <c r="J98" s="3">
        <v>45118.0</v>
      </c>
      <c r="K98" s="2" t="s">
        <v>653</v>
      </c>
      <c r="L98" s="2" t="s">
        <v>284</v>
      </c>
      <c r="M98" s="2">
        <v>158.53</v>
      </c>
      <c r="N98" s="2">
        <v>5.0</v>
      </c>
      <c r="O98" s="2" t="s">
        <v>78</v>
      </c>
      <c r="P98" s="2">
        <v>1.0</v>
      </c>
      <c r="Q98" s="2">
        <v>57.0</v>
      </c>
      <c r="R98" s="3">
        <v>45125.0</v>
      </c>
      <c r="S98" s="2" t="s">
        <v>654</v>
      </c>
    </row>
    <row r="99" ht="14.25" customHeight="1">
      <c r="A99" s="2" t="s">
        <v>220</v>
      </c>
      <c r="B99" s="2" t="s">
        <v>221</v>
      </c>
      <c r="C99" s="2" t="s">
        <v>222</v>
      </c>
      <c r="D99" s="2">
        <v>64.0</v>
      </c>
      <c r="E99" s="2" t="s">
        <v>34</v>
      </c>
      <c r="F99" s="2" t="s">
        <v>35</v>
      </c>
      <c r="G99" s="2" t="s">
        <v>223</v>
      </c>
      <c r="H99" s="2" t="s">
        <v>224</v>
      </c>
      <c r="I99" s="2" t="s">
        <v>655</v>
      </c>
      <c r="J99" s="3">
        <v>45183.0</v>
      </c>
      <c r="K99" s="2" t="s">
        <v>656</v>
      </c>
      <c r="L99" s="2" t="s">
        <v>74</v>
      </c>
      <c r="M99" s="2">
        <v>330.11</v>
      </c>
      <c r="N99" s="2">
        <v>3.0</v>
      </c>
      <c r="O99" s="2" t="s">
        <v>51</v>
      </c>
      <c r="P99" s="2">
        <v>3.0</v>
      </c>
      <c r="Q99" s="2">
        <v>65.0</v>
      </c>
      <c r="R99" s="3">
        <v>45186.0</v>
      </c>
      <c r="S99" s="2" t="s">
        <v>657</v>
      </c>
    </row>
    <row r="100" ht="14.25" customHeight="1">
      <c r="A100" s="2" t="s">
        <v>639</v>
      </c>
      <c r="B100" s="2" t="s">
        <v>640</v>
      </c>
      <c r="C100" s="2" t="s">
        <v>641</v>
      </c>
      <c r="D100" s="2">
        <v>45.0</v>
      </c>
      <c r="E100" s="2" t="s">
        <v>45</v>
      </c>
      <c r="F100" s="2" t="s">
        <v>83</v>
      </c>
      <c r="G100" s="2" t="s">
        <v>642</v>
      </c>
      <c r="H100" s="2" t="s">
        <v>643</v>
      </c>
      <c r="I100" s="2" t="s">
        <v>658</v>
      </c>
      <c r="J100" s="3">
        <v>45673.0</v>
      </c>
      <c r="K100" s="2" t="s">
        <v>659</v>
      </c>
      <c r="L100" s="2" t="s">
        <v>147</v>
      </c>
      <c r="M100" s="2">
        <v>220.27</v>
      </c>
      <c r="N100" s="2">
        <v>2.0</v>
      </c>
      <c r="O100" s="2" t="s">
        <v>78</v>
      </c>
      <c r="P100" s="2">
        <v>1.0</v>
      </c>
      <c r="Q100" s="2">
        <v>63.0</v>
      </c>
      <c r="R100" s="3">
        <v>45675.0</v>
      </c>
      <c r="S100" s="2" t="s">
        <v>660</v>
      </c>
    </row>
    <row r="101" ht="14.25" customHeight="1">
      <c r="A101" s="2" t="s">
        <v>585</v>
      </c>
      <c r="B101" s="2" t="s">
        <v>586</v>
      </c>
      <c r="C101" s="2" t="s">
        <v>587</v>
      </c>
      <c r="D101" s="2">
        <v>21.0</v>
      </c>
      <c r="E101" s="2" t="s">
        <v>22</v>
      </c>
      <c r="F101" s="2" t="s">
        <v>35</v>
      </c>
      <c r="G101" s="2" t="s">
        <v>588</v>
      </c>
      <c r="H101" s="2" t="s">
        <v>589</v>
      </c>
      <c r="I101" s="2" t="s">
        <v>661</v>
      </c>
      <c r="J101" s="3">
        <v>45321.0</v>
      </c>
      <c r="K101" s="2" t="s">
        <v>662</v>
      </c>
      <c r="L101" s="2" t="s">
        <v>98</v>
      </c>
      <c r="M101" s="2">
        <v>275.44</v>
      </c>
      <c r="N101" s="2">
        <v>3.0</v>
      </c>
      <c r="O101" s="2" t="s">
        <v>51</v>
      </c>
      <c r="P101" s="2">
        <v>7.0</v>
      </c>
      <c r="Q101" s="2">
        <v>47.0</v>
      </c>
      <c r="R101" s="3">
        <v>45322.0</v>
      </c>
      <c r="S101" s="2" t="s">
        <v>663</v>
      </c>
    </row>
    <row r="102" ht="14.25" customHeight="1">
      <c r="A102" s="2" t="s">
        <v>664</v>
      </c>
      <c r="B102" s="2" t="s">
        <v>665</v>
      </c>
      <c r="C102" s="2" t="s">
        <v>666</v>
      </c>
      <c r="D102" s="2">
        <v>38.0</v>
      </c>
      <c r="E102" s="2" t="s">
        <v>34</v>
      </c>
      <c r="F102" s="2" t="s">
        <v>213</v>
      </c>
      <c r="G102" s="2" t="s">
        <v>667</v>
      </c>
      <c r="H102" s="2" t="s">
        <v>668</v>
      </c>
      <c r="I102" s="2" t="s">
        <v>669</v>
      </c>
      <c r="J102" s="3">
        <v>45203.0</v>
      </c>
      <c r="K102" s="2" t="s">
        <v>670</v>
      </c>
      <c r="L102" s="2" t="s">
        <v>566</v>
      </c>
      <c r="M102" s="2">
        <v>477.52</v>
      </c>
      <c r="N102" s="2">
        <v>3.0</v>
      </c>
      <c r="O102" s="2" t="s">
        <v>29</v>
      </c>
      <c r="P102" s="2">
        <v>7.0</v>
      </c>
      <c r="Q102" s="2">
        <v>66.0</v>
      </c>
      <c r="R102" s="3">
        <v>45208.0</v>
      </c>
      <c r="S102" s="2" t="s">
        <v>671</v>
      </c>
    </row>
    <row r="103" ht="14.25" customHeight="1">
      <c r="A103" s="2" t="s">
        <v>672</v>
      </c>
      <c r="B103" s="2" t="s">
        <v>673</v>
      </c>
      <c r="C103" s="2" t="s">
        <v>674</v>
      </c>
      <c r="D103" s="2">
        <v>68.0</v>
      </c>
      <c r="E103" s="2" t="s">
        <v>22</v>
      </c>
      <c r="F103" s="2" t="s">
        <v>213</v>
      </c>
      <c r="G103" s="2" t="s">
        <v>675</v>
      </c>
      <c r="H103" s="2" t="s">
        <v>676</v>
      </c>
      <c r="I103" s="2" t="s">
        <v>677</v>
      </c>
      <c r="J103" s="3">
        <v>45636.0</v>
      </c>
      <c r="K103" s="2" t="s">
        <v>678</v>
      </c>
      <c r="L103" s="2" t="s">
        <v>679</v>
      </c>
      <c r="M103" s="2">
        <v>424.82</v>
      </c>
      <c r="N103" s="2">
        <v>1.0</v>
      </c>
      <c r="O103" s="2" t="s">
        <v>56</v>
      </c>
      <c r="P103" s="2">
        <v>6.0</v>
      </c>
      <c r="Q103" s="2">
        <v>44.0</v>
      </c>
      <c r="R103" s="3">
        <v>45638.0</v>
      </c>
      <c r="S103" s="2" t="s">
        <v>680</v>
      </c>
    </row>
    <row r="104" ht="14.25" customHeight="1">
      <c r="A104" s="2" t="s">
        <v>681</v>
      </c>
      <c r="B104" s="2" t="s">
        <v>682</v>
      </c>
      <c r="C104" s="2" t="s">
        <v>683</v>
      </c>
      <c r="D104" s="2">
        <v>65.0</v>
      </c>
      <c r="E104" s="2" t="s">
        <v>34</v>
      </c>
      <c r="F104" s="2" t="s">
        <v>83</v>
      </c>
      <c r="G104" s="2" t="s">
        <v>684</v>
      </c>
      <c r="H104" s="2" t="s">
        <v>685</v>
      </c>
      <c r="I104" s="2" t="s">
        <v>686</v>
      </c>
      <c r="J104" s="3">
        <v>45165.0</v>
      </c>
      <c r="K104" s="2" t="s">
        <v>687</v>
      </c>
      <c r="L104" s="2" t="s">
        <v>423</v>
      </c>
      <c r="M104" s="2">
        <v>369.03</v>
      </c>
      <c r="N104" s="2">
        <v>4.0</v>
      </c>
      <c r="O104" s="2" t="s">
        <v>29</v>
      </c>
      <c r="P104" s="2">
        <v>3.0</v>
      </c>
      <c r="Q104" s="2">
        <v>56.0</v>
      </c>
      <c r="R104" s="3">
        <v>45169.0</v>
      </c>
      <c r="S104" s="2" t="s">
        <v>688</v>
      </c>
    </row>
    <row r="105" ht="14.25" customHeight="1">
      <c r="A105" s="2" t="s">
        <v>443</v>
      </c>
      <c r="B105" s="2" t="s">
        <v>444</v>
      </c>
      <c r="C105" s="2" t="s">
        <v>445</v>
      </c>
      <c r="D105" s="2">
        <v>69.0</v>
      </c>
      <c r="E105" s="2" t="s">
        <v>22</v>
      </c>
      <c r="F105" s="2" t="s">
        <v>23</v>
      </c>
      <c r="G105" s="2" t="s">
        <v>446</v>
      </c>
      <c r="H105" s="2" t="s">
        <v>447</v>
      </c>
      <c r="I105" s="2" t="s">
        <v>689</v>
      </c>
      <c r="J105" s="3">
        <v>45484.0</v>
      </c>
      <c r="K105" s="2" t="s">
        <v>690</v>
      </c>
      <c r="L105" s="2" t="s">
        <v>507</v>
      </c>
      <c r="M105" s="2">
        <v>136.3</v>
      </c>
      <c r="N105" s="2">
        <v>2.0</v>
      </c>
      <c r="O105" s="2" t="s">
        <v>89</v>
      </c>
      <c r="P105" s="2">
        <v>1.0</v>
      </c>
      <c r="Q105" s="2">
        <v>54.0</v>
      </c>
      <c r="R105" s="3">
        <v>45485.0</v>
      </c>
      <c r="S105" s="2" t="s">
        <v>691</v>
      </c>
    </row>
    <row r="106" ht="14.25" customHeight="1">
      <c r="A106" s="2" t="s">
        <v>405</v>
      </c>
      <c r="B106" s="2" t="s">
        <v>221</v>
      </c>
      <c r="C106" s="2" t="s">
        <v>406</v>
      </c>
      <c r="D106" s="2">
        <v>28.0</v>
      </c>
      <c r="E106" s="2" t="s">
        <v>45</v>
      </c>
      <c r="F106" s="2" t="s">
        <v>133</v>
      </c>
      <c r="G106" s="2" t="s">
        <v>407</v>
      </c>
      <c r="H106" s="2" t="s">
        <v>408</v>
      </c>
      <c r="I106" s="2" t="s">
        <v>692</v>
      </c>
      <c r="J106" s="3">
        <v>45113.0</v>
      </c>
      <c r="K106" s="2" t="s">
        <v>693</v>
      </c>
      <c r="L106" s="2" t="s">
        <v>147</v>
      </c>
      <c r="M106" s="2">
        <v>220.27</v>
      </c>
      <c r="N106" s="2">
        <v>4.0</v>
      </c>
      <c r="O106" s="2" t="s">
        <v>78</v>
      </c>
      <c r="P106" s="2">
        <v>4.0</v>
      </c>
      <c r="Q106" s="2">
        <v>65.0</v>
      </c>
      <c r="R106" s="3">
        <v>45117.0</v>
      </c>
      <c r="S106" s="2" t="s">
        <v>694</v>
      </c>
    </row>
    <row r="107" ht="14.25" customHeight="1">
      <c r="A107" s="2" t="s">
        <v>585</v>
      </c>
      <c r="B107" s="2" t="s">
        <v>586</v>
      </c>
      <c r="C107" s="2" t="s">
        <v>587</v>
      </c>
      <c r="D107" s="2">
        <v>21.0</v>
      </c>
      <c r="E107" s="2" t="s">
        <v>22</v>
      </c>
      <c r="F107" s="2" t="s">
        <v>35</v>
      </c>
      <c r="G107" s="2" t="s">
        <v>588</v>
      </c>
      <c r="H107" s="2" t="s">
        <v>589</v>
      </c>
      <c r="I107" s="2" t="s">
        <v>695</v>
      </c>
      <c r="J107" s="3">
        <v>45530.0</v>
      </c>
      <c r="K107" s="2" t="s">
        <v>696</v>
      </c>
      <c r="L107" s="2" t="s">
        <v>556</v>
      </c>
      <c r="M107" s="2">
        <v>133.62</v>
      </c>
      <c r="N107" s="2">
        <v>5.0</v>
      </c>
      <c r="O107" s="2" t="s">
        <v>51</v>
      </c>
      <c r="P107" s="2">
        <v>6.0</v>
      </c>
      <c r="Q107" s="2">
        <v>64.0</v>
      </c>
      <c r="R107" s="3">
        <v>45532.0</v>
      </c>
      <c r="S107" s="2" t="s">
        <v>697</v>
      </c>
    </row>
    <row r="108" ht="14.25" customHeight="1">
      <c r="A108" s="2" t="s">
        <v>698</v>
      </c>
      <c r="B108" s="2" t="s">
        <v>699</v>
      </c>
      <c r="C108" s="2" t="s">
        <v>700</v>
      </c>
      <c r="D108" s="2">
        <v>26.0</v>
      </c>
      <c r="E108" s="2" t="s">
        <v>45</v>
      </c>
      <c r="F108" s="2" t="s">
        <v>69</v>
      </c>
      <c r="G108" s="2" t="s">
        <v>701</v>
      </c>
      <c r="H108" s="2" t="s">
        <v>702</v>
      </c>
      <c r="I108" s="2" t="s">
        <v>703</v>
      </c>
      <c r="J108" s="3">
        <v>45432.0</v>
      </c>
      <c r="K108" s="2" t="s">
        <v>704</v>
      </c>
      <c r="L108" s="2" t="s">
        <v>28</v>
      </c>
      <c r="M108" s="2">
        <v>308.88</v>
      </c>
      <c r="N108" s="2">
        <v>2.0</v>
      </c>
      <c r="O108" s="2" t="s">
        <v>78</v>
      </c>
      <c r="P108" s="2">
        <v>4.0</v>
      </c>
      <c r="Q108" s="2">
        <v>61.0</v>
      </c>
      <c r="R108" s="3">
        <v>45436.0</v>
      </c>
      <c r="S108" s="2" t="s">
        <v>705</v>
      </c>
    </row>
    <row r="109" ht="14.25" customHeight="1">
      <c r="A109" s="2" t="s">
        <v>229</v>
      </c>
      <c r="B109" s="2" t="s">
        <v>59</v>
      </c>
      <c r="C109" s="2" t="s">
        <v>230</v>
      </c>
      <c r="D109" s="2">
        <v>52.0</v>
      </c>
      <c r="E109" s="2" t="s">
        <v>45</v>
      </c>
      <c r="F109" s="2" t="s">
        <v>35</v>
      </c>
      <c r="G109" s="2" t="s">
        <v>231</v>
      </c>
      <c r="H109" s="2" t="s">
        <v>232</v>
      </c>
      <c r="I109" s="2" t="s">
        <v>706</v>
      </c>
      <c r="J109" s="3">
        <v>45427.0</v>
      </c>
      <c r="K109" s="2" t="s">
        <v>707</v>
      </c>
      <c r="L109" s="2" t="s">
        <v>218</v>
      </c>
      <c r="M109" s="2">
        <v>461.07</v>
      </c>
      <c r="N109" s="2">
        <v>1.0</v>
      </c>
      <c r="O109" s="2" t="s">
        <v>78</v>
      </c>
      <c r="P109" s="2">
        <v>7.0</v>
      </c>
      <c r="Q109" s="2">
        <v>57.0</v>
      </c>
      <c r="R109" s="3">
        <v>45434.0</v>
      </c>
      <c r="S109" s="2" t="s">
        <v>708</v>
      </c>
    </row>
    <row r="110" ht="14.25" customHeight="1">
      <c r="A110" s="2" t="s">
        <v>709</v>
      </c>
      <c r="B110" s="2" t="s">
        <v>710</v>
      </c>
      <c r="C110" s="2" t="s">
        <v>711</v>
      </c>
      <c r="D110" s="2">
        <v>32.0</v>
      </c>
      <c r="E110" s="2" t="s">
        <v>34</v>
      </c>
      <c r="F110" s="2" t="s">
        <v>23</v>
      </c>
      <c r="G110" s="2" t="s">
        <v>712</v>
      </c>
      <c r="H110" s="2" t="s">
        <v>713</v>
      </c>
      <c r="I110" s="2" t="s">
        <v>714</v>
      </c>
      <c r="J110" s="3">
        <v>45021.0</v>
      </c>
      <c r="K110" s="2" t="s">
        <v>715</v>
      </c>
      <c r="L110" s="2" t="s">
        <v>349</v>
      </c>
      <c r="M110" s="2">
        <v>496.59</v>
      </c>
      <c r="N110" s="2">
        <v>5.0</v>
      </c>
      <c r="O110" s="2" t="s">
        <v>78</v>
      </c>
      <c r="P110" s="2">
        <v>1.0</v>
      </c>
      <c r="Q110" s="2">
        <v>40.0</v>
      </c>
      <c r="R110" s="3">
        <v>45025.0</v>
      </c>
      <c r="S110" s="2" t="s">
        <v>716</v>
      </c>
    </row>
    <row r="111" ht="14.25" customHeight="1">
      <c r="A111" s="2" t="s">
        <v>717</v>
      </c>
      <c r="B111" s="2" t="s">
        <v>718</v>
      </c>
      <c r="C111" s="2" t="s">
        <v>160</v>
      </c>
      <c r="D111" s="2">
        <v>70.0</v>
      </c>
      <c r="E111" s="2" t="s">
        <v>34</v>
      </c>
      <c r="F111" s="2" t="s">
        <v>83</v>
      </c>
      <c r="G111" s="2" t="s">
        <v>719</v>
      </c>
      <c r="H111" s="2" t="s">
        <v>720</v>
      </c>
      <c r="I111" s="2" t="s">
        <v>721</v>
      </c>
      <c r="J111" s="3">
        <v>45005.0</v>
      </c>
      <c r="K111" s="2" t="s">
        <v>722</v>
      </c>
      <c r="L111" s="2" t="s">
        <v>175</v>
      </c>
      <c r="M111" s="2">
        <v>104.18</v>
      </c>
      <c r="N111" s="2">
        <v>2.0</v>
      </c>
      <c r="O111" s="2" t="s">
        <v>29</v>
      </c>
      <c r="P111" s="2">
        <v>2.0</v>
      </c>
      <c r="Q111" s="2">
        <v>40.0</v>
      </c>
      <c r="R111" s="3">
        <v>45010.0</v>
      </c>
      <c r="S111" s="2" t="s">
        <v>723</v>
      </c>
    </row>
    <row r="112" ht="14.25" customHeight="1">
      <c r="A112" s="2" t="s">
        <v>724</v>
      </c>
      <c r="B112" s="2" t="s">
        <v>725</v>
      </c>
      <c r="C112" s="2" t="s">
        <v>726</v>
      </c>
      <c r="D112" s="2">
        <v>30.0</v>
      </c>
      <c r="E112" s="2" t="s">
        <v>22</v>
      </c>
      <c r="F112" s="2" t="s">
        <v>152</v>
      </c>
      <c r="G112" s="2" t="s">
        <v>727</v>
      </c>
      <c r="H112" s="2" t="s">
        <v>728</v>
      </c>
      <c r="I112" s="2" t="s">
        <v>729</v>
      </c>
      <c r="J112" s="3">
        <v>45406.0</v>
      </c>
      <c r="K112" s="2" t="s">
        <v>730</v>
      </c>
      <c r="L112" s="2" t="s">
        <v>731</v>
      </c>
      <c r="M112" s="2">
        <v>110.95</v>
      </c>
      <c r="N112" s="2">
        <v>2.0</v>
      </c>
      <c r="O112" s="2" t="s">
        <v>29</v>
      </c>
      <c r="P112" s="2">
        <v>4.0</v>
      </c>
      <c r="Q112" s="2">
        <v>68.0</v>
      </c>
      <c r="R112" s="3">
        <v>45408.0</v>
      </c>
      <c r="S112" s="2" t="s">
        <v>732</v>
      </c>
    </row>
    <row r="113" ht="14.25" customHeight="1">
      <c r="A113" s="2" t="s">
        <v>639</v>
      </c>
      <c r="B113" s="2" t="s">
        <v>640</v>
      </c>
      <c r="C113" s="2" t="s">
        <v>641</v>
      </c>
      <c r="D113" s="2">
        <v>45.0</v>
      </c>
      <c r="E113" s="2" t="s">
        <v>45</v>
      </c>
      <c r="F113" s="2" t="s">
        <v>83</v>
      </c>
      <c r="G113" s="2" t="s">
        <v>642</v>
      </c>
      <c r="H113" s="2" t="s">
        <v>643</v>
      </c>
      <c r="I113" s="2" t="s">
        <v>733</v>
      </c>
      <c r="J113" s="3">
        <v>45665.0</v>
      </c>
      <c r="K113" s="2" t="s">
        <v>734</v>
      </c>
      <c r="L113" s="2" t="s">
        <v>349</v>
      </c>
      <c r="M113" s="2">
        <v>496.59</v>
      </c>
      <c r="N113" s="2">
        <v>2.0</v>
      </c>
      <c r="O113" s="2" t="s">
        <v>56</v>
      </c>
      <c r="P113" s="2">
        <v>5.0</v>
      </c>
      <c r="Q113" s="2">
        <v>40.0</v>
      </c>
      <c r="R113" s="3">
        <v>45667.0</v>
      </c>
      <c r="S113" s="2" t="s">
        <v>735</v>
      </c>
    </row>
    <row r="114" ht="14.25" customHeight="1">
      <c r="A114" s="2" t="s">
        <v>483</v>
      </c>
      <c r="B114" s="2" t="s">
        <v>179</v>
      </c>
      <c r="C114" s="2" t="s">
        <v>320</v>
      </c>
      <c r="D114" s="2">
        <v>39.0</v>
      </c>
      <c r="E114" s="2" t="s">
        <v>45</v>
      </c>
      <c r="F114" s="2" t="s">
        <v>35</v>
      </c>
      <c r="G114" s="2" t="s">
        <v>484</v>
      </c>
      <c r="H114" s="2" t="s">
        <v>485</v>
      </c>
      <c r="I114" s="2" t="s">
        <v>736</v>
      </c>
      <c r="J114" s="3">
        <v>45397.0</v>
      </c>
      <c r="K114" s="2" t="s">
        <v>737</v>
      </c>
      <c r="L114" s="2" t="s">
        <v>119</v>
      </c>
      <c r="M114" s="2">
        <v>257.06</v>
      </c>
      <c r="N114" s="2">
        <v>4.0</v>
      </c>
      <c r="O114" s="2" t="s">
        <v>78</v>
      </c>
      <c r="P114" s="2">
        <v>3.0</v>
      </c>
      <c r="Q114" s="2">
        <v>50.0</v>
      </c>
      <c r="R114" s="3">
        <v>45401.0</v>
      </c>
      <c r="S114" s="2" t="s">
        <v>738</v>
      </c>
    </row>
    <row r="115" ht="14.25" customHeight="1">
      <c r="A115" s="2" t="s">
        <v>615</v>
      </c>
      <c r="B115" s="2" t="s">
        <v>122</v>
      </c>
      <c r="C115" s="2" t="s">
        <v>616</v>
      </c>
      <c r="D115" s="2">
        <v>47.0</v>
      </c>
      <c r="E115" s="2" t="s">
        <v>45</v>
      </c>
      <c r="F115" s="2" t="s">
        <v>69</v>
      </c>
      <c r="G115" s="2" t="s">
        <v>617</v>
      </c>
      <c r="H115" s="2" t="s">
        <v>618</v>
      </c>
      <c r="I115" s="2" t="s">
        <v>739</v>
      </c>
      <c r="J115" s="3">
        <v>45397.0</v>
      </c>
      <c r="K115" s="2" t="s">
        <v>740</v>
      </c>
      <c r="L115" s="2" t="s">
        <v>741</v>
      </c>
      <c r="M115" s="2">
        <v>381.73</v>
      </c>
      <c r="N115" s="2">
        <v>4.0</v>
      </c>
      <c r="O115" s="2" t="s">
        <v>89</v>
      </c>
      <c r="P115" s="2">
        <v>1.0</v>
      </c>
      <c r="Q115" s="2">
        <v>66.0</v>
      </c>
      <c r="R115" s="3">
        <v>45400.0</v>
      </c>
      <c r="S115" s="2" t="s">
        <v>742</v>
      </c>
    </row>
    <row r="116" ht="14.25" customHeight="1">
      <c r="A116" s="2" t="s">
        <v>743</v>
      </c>
      <c r="B116" s="2" t="s">
        <v>744</v>
      </c>
      <c r="C116" s="2" t="s">
        <v>745</v>
      </c>
      <c r="D116" s="2">
        <v>43.0</v>
      </c>
      <c r="E116" s="2" t="s">
        <v>45</v>
      </c>
      <c r="F116" s="2" t="s">
        <v>152</v>
      </c>
      <c r="G116" s="2" t="s">
        <v>746</v>
      </c>
      <c r="H116" s="2" t="s">
        <v>747</v>
      </c>
      <c r="I116" s="2" t="s">
        <v>748</v>
      </c>
      <c r="J116" s="3">
        <v>45276.0</v>
      </c>
      <c r="K116" s="2" t="s">
        <v>749</v>
      </c>
      <c r="L116" s="2" t="s">
        <v>376</v>
      </c>
      <c r="M116" s="2">
        <v>431.44</v>
      </c>
      <c r="N116" s="2">
        <v>5.0</v>
      </c>
      <c r="O116" s="2" t="s">
        <v>51</v>
      </c>
      <c r="P116" s="2">
        <v>4.0</v>
      </c>
      <c r="Q116" s="2">
        <v>42.0</v>
      </c>
      <c r="R116" s="3">
        <v>45280.0</v>
      </c>
      <c r="S116" s="2" t="s">
        <v>750</v>
      </c>
    </row>
    <row r="117" ht="14.25" customHeight="1">
      <c r="A117" s="2" t="s">
        <v>528</v>
      </c>
      <c r="B117" s="2" t="s">
        <v>529</v>
      </c>
      <c r="C117" s="2" t="s">
        <v>530</v>
      </c>
      <c r="D117" s="2">
        <v>32.0</v>
      </c>
      <c r="E117" s="2" t="s">
        <v>45</v>
      </c>
      <c r="F117" s="2" t="s">
        <v>83</v>
      </c>
      <c r="G117" s="2" t="s">
        <v>531</v>
      </c>
      <c r="H117" s="2" t="s">
        <v>532</v>
      </c>
      <c r="I117" s="2" t="s">
        <v>751</v>
      </c>
      <c r="J117" s="3">
        <v>45131.0</v>
      </c>
      <c r="K117" s="2" t="s">
        <v>752</v>
      </c>
      <c r="L117" s="2" t="s">
        <v>128</v>
      </c>
      <c r="M117" s="2">
        <v>175.93</v>
      </c>
      <c r="N117" s="2">
        <v>5.0</v>
      </c>
      <c r="O117" s="2" t="s">
        <v>56</v>
      </c>
      <c r="P117" s="2">
        <v>5.0</v>
      </c>
      <c r="Q117" s="2">
        <v>63.0</v>
      </c>
      <c r="R117" s="3">
        <v>45138.0</v>
      </c>
      <c r="S117" s="2" t="s">
        <v>753</v>
      </c>
    </row>
    <row r="118" ht="14.25" customHeight="1">
      <c r="A118" s="2" t="s">
        <v>112</v>
      </c>
      <c r="B118" s="2" t="s">
        <v>113</v>
      </c>
      <c r="C118" s="2" t="s">
        <v>114</v>
      </c>
      <c r="D118" s="2">
        <v>20.0</v>
      </c>
      <c r="E118" s="2" t="s">
        <v>22</v>
      </c>
      <c r="F118" s="2" t="s">
        <v>83</v>
      </c>
      <c r="G118" s="2" t="s">
        <v>115</v>
      </c>
      <c r="H118" s="2" t="s">
        <v>116</v>
      </c>
      <c r="I118" s="2" t="s">
        <v>754</v>
      </c>
      <c r="J118" s="3">
        <v>45156.0</v>
      </c>
      <c r="K118" s="2" t="s">
        <v>755</v>
      </c>
      <c r="L118" s="2" t="s">
        <v>50</v>
      </c>
      <c r="M118" s="2">
        <v>202.54</v>
      </c>
      <c r="N118" s="2">
        <v>5.0</v>
      </c>
      <c r="O118" s="2" t="s">
        <v>29</v>
      </c>
      <c r="P118" s="2">
        <v>2.0</v>
      </c>
      <c r="Q118" s="2">
        <v>68.0</v>
      </c>
      <c r="R118" s="3">
        <v>45159.0</v>
      </c>
      <c r="S118" s="2" t="s">
        <v>756</v>
      </c>
    </row>
    <row r="119" ht="14.25" customHeight="1">
      <c r="A119" s="2" t="s">
        <v>596</v>
      </c>
      <c r="B119" s="2" t="s">
        <v>597</v>
      </c>
      <c r="C119" s="2" t="s">
        <v>396</v>
      </c>
      <c r="D119" s="2">
        <v>18.0</v>
      </c>
      <c r="E119" s="2" t="s">
        <v>34</v>
      </c>
      <c r="F119" s="2" t="s">
        <v>35</v>
      </c>
      <c r="G119" s="2" t="s">
        <v>598</v>
      </c>
      <c r="H119" s="2" t="s">
        <v>599</v>
      </c>
      <c r="I119" s="2" t="s">
        <v>757</v>
      </c>
      <c r="J119" s="3">
        <v>45023.0</v>
      </c>
      <c r="K119" s="2" t="s">
        <v>758</v>
      </c>
      <c r="L119" s="2" t="s">
        <v>119</v>
      </c>
      <c r="M119" s="2">
        <v>257.06</v>
      </c>
      <c r="N119" s="2">
        <v>4.0</v>
      </c>
      <c r="O119" s="2" t="s">
        <v>89</v>
      </c>
      <c r="P119" s="2">
        <v>1.0</v>
      </c>
      <c r="Q119" s="2">
        <v>65.0</v>
      </c>
      <c r="R119" s="3">
        <v>45025.0</v>
      </c>
      <c r="S119" s="2" t="s">
        <v>759</v>
      </c>
    </row>
    <row r="120" ht="14.25" customHeight="1">
      <c r="A120" s="2" t="s">
        <v>760</v>
      </c>
      <c r="B120" s="2" t="s">
        <v>761</v>
      </c>
      <c r="C120" s="2" t="s">
        <v>762</v>
      </c>
      <c r="D120" s="2">
        <v>27.0</v>
      </c>
      <c r="E120" s="2" t="s">
        <v>22</v>
      </c>
      <c r="F120" s="2" t="s">
        <v>35</v>
      </c>
      <c r="G120" s="2" t="s">
        <v>763</v>
      </c>
      <c r="H120" s="2" t="s">
        <v>764</v>
      </c>
      <c r="I120" s="2" t="s">
        <v>765</v>
      </c>
      <c r="J120" s="3">
        <v>45183.0</v>
      </c>
      <c r="K120" s="2" t="s">
        <v>766</v>
      </c>
      <c r="L120" s="2" t="s">
        <v>767</v>
      </c>
      <c r="M120" s="2">
        <v>20.0</v>
      </c>
      <c r="N120" s="2">
        <v>1.0</v>
      </c>
      <c r="O120" s="2" t="s">
        <v>89</v>
      </c>
      <c r="P120" s="2">
        <v>4.0</v>
      </c>
      <c r="Q120" s="2">
        <v>68.0</v>
      </c>
      <c r="R120" s="3">
        <v>45185.0</v>
      </c>
      <c r="S120" s="2" t="s">
        <v>768</v>
      </c>
    </row>
    <row r="121" ht="14.25" customHeight="1">
      <c r="A121" s="2" t="s">
        <v>769</v>
      </c>
      <c r="B121" s="2" t="s">
        <v>770</v>
      </c>
      <c r="C121" s="2" t="s">
        <v>771</v>
      </c>
      <c r="D121" s="2">
        <v>32.0</v>
      </c>
      <c r="E121" s="2" t="s">
        <v>22</v>
      </c>
      <c r="F121" s="2" t="s">
        <v>152</v>
      </c>
      <c r="G121" s="2" t="s">
        <v>772</v>
      </c>
      <c r="H121" s="2" t="s">
        <v>773</v>
      </c>
      <c r="I121" s="2" t="s">
        <v>774</v>
      </c>
      <c r="J121" s="3">
        <v>45106.0</v>
      </c>
      <c r="K121" s="2" t="s">
        <v>775</v>
      </c>
      <c r="L121" s="2" t="s">
        <v>192</v>
      </c>
      <c r="M121" s="2">
        <v>20.7</v>
      </c>
      <c r="N121" s="2">
        <v>2.0</v>
      </c>
      <c r="O121" s="2" t="s">
        <v>56</v>
      </c>
      <c r="P121" s="2">
        <v>7.0</v>
      </c>
      <c r="Q121" s="2">
        <v>43.0</v>
      </c>
      <c r="R121" s="3">
        <v>45107.0</v>
      </c>
      <c r="S121" s="2" t="s">
        <v>776</v>
      </c>
    </row>
    <row r="122" ht="14.25" customHeight="1">
      <c r="A122" s="2" t="s">
        <v>149</v>
      </c>
      <c r="B122" s="2" t="s">
        <v>150</v>
      </c>
      <c r="C122" s="2" t="s">
        <v>151</v>
      </c>
      <c r="D122" s="2">
        <v>24.0</v>
      </c>
      <c r="E122" s="2" t="s">
        <v>22</v>
      </c>
      <c r="F122" s="2" t="s">
        <v>152</v>
      </c>
      <c r="G122" s="2" t="s">
        <v>153</v>
      </c>
      <c r="H122" s="2" t="s">
        <v>154</v>
      </c>
      <c r="I122" s="2" t="s">
        <v>777</v>
      </c>
      <c r="J122" s="3">
        <v>45003.0</v>
      </c>
      <c r="K122" s="2" t="s">
        <v>778</v>
      </c>
      <c r="L122" s="2" t="s">
        <v>741</v>
      </c>
      <c r="M122" s="2">
        <v>381.73</v>
      </c>
      <c r="N122" s="2">
        <v>2.0</v>
      </c>
      <c r="O122" s="2" t="s">
        <v>56</v>
      </c>
      <c r="P122" s="2">
        <v>6.0</v>
      </c>
      <c r="Q122" s="2">
        <v>41.0</v>
      </c>
      <c r="R122" s="3">
        <v>45008.0</v>
      </c>
      <c r="S122" s="2" t="s">
        <v>779</v>
      </c>
    </row>
    <row r="123" ht="14.25" customHeight="1">
      <c r="A123" s="2" t="s">
        <v>286</v>
      </c>
      <c r="B123" s="2" t="s">
        <v>287</v>
      </c>
      <c r="C123" s="2" t="s">
        <v>288</v>
      </c>
      <c r="D123" s="2">
        <v>48.0</v>
      </c>
      <c r="E123" s="2" t="s">
        <v>34</v>
      </c>
      <c r="F123" s="2" t="s">
        <v>83</v>
      </c>
      <c r="G123" s="2" t="s">
        <v>289</v>
      </c>
      <c r="H123" s="2" t="s">
        <v>290</v>
      </c>
      <c r="I123" s="2" t="s">
        <v>780</v>
      </c>
      <c r="J123" s="3">
        <v>45499.0</v>
      </c>
      <c r="K123" s="2" t="s">
        <v>781</v>
      </c>
      <c r="L123" s="2" t="s">
        <v>316</v>
      </c>
      <c r="M123" s="2">
        <v>481.48</v>
      </c>
      <c r="N123" s="2">
        <v>1.0</v>
      </c>
      <c r="O123" s="2" t="s">
        <v>29</v>
      </c>
      <c r="P123" s="2">
        <v>1.0</v>
      </c>
      <c r="Q123" s="2">
        <v>69.0</v>
      </c>
      <c r="R123" s="3">
        <v>45503.0</v>
      </c>
      <c r="S123" s="2" t="s">
        <v>782</v>
      </c>
    </row>
    <row r="124" ht="14.25" customHeight="1">
      <c r="A124" s="2" t="s">
        <v>521</v>
      </c>
      <c r="B124" s="2" t="s">
        <v>387</v>
      </c>
      <c r="C124" s="2" t="s">
        <v>522</v>
      </c>
      <c r="D124" s="2">
        <v>51.0</v>
      </c>
      <c r="E124" s="2" t="s">
        <v>45</v>
      </c>
      <c r="F124" s="2" t="s">
        <v>133</v>
      </c>
      <c r="G124" s="2" t="s">
        <v>523</v>
      </c>
      <c r="H124" s="2" t="s">
        <v>524</v>
      </c>
      <c r="I124" s="2" t="s">
        <v>783</v>
      </c>
      <c r="J124" s="3">
        <v>45335.0</v>
      </c>
      <c r="K124" s="2" t="s">
        <v>784</v>
      </c>
      <c r="L124" s="2" t="s">
        <v>333</v>
      </c>
      <c r="M124" s="2">
        <v>77.84</v>
      </c>
      <c r="N124" s="2">
        <v>2.0</v>
      </c>
      <c r="O124" s="2" t="s">
        <v>29</v>
      </c>
      <c r="P124" s="2">
        <v>6.0</v>
      </c>
      <c r="Q124" s="2">
        <v>36.0</v>
      </c>
      <c r="R124" s="3">
        <v>45341.0</v>
      </c>
      <c r="S124" s="2" t="s">
        <v>785</v>
      </c>
    </row>
    <row r="125" ht="14.25" customHeight="1">
      <c r="A125" s="2" t="s">
        <v>386</v>
      </c>
      <c r="B125" s="2" t="s">
        <v>387</v>
      </c>
      <c r="C125" s="2" t="s">
        <v>388</v>
      </c>
      <c r="D125" s="2">
        <v>40.0</v>
      </c>
      <c r="E125" s="2" t="s">
        <v>45</v>
      </c>
      <c r="F125" s="2" t="s">
        <v>161</v>
      </c>
      <c r="G125" s="2" t="s">
        <v>389</v>
      </c>
      <c r="H125" s="2" t="s">
        <v>390</v>
      </c>
      <c r="I125" s="2" t="s">
        <v>786</v>
      </c>
      <c r="J125" s="3">
        <v>45186.0</v>
      </c>
      <c r="K125" s="2" t="s">
        <v>787</v>
      </c>
      <c r="L125" s="2" t="s">
        <v>507</v>
      </c>
      <c r="M125" s="2">
        <v>136.3</v>
      </c>
      <c r="N125" s="2">
        <v>1.0</v>
      </c>
      <c r="O125" s="2" t="s">
        <v>78</v>
      </c>
      <c r="P125" s="2">
        <v>4.0</v>
      </c>
      <c r="Q125" s="2">
        <v>41.0</v>
      </c>
      <c r="R125" s="3">
        <v>45189.0</v>
      </c>
      <c r="S125" s="2" t="s">
        <v>788</v>
      </c>
    </row>
    <row r="126" ht="14.25" customHeight="1">
      <c r="A126" s="2" t="s">
        <v>405</v>
      </c>
      <c r="B126" s="2" t="s">
        <v>221</v>
      </c>
      <c r="C126" s="2" t="s">
        <v>406</v>
      </c>
      <c r="D126" s="2">
        <v>28.0</v>
      </c>
      <c r="E126" s="2" t="s">
        <v>45</v>
      </c>
      <c r="F126" s="2" t="s">
        <v>133</v>
      </c>
      <c r="G126" s="2" t="s">
        <v>407</v>
      </c>
      <c r="H126" s="2" t="s">
        <v>408</v>
      </c>
      <c r="I126" s="2" t="s">
        <v>789</v>
      </c>
      <c r="J126" s="3">
        <v>45213.0</v>
      </c>
      <c r="K126" s="2" t="s">
        <v>790</v>
      </c>
      <c r="L126" s="2" t="s">
        <v>679</v>
      </c>
      <c r="M126" s="2">
        <v>424.82</v>
      </c>
      <c r="N126" s="2">
        <v>3.0</v>
      </c>
      <c r="O126" s="2" t="s">
        <v>29</v>
      </c>
      <c r="P126" s="2">
        <v>2.0</v>
      </c>
      <c r="Q126" s="2">
        <v>67.0</v>
      </c>
      <c r="R126" s="3">
        <v>45215.0</v>
      </c>
      <c r="S126" s="2" t="s">
        <v>791</v>
      </c>
    </row>
    <row r="127" ht="14.25" customHeight="1">
      <c r="A127" s="2" t="s">
        <v>185</v>
      </c>
      <c r="B127" s="2" t="s">
        <v>186</v>
      </c>
      <c r="C127" s="2" t="s">
        <v>187</v>
      </c>
      <c r="D127" s="2">
        <v>34.0</v>
      </c>
      <c r="E127" s="2" t="s">
        <v>22</v>
      </c>
      <c r="F127" s="2" t="s">
        <v>83</v>
      </c>
      <c r="G127" s="2" t="s">
        <v>188</v>
      </c>
      <c r="H127" s="2" t="s">
        <v>189</v>
      </c>
      <c r="I127" s="2" t="s">
        <v>792</v>
      </c>
      <c r="J127" s="3">
        <v>45667.0</v>
      </c>
      <c r="K127" s="2" t="s">
        <v>793</v>
      </c>
      <c r="L127" s="2" t="s">
        <v>507</v>
      </c>
      <c r="M127" s="2">
        <v>136.3</v>
      </c>
      <c r="N127" s="2">
        <v>2.0</v>
      </c>
      <c r="O127" s="2" t="s">
        <v>89</v>
      </c>
      <c r="P127" s="2">
        <v>3.0</v>
      </c>
      <c r="Q127" s="2">
        <v>68.0</v>
      </c>
      <c r="R127" s="3">
        <v>45674.0</v>
      </c>
      <c r="S127" s="2" t="s">
        <v>794</v>
      </c>
    </row>
    <row r="128" ht="14.25" customHeight="1">
      <c r="A128" s="2" t="s">
        <v>140</v>
      </c>
      <c r="B128" s="2" t="s">
        <v>141</v>
      </c>
      <c r="C128" s="2" t="s">
        <v>142</v>
      </c>
      <c r="D128" s="2">
        <v>44.0</v>
      </c>
      <c r="E128" s="2" t="s">
        <v>34</v>
      </c>
      <c r="F128" s="2" t="s">
        <v>83</v>
      </c>
      <c r="G128" s="2" t="s">
        <v>143</v>
      </c>
      <c r="H128" s="2" t="s">
        <v>144</v>
      </c>
      <c r="I128" s="2" t="s">
        <v>795</v>
      </c>
      <c r="J128" s="3">
        <v>45636.0</v>
      </c>
      <c r="K128" s="2" t="s">
        <v>796</v>
      </c>
      <c r="L128" s="2" t="s">
        <v>376</v>
      </c>
      <c r="M128" s="2">
        <v>431.44</v>
      </c>
      <c r="N128" s="2">
        <v>4.0</v>
      </c>
      <c r="O128" s="2" t="s">
        <v>51</v>
      </c>
      <c r="P128" s="2">
        <v>2.0</v>
      </c>
      <c r="Q128" s="2">
        <v>66.0</v>
      </c>
      <c r="R128" s="3">
        <v>45637.0</v>
      </c>
      <c r="S128" s="2" t="s">
        <v>797</v>
      </c>
    </row>
    <row r="129" ht="14.25" customHeight="1">
      <c r="A129" s="2" t="s">
        <v>698</v>
      </c>
      <c r="B129" s="2" t="s">
        <v>699</v>
      </c>
      <c r="C129" s="2" t="s">
        <v>700</v>
      </c>
      <c r="D129" s="2">
        <v>26.0</v>
      </c>
      <c r="E129" s="2" t="s">
        <v>45</v>
      </c>
      <c r="F129" s="2" t="s">
        <v>69</v>
      </c>
      <c r="G129" s="2" t="s">
        <v>701</v>
      </c>
      <c r="H129" s="2" t="s">
        <v>702</v>
      </c>
      <c r="I129" s="2" t="s">
        <v>798</v>
      </c>
      <c r="J129" s="3">
        <v>45450.0</v>
      </c>
      <c r="K129" s="2" t="s">
        <v>799</v>
      </c>
      <c r="L129" s="2" t="s">
        <v>227</v>
      </c>
      <c r="M129" s="2">
        <v>132.97</v>
      </c>
      <c r="N129" s="2">
        <v>5.0</v>
      </c>
      <c r="O129" s="2" t="s">
        <v>78</v>
      </c>
      <c r="P129" s="2">
        <v>3.0</v>
      </c>
      <c r="Q129" s="2">
        <v>45.0</v>
      </c>
      <c r="R129" s="3">
        <v>45452.0</v>
      </c>
      <c r="S129" s="2" t="s">
        <v>800</v>
      </c>
    </row>
    <row r="130" ht="14.25" customHeight="1">
      <c r="A130" s="2" t="s">
        <v>521</v>
      </c>
      <c r="B130" s="2" t="s">
        <v>387</v>
      </c>
      <c r="C130" s="2" t="s">
        <v>522</v>
      </c>
      <c r="D130" s="2">
        <v>51.0</v>
      </c>
      <c r="E130" s="2" t="s">
        <v>45</v>
      </c>
      <c r="F130" s="2" t="s">
        <v>133</v>
      </c>
      <c r="G130" s="2" t="s">
        <v>523</v>
      </c>
      <c r="H130" s="2" t="s">
        <v>524</v>
      </c>
      <c r="I130" s="2" t="s">
        <v>801</v>
      </c>
      <c r="J130" s="3">
        <v>45598.0</v>
      </c>
      <c r="K130" s="2" t="s">
        <v>802</v>
      </c>
      <c r="L130" s="2" t="s">
        <v>166</v>
      </c>
      <c r="M130" s="2">
        <v>272.51</v>
      </c>
      <c r="N130" s="2">
        <v>4.0</v>
      </c>
      <c r="O130" s="2" t="s">
        <v>56</v>
      </c>
      <c r="P130" s="2">
        <v>2.0</v>
      </c>
      <c r="Q130" s="2">
        <v>42.0</v>
      </c>
      <c r="R130" s="3">
        <v>45599.0</v>
      </c>
      <c r="S130" s="2" t="s">
        <v>803</v>
      </c>
    </row>
    <row r="131" ht="14.25" customHeight="1">
      <c r="A131" s="2" t="s">
        <v>31</v>
      </c>
      <c r="B131" s="2" t="s">
        <v>32</v>
      </c>
      <c r="C131" s="2" t="s">
        <v>33</v>
      </c>
      <c r="D131" s="2">
        <v>53.0</v>
      </c>
      <c r="E131" s="2" t="s">
        <v>34</v>
      </c>
      <c r="F131" s="2" t="s">
        <v>35</v>
      </c>
      <c r="G131" s="2" t="s">
        <v>36</v>
      </c>
      <c r="H131" s="2" t="s">
        <v>37</v>
      </c>
      <c r="I131" s="2" t="s">
        <v>804</v>
      </c>
      <c r="J131" s="3">
        <v>45589.0</v>
      </c>
      <c r="K131" s="2" t="s">
        <v>805</v>
      </c>
      <c r="L131" s="2" t="s">
        <v>50</v>
      </c>
      <c r="M131" s="2">
        <v>202.54</v>
      </c>
      <c r="N131" s="2">
        <v>2.0</v>
      </c>
      <c r="O131" s="2" t="s">
        <v>78</v>
      </c>
      <c r="P131" s="2">
        <v>6.0</v>
      </c>
      <c r="Q131" s="2">
        <v>70.0</v>
      </c>
      <c r="R131" s="3">
        <v>45594.0</v>
      </c>
      <c r="S131" s="2" t="s">
        <v>806</v>
      </c>
    </row>
    <row r="132" ht="14.25" customHeight="1">
      <c r="A132" s="2" t="s">
        <v>91</v>
      </c>
      <c r="B132" s="2" t="s">
        <v>92</v>
      </c>
      <c r="C132" s="2" t="s">
        <v>93</v>
      </c>
      <c r="D132" s="2">
        <v>39.0</v>
      </c>
      <c r="E132" s="2" t="s">
        <v>22</v>
      </c>
      <c r="F132" s="2" t="s">
        <v>23</v>
      </c>
      <c r="G132" s="2" t="s">
        <v>94</v>
      </c>
      <c r="H132" s="2" t="s">
        <v>95</v>
      </c>
      <c r="I132" s="2" t="s">
        <v>807</v>
      </c>
      <c r="J132" s="3">
        <v>45689.0</v>
      </c>
      <c r="K132" s="2" t="s">
        <v>808</v>
      </c>
      <c r="L132" s="2" t="s">
        <v>507</v>
      </c>
      <c r="M132" s="2">
        <v>136.3</v>
      </c>
      <c r="N132" s="2">
        <v>2.0</v>
      </c>
      <c r="O132" s="2" t="s">
        <v>89</v>
      </c>
      <c r="P132" s="2">
        <v>2.0</v>
      </c>
      <c r="Q132" s="2">
        <v>51.0</v>
      </c>
      <c r="R132" s="3">
        <v>45694.0</v>
      </c>
      <c r="S132" s="2" t="s">
        <v>809</v>
      </c>
    </row>
    <row r="133" ht="14.25" customHeight="1">
      <c r="A133" s="2" t="s">
        <v>220</v>
      </c>
      <c r="B133" s="2" t="s">
        <v>221</v>
      </c>
      <c r="C133" s="2" t="s">
        <v>222</v>
      </c>
      <c r="D133" s="2">
        <v>64.0</v>
      </c>
      <c r="E133" s="2" t="s">
        <v>34</v>
      </c>
      <c r="F133" s="2" t="s">
        <v>35</v>
      </c>
      <c r="G133" s="2" t="s">
        <v>223</v>
      </c>
      <c r="H133" s="2" t="s">
        <v>224</v>
      </c>
      <c r="I133" s="2" t="s">
        <v>810</v>
      </c>
      <c r="J133" s="3">
        <v>45094.0</v>
      </c>
      <c r="K133" s="2" t="s">
        <v>811</v>
      </c>
      <c r="L133" s="2" t="s">
        <v>583</v>
      </c>
      <c r="M133" s="2">
        <v>403.03</v>
      </c>
      <c r="N133" s="2">
        <v>5.0</v>
      </c>
      <c r="O133" s="2" t="s">
        <v>56</v>
      </c>
      <c r="P133" s="2">
        <v>7.0</v>
      </c>
      <c r="Q133" s="2">
        <v>52.0</v>
      </c>
      <c r="R133" s="3">
        <v>45097.0</v>
      </c>
      <c r="S133" s="2" t="s">
        <v>812</v>
      </c>
    </row>
    <row r="134" ht="14.25" customHeight="1">
      <c r="A134" s="2" t="s">
        <v>342</v>
      </c>
      <c r="B134" s="2" t="s">
        <v>343</v>
      </c>
      <c r="C134" s="2" t="s">
        <v>344</v>
      </c>
      <c r="D134" s="2">
        <v>70.0</v>
      </c>
      <c r="E134" s="2" t="s">
        <v>22</v>
      </c>
      <c r="F134" s="2" t="s">
        <v>161</v>
      </c>
      <c r="G134" s="2" t="s">
        <v>345</v>
      </c>
      <c r="H134" s="2" t="s">
        <v>346</v>
      </c>
      <c r="I134" s="2" t="s">
        <v>813</v>
      </c>
      <c r="J134" s="3">
        <v>45281.0</v>
      </c>
      <c r="K134" s="2" t="s">
        <v>814</v>
      </c>
      <c r="L134" s="2" t="s">
        <v>583</v>
      </c>
      <c r="M134" s="2">
        <v>403.03</v>
      </c>
      <c r="N134" s="2">
        <v>4.0</v>
      </c>
      <c r="O134" s="2" t="s">
        <v>89</v>
      </c>
      <c r="P134" s="2">
        <v>6.0</v>
      </c>
      <c r="Q134" s="2">
        <v>47.0</v>
      </c>
      <c r="R134" s="3">
        <v>45283.0</v>
      </c>
      <c r="S134" s="2" t="s">
        <v>815</v>
      </c>
    </row>
    <row r="135" ht="14.25" customHeight="1">
      <c r="A135" s="2" t="s">
        <v>816</v>
      </c>
      <c r="B135" s="2" t="s">
        <v>817</v>
      </c>
      <c r="C135" s="2" t="s">
        <v>818</v>
      </c>
      <c r="D135" s="2">
        <v>42.0</v>
      </c>
      <c r="E135" s="2" t="s">
        <v>22</v>
      </c>
      <c r="F135" s="2" t="s">
        <v>69</v>
      </c>
      <c r="G135" s="2" t="s">
        <v>819</v>
      </c>
      <c r="H135" s="2" t="s">
        <v>820</v>
      </c>
      <c r="I135" s="2" t="s">
        <v>821</v>
      </c>
      <c r="J135" s="3">
        <v>44979.0</v>
      </c>
      <c r="K135" s="2" t="s">
        <v>822</v>
      </c>
      <c r="L135" s="2" t="s">
        <v>138</v>
      </c>
      <c r="M135" s="2">
        <v>190.1</v>
      </c>
      <c r="N135" s="2">
        <v>5.0</v>
      </c>
      <c r="O135" s="2" t="s">
        <v>78</v>
      </c>
      <c r="P135" s="2">
        <v>4.0</v>
      </c>
      <c r="Q135" s="2">
        <v>37.0</v>
      </c>
      <c r="R135" s="3">
        <v>44984.0</v>
      </c>
      <c r="S135" s="2" t="s">
        <v>823</v>
      </c>
    </row>
    <row r="136" ht="14.25" customHeight="1">
      <c r="A136" s="2" t="s">
        <v>824</v>
      </c>
      <c r="B136" s="2" t="s">
        <v>825</v>
      </c>
      <c r="C136" s="2" t="s">
        <v>826</v>
      </c>
      <c r="D136" s="2">
        <v>60.0</v>
      </c>
      <c r="E136" s="2" t="s">
        <v>22</v>
      </c>
      <c r="F136" s="2" t="s">
        <v>133</v>
      </c>
      <c r="G136" s="2" t="s">
        <v>827</v>
      </c>
      <c r="H136" s="2" t="s">
        <v>828</v>
      </c>
      <c r="I136" s="2" t="s">
        <v>829</v>
      </c>
      <c r="J136" s="3">
        <v>45663.0</v>
      </c>
      <c r="K136" s="2" t="s">
        <v>830</v>
      </c>
      <c r="L136" s="2" t="s">
        <v>507</v>
      </c>
      <c r="M136" s="2">
        <v>136.3</v>
      </c>
      <c r="N136" s="2">
        <v>4.0</v>
      </c>
      <c r="O136" s="2" t="s">
        <v>56</v>
      </c>
      <c r="P136" s="2">
        <v>5.0</v>
      </c>
      <c r="Q136" s="2">
        <v>61.0</v>
      </c>
      <c r="R136" s="3">
        <v>45668.0</v>
      </c>
      <c r="S136" s="2" t="s">
        <v>831</v>
      </c>
    </row>
    <row r="137" ht="14.25" customHeight="1">
      <c r="A137" s="2" t="s">
        <v>832</v>
      </c>
      <c r="B137" s="2" t="s">
        <v>833</v>
      </c>
      <c r="C137" s="2" t="s">
        <v>834</v>
      </c>
      <c r="D137" s="2">
        <v>26.0</v>
      </c>
      <c r="E137" s="2" t="s">
        <v>34</v>
      </c>
      <c r="F137" s="2" t="s">
        <v>152</v>
      </c>
      <c r="G137" s="2" t="s">
        <v>835</v>
      </c>
      <c r="H137" s="2" t="s">
        <v>836</v>
      </c>
      <c r="I137" s="2" t="s">
        <v>837</v>
      </c>
      <c r="J137" s="3">
        <v>45226.0</v>
      </c>
      <c r="K137" s="2" t="s">
        <v>838</v>
      </c>
      <c r="L137" s="2" t="s">
        <v>650</v>
      </c>
      <c r="M137" s="2">
        <v>235.63</v>
      </c>
      <c r="N137" s="2">
        <v>1.0</v>
      </c>
      <c r="O137" s="2" t="s">
        <v>78</v>
      </c>
      <c r="P137" s="2">
        <v>2.0</v>
      </c>
      <c r="Q137" s="2">
        <v>66.0</v>
      </c>
      <c r="R137" s="3">
        <v>45233.0</v>
      </c>
      <c r="S137" s="2" t="s">
        <v>839</v>
      </c>
    </row>
    <row r="138" ht="14.25" customHeight="1">
      <c r="A138" s="2" t="s">
        <v>840</v>
      </c>
      <c r="B138" s="2" t="s">
        <v>841</v>
      </c>
      <c r="C138" s="2" t="s">
        <v>380</v>
      </c>
      <c r="D138" s="2">
        <v>37.0</v>
      </c>
      <c r="E138" s="2" t="s">
        <v>45</v>
      </c>
      <c r="F138" s="2" t="s">
        <v>213</v>
      </c>
      <c r="G138" s="2" t="s">
        <v>842</v>
      </c>
      <c r="H138" s="2" t="s">
        <v>843</v>
      </c>
      <c r="I138" s="2" t="s">
        <v>844</v>
      </c>
      <c r="J138" s="3">
        <v>45249.0</v>
      </c>
      <c r="K138" s="2" t="s">
        <v>845</v>
      </c>
      <c r="L138" s="2" t="s">
        <v>646</v>
      </c>
      <c r="M138" s="2">
        <v>433.62</v>
      </c>
      <c r="N138" s="2">
        <v>4.0</v>
      </c>
      <c r="O138" s="2" t="s">
        <v>78</v>
      </c>
      <c r="P138" s="2">
        <v>3.0</v>
      </c>
      <c r="Q138" s="2">
        <v>36.0</v>
      </c>
      <c r="R138" s="3">
        <v>45252.0</v>
      </c>
      <c r="S138" s="2" t="s">
        <v>846</v>
      </c>
    </row>
    <row r="139" ht="14.25" customHeight="1">
      <c r="A139" s="2" t="s">
        <v>743</v>
      </c>
      <c r="B139" s="2" t="s">
        <v>744</v>
      </c>
      <c r="C139" s="2" t="s">
        <v>745</v>
      </c>
      <c r="D139" s="2">
        <v>43.0</v>
      </c>
      <c r="E139" s="2" t="s">
        <v>45</v>
      </c>
      <c r="F139" s="2" t="s">
        <v>152</v>
      </c>
      <c r="G139" s="2" t="s">
        <v>746</v>
      </c>
      <c r="H139" s="2" t="s">
        <v>747</v>
      </c>
      <c r="I139" s="2" t="s">
        <v>847</v>
      </c>
      <c r="J139" s="3">
        <v>45331.0</v>
      </c>
      <c r="K139" s="2" t="s">
        <v>848</v>
      </c>
      <c r="L139" s="2" t="s">
        <v>280</v>
      </c>
      <c r="M139" s="2">
        <v>157.64</v>
      </c>
      <c r="N139" s="2">
        <v>5.0</v>
      </c>
      <c r="O139" s="2" t="s">
        <v>56</v>
      </c>
      <c r="P139" s="2">
        <v>7.0</v>
      </c>
      <c r="Q139" s="2">
        <v>36.0</v>
      </c>
      <c r="R139" s="3">
        <v>45332.0</v>
      </c>
      <c r="S139" s="2" t="s">
        <v>849</v>
      </c>
    </row>
    <row r="140" ht="14.25" customHeight="1">
      <c r="A140" s="2" t="s">
        <v>80</v>
      </c>
      <c r="B140" s="2" t="s">
        <v>81</v>
      </c>
      <c r="C140" s="2" t="s">
        <v>82</v>
      </c>
      <c r="D140" s="2">
        <v>26.0</v>
      </c>
      <c r="E140" s="2" t="s">
        <v>34</v>
      </c>
      <c r="F140" s="2" t="s">
        <v>83</v>
      </c>
      <c r="G140" s="2" t="s">
        <v>84</v>
      </c>
      <c r="H140" s="2" t="s">
        <v>85</v>
      </c>
      <c r="I140" s="2" t="s">
        <v>850</v>
      </c>
      <c r="J140" s="3">
        <v>45108.0</v>
      </c>
      <c r="K140" s="2" t="s">
        <v>851</v>
      </c>
      <c r="L140" s="2" t="s">
        <v>284</v>
      </c>
      <c r="M140" s="2">
        <v>158.53</v>
      </c>
      <c r="N140" s="2">
        <v>5.0</v>
      </c>
      <c r="O140" s="2" t="s">
        <v>56</v>
      </c>
      <c r="P140" s="2">
        <v>4.0</v>
      </c>
      <c r="Q140" s="2">
        <v>66.0</v>
      </c>
      <c r="R140" s="3">
        <v>45111.0</v>
      </c>
      <c r="S140" s="2" t="s">
        <v>852</v>
      </c>
    </row>
    <row r="141" ht="14.25" customHeight="1">
      <c r="A141" s="2" t="s">
        <v>177</v>
      </c>
      <c r="B141" s="2" t="s">
        <v>178</v>
      </c>
      <c r="C141" s="2" t="s">
        <v>179</v>
      </c>
      <c r="D141" s="2">
        <v>42.0</v>
      </c>
      <c r="E141" s="2" t="s">
        <v>34</v>
      </c>
      <c r="F141" s="2" t="s">
        <v>161</v>
      </c>
      <c r="G141" s="2" t="s">
        <v>180</v>
      </c>
      <c r="H141" s="2" t="s">
        <v>181</v>
      </c>
      <c r="I141" s="2" t="s">
        <v>853</v>
      </c>
      <c r="J141" s="3">
        <v>45283.0</v>
      </c>
      <c r="K141" s="2" t="s">
        <v>854</v>
      </c>
      <c r="L141" s="2" t="s">
        <v>119</v>
      </c>
      <c r="M141" s="2">
        <v>257.06</v>
      </c>
      <c r="N141" s="2">
        <v>3.0</v>
      </c>
      <c r="O141" s="2" t="s">
        <v>29</v>
      </c>
      <c r="P141" s="2">
        <v>6.0</v>
      </c>
      <c r="Q141" s="2">
        <v>65.0</v>
      </c>
      <c r="R141" s="3">
        <v>45289.0</v>
      </c>
      <c r="S141" s="2" t="s">
        <v>855</v>
      </c>
    </row>
    <row r="142" ht="14.25" customHeight="1">
      <c r="A142" s="2" t="s">
        <v>769</v>
      </c>
      <c r="B142" s="2" t="s">
        <v>770</v>
      </c>
      <c r="C142" s="2" t="s">
        <v>771</v>
      </c>
      <c r="D142" s="2">
        <v>32.0</v>
      </c>
      <c r="E142" s="2" t="s">
        <v>22</v>
      </c>
      <c r="F142" s="2" t="s">
        <v>152</v>
      </c>
      <c r="G142" s="2" t="s">
        <v>772</v>
      </c>
      <c r="H142" s="2" t="s">
        <v>773</v>
      </c>
      <c r="I142" s="2" t="s">
        <v>856</v>
      </c>
      <c r="J142" s="3">
        <v>45537.0</v>
      </c>
      <c r="K142" s="2" t="s">
        <v>857</v>
      </c>
      <c r="L142" s="2" t="s">
        <v>731</v>
      </c>
      <c r="M142" s="2">
        <v>110.95</v>
      </c>
      <c r="N142" s="2">
        <v>4.0</v>
      </c>
      <c r="O142" s="2" t="s">
        <v>51</v>
      </c>
      <c r="P142" s="2">
        <v>1.0</v>
      </c>
      <c r="Q142" s="2">
        <v>60.0</v>
      </c>
      <c r="R142" s="3">
        <v>45541.0</v>
      </c>
      <c r="S142" s="2" t="s">
        <v>858</v>
      </c>
    </row>
    <row r="143" ht="14.25" customHeight="1">
      <c r="A143" s="2" t="s">
        <v>539</v>
      </c>
      <c r="B143" s="2" t="s">
        <v>540</v>
      </c>
      <c r="C143" s="2" t="s">
        <v>541</v>
      </c>
      <c r="D143" s="2">
        <v>33.0</v>
      </c>
      <c r="E143" s="2" t="s">
        <v>45</v>
      </c>
      <c r="F143" s="2" t="s">
        <v>161</v>
      </c>
      <c r="G143" s="2" t="s">
        <v>542</v>
      </c>
      <c r="H143" s="2" t="s">
        <v>543</v>
      </c>
      <c r="I143" s="2" t="s">
        <v>859</v>
      </c>
      <c r="J143" s="3">
        <v>45609.0</v>
      </c>
      <c r="K143" s="2" t="s">
        <v>860</v>
      </c>
      <c r="L143" s="2" t="s">
        <v>316</v>
      </c>
      <c r="M143" s="2">
        <v>481.48</v>
      </c>
      <c r="N143" s="2">
        <v>5.0</v>
      </c>
      <c r="O143" s="2" t="s">
        <v>29</v>
      </c>
      <c r="P143" s="2">
        <v>6.0</v>
      </c>
      <c r="Q143" s="2">
        <v>44.0</v>
      </c>
      <c r="R143" s="3">
        <v>45612.0</v>
      </c>
      <c r="S143" s="2" t="s">
        <v>861</v>
      </c>
    </row>
    <row r="144" ht="14.25" customHeight="1">
      <c r="A144" s="2" t="s">
        <v>500</v>
      </c>
      <c r="B144" s="2" t="s">
        <v>501</v>
      </c>
      <c r="C144" s="2" t="s">
        <v>502</v>
      </c>
      <c r="D144" s="2">
        <v>64.0</v>
      </c>
      <c r="E144" s="2" t="s">
        <v>22</v>
      </c>
      <c r="F144" s="2" t="s">
        <v>23</v>
      </c>
      <c r="G144" s="2" t="s">
        <v>503</v>
      </c>
      <c r="H144" s="2" t="s">
        <v>504</v>
      </c>
      <c r="I144" s="2" t="s">
        <v>862</v>
      </c>
      <c r="J144" s="3">
        <v>45576.0</v>
      </c>
      <c r="K144" s="2" t="s">
        <v>863</v>
      </c>
      <c r="L144" s="2" t="s">
        <v>864</v>
      </c>
      <c r="M144" s="2">
        <v>292.15</v>
      </c>
      <c r="N144" s="2">
        <v>4.0</v>
      </c>
      <c r="O144" s="2" t="s">
        <v>78</v>
      </c>
      <c r="P144" s="2">
        <v>1.0</v>
      </c>
      <c r="Q144" s="2">
        <v>58.0</v>
      </c>
      <c r="R144" s="3">
        <v>45577.0</v>
      </c>
      <c r="S144" s="2" t="s">
        <v>865</v>
      </c>
    </row>
    <row r="145" ht="14.25" customHeight="1">
      <c r="A145" s="2" t="s">
        <v>351</v>
      </c>
      <c r="B145" s="2" t="s">
        <v>352</v>
      </c>
      <c r="C145" s="2" t="s">
        <v>353</v>
      </c>
      <c r="D145" s="2">
        <v>32.0</v>
      </c>
      <c r="E145" s="2" t="s">
        <v>34</v>
      </c>
      <c r="F145" s="2" t="s">
        <v>161</v>
      </c>
      <c r="G145" s="2" t="s">
        <v>354</v>
      </c>
      <c r="H145" s="2" t="s">
        <v>355</v>
      </c>
      <c r="I145" s="2" t="s">
        <v>866</v>
      </c>
      <c r="J145" s="3">
        <v>45199.0</v>
      </c>
      <c r="K145" s="2" t="s">
        <v>867</v>
      </c>
      <c r="L145" s="2" t="s">
        <v>767</v>
      </c>
      <c r="M145" s="2">
        <v>20.0</v>
      </c>
      <c r="N145" s="2">
        <v>5.0</v>
      </c>
      <c r="O145" s="2" t="s">
        <v>51</v>
      </c>
      <c r="P145" s="2">
        <v>7.0</v>
      </c>
      <c r="Q145" s="2">
        <v>40.0</v>
      </c>
      <c r="R145" s="3">
        <v>45203.0</v>
      </c>
      <c r="S145" s="2" t="s">
        <v>868</v>
      </c>
    </row>
    <row r="146" ht="14.25" customHeight="1">
      <c r="A146" s="2" t="s">
        <v>351</v>
      </c>
      <c r="B146" s="2" t="s">
        <v>352</v>
      </c>
      <c r="C146" s="2" t="s">
        <v>353</v>
      </c>
      <c r="D146" s="2">
        <v>32.0</v>
      </c>
      <c r="E146" s="2" t="s">
        <v>34</v>
      </c>
      <c r="F146" s="2" t="s">
        <v>161</v>
      </c>
      <c r="G146" s="2" t="s">
        <v>354</v>
      </c>
      <c r="H146" s="2" t="s">
        <v>355</v>
      </c>
      <c r="I146" s="2" t="s">
        <v>869</v>
      </c>
      <c r="J146" s="3">
        <v>45677.0</v>
      </c>
      <c r="K146" s="2" t="s">
        <v>870</v>
      </c>
      <c r="L146" s="2" t="s">
        <v>55</v>
      </c>
      <c r="M146" s="2">
        <v>405.0</v>
      </c>
      <c r="N146" s="2">
        <v>2.0</v>
      </c>
      <c r="O146" s="2" t="s">
        <v>51</v>
      </c>
      <c r="P146" s="2">
        <v>7.0</v>
      </c>
      <c r="Q146" s="2">
        <v>55.0</v>
      </c>
      <c r="R146" s="3">
        <v>45680.0</v>
      </c>
      <c r="S146" s="2" t="s">
        <v>871</v>
      </c>
    </row>
    <row r="147" ht="14.25" customHeight="1">
      <c r="A147" s="2" t="s">
        <v>568</v>
      </c>
      <c r="B147" s="2" t="s">
        <v>249</v>
      </c>
      <c r="C147" s="2" t="s">
        <v>569</v>
      </c>
      <c r="D147" s="2">
        <v>35.0</v>
      </c>
      <c r="E147" s="2" t="s">
        <v>22</v>
      </c>
      <c r="F147" s="2" t="s">
        <v>23</v>
      </c>
      <c r="G147" s="2" t="s">
        <v>570</v>
      </c>
      <c r="H147" s="2" t="s">
        <v>571</v>
      </c>
      <c r="I147" s="2" t="s">
        <v>872</v>
      </c>
      <c r="J147" s="3">
        <v>45581.0</v>
      </c>
      <c r="K147" s="2" t="s">
        <v>873</v>
      </c>
      <c r="L147" s="2" t="s">
        <v>107</v>
      </c>
      <c r="M147" s="2">
        <v>48.45</v>
      </c>
      <c r="N147" s="2">
        <v>5.0</v>
      </c>
      <c r="O147" s="2" t="s">
        <v>89</v>
      </c>
      <c r="P147" s="2">
        <v>7.0</v>
      </c>
      <c r="Q147" s="2">
        <v>53.0</v>
      </c>
      <c r="R147" s="3">
        <v>45588.0</v>
      </c>
      <c r="S147" s="2" t="s">
        <v>874</v>
      </c>
    </row>
    <row r="148" ht="14.25" customHeight="1">
      <c r="A148" s="2" t="s">
        <v>483</v>
      </c>
      <c r="B148" s="2" t="s">
        <v>179</v>
      </c>
      <c r="C148" s="2" t="s">
        <v>320</v>
      </c>
      <c r="D148" s="2">
        <v>39.0</v>
      </c>
      <c r="E148" s="2" t="s">
        <v>45</v>
      </c>
      <c r="F148" s="2" t="s">
        <v>35</v>
      </c>
      <c r="G148" s="2" t="s">
        <v>484</v>
      </c>
      <c r="H148" s="2" t="s">
        <v>485</v>
      </c>
      <c r="I148" s="2" t="s">
        <v>875</v>
      </c>
      <c r="J148" s="3">
        <v>45609.0</v>
      </c>
      <c r="K148" s="2" t="s">
        <v>876</v>
      </c>
      <c r="L148" s="2" t="s">
        <v>50</v>
      </c>
      <c r="M148" s="2">
        <v>202.54</v>
      </c>
      <c r="N148" s="2">
        <v>1.0</v>
      </c>
      <c r="O148" s="2" t="s">
        <v>29</v>
      </c>
      <c r="P148" s="2">
        <v>4.0</v>
      </c>
      <c r="Q148" s="2">
        <v>48.0</v>
      </c>
      <c r="R148" s="3">
        <v>45611.0</v>
      </c>
      <c r="S148" s="2" t="s">
        <v>877</v>
      </c>
    </row>
    <row r="149" ht="14.25" customHeight="1">
      <c r="A149" s="2" t="s">
        <v>760</v>
      </c>
      <c r="B149" s="2" t="s">
        <v>761</v>
      </c>
      <c r="C149" s="2" t="s">
        <v>762</v>
      </c>
      <c r="D149" s="2">
        <v>27.0</v>
      </c>
      <c r="E149" s="2" t="s">
        <v>22</v>
      </c>
      <c r="F149" s="2" t="s">
        <v>35</v>
      </c>
      <c r="G149" s="2" t="s">
        <v>763</v>
      </c>
      <c r="H149" s="2" t="s">
        <v>764</v>
      </c>
      <c r="I149" s="2" t="s">
        <v>878</v>
      </c>
      <c r="J149" s="3">
        <v>44983.0</v>
      </c>
      <c r="K149" s="2" t="s">
        <v>879</v>
      </c>
      <c r="L149" s="2" t="s">
        <v>466</v>
      </c>
      <c r="M149" s="2">
        <v>286.07</v>
      </c>
      <c r="N149" s="2">
        <v>5.0</v>
      </c>
      <c r="O149" s="2" t="s">
        <v>78</v>
      </c>
      <c r="P149" s="2">
        <v>1.0</v>
      </c>
      <c r="Q149" s="2">
        <v>52.0</v>
      </c>
      <c r="R149" s="3">
        <v>44986.0</v>
      </c>
      <c r="S149" s="2" t="s">
        <v>880</v>
      </c>
    </row>
    <row r="150" ht="14.25" customHeight="1">
      <c r="A150" s="2" t="s">
        <v>459</v>
      </c>
      <c r="B150" s="2" t="s">
        <v>460</v>
      </c>
      <c r="C150" s="2" t="s">
        <v>461</v>
      </c>
      <c r="D150" s="2">
        <v>18.0</v>
      </c>
      <c r="E150" s="2" t="s">
        <v>34</v>
      </c>
      <c r="F150" s="2" t="s">
        <v>35</v>
      </c>
      <c r="G150" s="2" t="s">
        <v>462</v>
      </c>
      <c r="H150" s="2" t="s">
        <v>463</v>
      </c>
      <c r="I150" s="2" t="s">
        <v>881</v>
      </c>
      <c r="J150" s="3">
        <v>45378.0</v>
      </c>
      <c r="K150" s="2" t="s">
        <v>882</v>
      </c>
      <c r="L150" s="2" t="s">
        <v>50</v>
      </c>
      <c r="M150" s="2">
        <v>202.54</v>
      </c>
      <c r="N150" s="2">
        <v>4.0</v>
      </c>
      <c r="O150" s="2" t="s">
        <v>89</v>
      </c>
      <c r="P150" s="2">
        <v>1.0</v>
      </c>
      <c r="Q150" s="2">
        <v>36.0</v>
      </c>
      <c r="R150" s="3">
        <v>45380.0</v>
      </c>
      <c r="S150" s="2" t="s">
        <v>883</v>
      </c>
    </row>
    <row r="151" ht="14.25" customHeight="1">
      <c r="A151" s="2" t="s">
        <v>273</v>
      </c>
      <c r="B151" s="2" t="s">
        <v>274</v>
      </c>
      <c r="C151" s="2" t="s">
        <v>275</v>
      </c>
      <c r="D151" s="2">
        <v>64.0</v>
      </c>
      <c r="E151" s="2" t="s">
        <v>45</v>
      </c>
      <c r="F151" s="2" t="s">
        <v>23</v>
      </c>
      <c r="G151" s="2" t="s">
        <v>276</v>
      </c>
      <c r="H151" s="2" t="s">
        <v>277</v>
      </c>
      <c r="I151" s="2" t="s">
        <v>884</v>
      </c>
      <c r="J151" s="3">
        <v>44989.0</v>
      </c>
      <c r="K151" s="2" t="s">
        <v>885</v>
      </c>
      <c r="L151" s="2" t="s">
        <v>411</v>
      </c>
      <c r="M151" s="2">
        <v>44.5</v>
      </c>
      <c r="N151" s="2">
        <v>3.0</v>
      </c>
      <c r="O151" s="2" t="s">
        <v>29</v>
      </c>
      <c r="P151" s="2">
        <v>6.0</v>
      </c>
      <c r="Q151" s="2">
        <v>46.0</v>
      </c>
      <c r="R151" s="3">
        <v>44991.0</v>
      </c>
      <c r="S151" s="2" t="s">
        <v>886</v>
      </c>
    </row>
    <row r="152" ht="14.25" customHeight="1">
      <c r="A152" s="2" t="s">
        <v>887</v>
      </c>
      <c r="B152" s="2" t="s">
        <v>141</v>
      </c>
      <c r="C152" s="2" t="s">
        <v>888</v>
      </c>
      <c r="D152" s="2">
        <v>29.0</v>
      </c>
      <c r="E152" s="2" t="s">
        <v>22</v>
      </c>
      <c r="F152" s="2" t="s">
        <v>35</v>
      </c>
      <c r="G152" s="2" t="s">
        <v>889</v>
      </c>
      <c r="H152" s="2" t="s">
        <v>890</v>
      </c>
      <c r="I152" s="2" t="s">
        <v>891</v>
      </c>
      <c r="J152" s="3">
        <v>45251.0</v>
      </c>
      <c r="K152" s="2" t="s">
        <v>892</v>
      </c>
      <c r="L152" s="2" t="s">
        <v>316</v>
      </c>
      <c r="M152" s="2">
        <v>481.48</v>
      </c>
      <c r="N152" s="2">
        <v>4.0</v>
      </c>
      <c r="O152" s="2" t="s">
        <v>56</v>
      </c>
      <c r="P152" s="2">
        <v>3.0</v>
      </c>
      <c r="Q152" s="2">
        <v>54.0</v>
      </c>
      <c r="R152" s="3">
        <v>45256.0</v>
      </c>
      <c r="S152" s="2" t="s">
        <v>893</v>
      </c>
    </row>
    <row r="153" ht="14.25" customHeight="1">
      <c r="A153" s="2" t="s">
        <v>539</v>
      </c>
      <c r="B153" s="2" t="s">
        <v>540</v>
      </c>
      <c r="C153" s="2" t="s">
        <v>541</v>
      </c>
      <c r="D153" s="2">
        <v>33.0</v>
      </c>
      <c r="E153" s="2" t="s">
        <v>45</v>
      </c>
      <c r="F153" s="2" t="s">
        <v>161</v>
      </c>
      <c r="G153" s="2" t="s">
        <v>542</v>
      </c>
      <c r="H153" s="2" t="s">
        <v>543</v>
      </c>
      <c r="I153" s="2" t="s">
        <v>894</v>
      </c>
      <c r="J153" s="3">
        <v>45200.0</v>
      </c>
      <c r="K153" s="2" t="s">
        <v>895</v>
      </c>
      <c r="L153" s="2" t="s">
        <v>333</v>
      </c>
      <c r="M153" s="2">
        <v>77.84</v>
      </c>
      <c r="N153" s="2">
        <v>5.0</v>
      </c>
      <c r="O153" s="2" t="s">
        <v>89</v>
      </c>
      <c r="P153" s="2">
        <v>1.0</v>
      </c>
      <c r="Q153" s="2">
        <v>41.0</v>
      </c>
      <c r="R153" s="3">
        <v>45206.0</v>
      </c>
      <c r="S153" s="2" t="s">
        <v>896</v>
      </c>
    </row>
    <row r="154" ht="14.25" customHeight="1">
      <c r="A154" s="2" t="s">
        <v>468</v>
      </c>
      <c r="B154" s="2" t="s">
        <v>101</v>
      </c>
      <c r="C154" s="2" t="s">
        <v>469</v>
      </c>
      <c r="D154" s="2">
        <v>33.0</v>
      </c>
      <c r="E154" s="2" t="s">
        <v>22</v>
      </c>
      <c r="F154" s="2" t="s">
        <v>161</v>
      </c>
      <c r="G154" s="2" t="s">
        <v>470</v>
      </c>
      <c r="H154" s="2" t="s">
        <v>471</v>
      </c>
      <c r="I154" s="2" t="s">
        <v>897</v>
      </c>
      <c r="J154" s="3">
        <v>45330.0</v>
      </c>
      <c r="K154" s="2" t="s">
        <v>898</v>
      </c>
      <c r="L154" s="2" t="s">
        <v>349</v>
      </c>
      <c r="M154" s="2">
        <v>496.59</v>
      </c>
      <c r="N154" s="2">
        <v>2.0</v>
      </c>
      <c r="O154" s="2" t="s">
        <v>89</v>
      </c>
      <c r="P154" s="2">
        <v>5.0</v>
      </c>
      <c r="Q154" s="2">
        <v>40.0</v>
      </c>
      <c r="R154" s="3">
        <v>45331.0</v>
      </c>
      <c r="S154" s="2" t="s">
        <v>899</v>
      </c>
    </row>
    <row r="155" ht="14.25" customHeight="1">
      <c r="A155" s="2" t="s">
        <v>273</v>
      </c>
      <c r="B155" s="2" t="s">
        <v>274</v>
      </c>
      <c r="C155" s="2" t="s">
        <v>275</v>
      </c>
      <c r="D155" s="2">
        <v>64.0</v>
      </c>
      <c r="E155" s="2" t="s">
        <v>45</v>
      </c>
      <c r="F155" s="2" t="s">
        <v>23</v>
      </c>
      <c r="G155" s="2" t="s">
        <v>276</v>
      </c>
      <c r="H155" s="2" t="s">
        <v>277</v>
      </c>
      <c r="I155" s="2" t="s">
        <v>900</v>
      </c>
      <c r="J155" s="3">
        <v>45129.0</v>
      </c>
      <c r="K155" s="2" t="s">
        <v>901</v>
      </c>
      <c r="L155" s="2" t="s">
        <v>147</v>
      </c>
      <c r="M155" s="2">
        <v>220.27</v>
      </c>
      <c r="N155" s="2">
        <v>3.0</v>
      </c>
      <c r="O155" s="2" t="s">
        <v>29</v>
      </c>
      <c r="P155" s="2">
        <v>6.0</v>
      </c>
      <c r="Q155" s="2">
        <v>48.0</v>
      </c>
      <c r="R155" s="3">
        <v>45132.0</v>
      </c>
      <c r="S155" s="2" t="s">
        <v>902</v>
      </c>
    </row>
    <row r="156" ht="14.25" customHeight="1">
      <c r="A156" s="2" t="s">
        <v>265</v>
      </c>
      <c r="B156" s="2" t="s">
        <v>266</v>
      </c>
      <c r="C156" s="2" t="s">
        <v>267</v>
      </c>
      <c r="D156" s="2">
        <v>44.0</v>
      </c>
      <c r="E156" s="2" t="s">
        <v>22</v>
      </c>
      <c r="F156" s="2" t="s">
        <v>213</v>
      </c>
      <c r="G156" s="2" t="s">
        <v>268</v>
      </c>
      <c r="H156" s="2" t="s">
        <v>269</v>
      </c>
      <c r="I156" s="2" t="s">
        <v>903</v>
      </c>
      <c r="J156" s="3">
        <v>45584.0</v>
      </c>
      <c r="K156" s="2" t="s">
        <v>904</v>
      </c>
      <c r="L156" s="2" t="s">
        <v>301</v>
      </c>
      <c r="M156" s="2">
        <v>129.75</v>
      </c>
      <c r="N156" s="2">
        <v>1.0</v>
      </c>
      <c r="O156" s="2" t="s">
        <v>56</v>
      </c>
      <c r="P156" s="2">
        <v>7.0</v>
      </c>
      <c r="Q156" s="2">
        <v>44.0</v>
      </c>
      <c r="R156" s="3">
        <v>45591.0</v>
      </c>
      <c r="S156" s="2" t="s">
        <v>905</v>
      </c>
    </row>
    <row r="157" ht="14.25" customHeight="1">
      <c r="A157" s="2" t="s">
        <v>743</v>
      </c>
      <c r="B157" s="2" t="s">
        <v>744</v>
      </c>
      <c r="C157" s="2" t="s">
        <v>745</v>
      </c>
      <c r="D157" s="2">
        <v>43.0</v>
      </c>
      <c r="E157" s="2" t="s">
        <v>45</v>
      </c>
      <c r="F157" s="2" t="s">
        <v>152</v>
      </c>
      <c r="G157" s="2" t="s">
        <v>746</v>
      </c>
      <c r="H157" s="2" t="s">
        <v>747</v>
      </c>
      <c r="I157" s="2" t="s">
        <v>906</v>
      </c>
      <c r="J157" s="3">
        <v>45291.0</v>
      </c>
      <c r="K157" s="2" t="s">
        <v>907</v>
      </c>
      <c r="L157" s="2" t="s">
        <v>507</v>
      </c>
      <c r="M157" s="2">
        <v>136.3</v>
      </c>
      <c r="N157" s="2">
        <v>1.0</v>
      </c>
      <c r="O157" s="2" t="s">
        <v>51</v>
      </c>
      <c r="P157" s="2">
        <v>1.0</v>
      </c>
      <c r="Q157" s="2">
        <v>64.0</v>
      </c>
      <c r="R157" s="3">
        <v>45296.0</v>
      </c>
      <c r="S157" s="2" t="s">
        <v>908</v>
      </c>
    </row>
    <row r="158" ht="14.25" customHeight="1">
      <c r="A158" s="2" t="s">
        <v>428</v>
      </c>
      <c r="B158" s="2" t="s">
        <v>429</v>
      </c>
      <c r="C158" s="2" t="s">
        <v>430</v>
      </c>
      <c r="D158" s="2">
        <v>28.0</v>
      </c>
      <c r="E158" s="2" t="s">
        <v>45</v>
      </c>
      <c r="F158" s="2" t="s">
        <v>69</v>
      </c>
      <c r="G158" s="2" t="s">
        <v>431</v>
      </c>
      <c r="H158" s="2" t="s">
        <v>432</v>
      </c>
      <c r="I158" s="2" t="s">
        <v>909</v>
      </c>
      <c r="J158" s="3">
        <v>45482.0</v>
      </c>
      <c r="K158" s="2" t="s">
        <v>910</v>
      </c>
      <c r="L158" s="2" t="s">
        <v>466</v>
      </c>
      <c r="M158" s="2">
        <v>286.07</v>
      </c>
      <c r="N158" s="2">
        <v>2.0</v>
      </c>
      <c r="O158" s="2" t="s">
        <v>29</v>
      </c>
      <c r="P158" s="2">
        <v>3.0</v>
      </c>
      <c r="Q158" s="2">
        <v>54.0</v>
      </c>
      <c r="R158" s="3">
        <v>45485.0</v>
      </c>
      <c r="S158" s="2" t="s">
        <v>911</v>
      </c>
    </row>
    <row r="159" ht="14.25" customHeight="1">
      <c r="A159" s="2" t="s">
        <v>500</v>
      </c>
      <c r="B159" s="2" t="s">
        <v>501</v>
      </c>
      <c r="C159" s="2" t="s">
        <v>502</v>
      </c>
      <c r="D159" s="2">
        <v>64.0</v>
      </c>
      <c r="E159" s="2" t="s">
        <v>22</v>
      </c>
      <c r="F159" s="2" t="s">
        <v>23</v>
      </c>
      <c r="G159" s="2" t="s">
        <v>503</v>
      </c>
      <c r="H159" s="2" t="s">
        <v>504</v>
      </c>
      <c r="I159" s="2" t="s">
        <v>912</v>
      </c>
      <c r="J159" s="3">
        <v>45089.0</v>
      </c>
      <c r="K159" s="2" t="s">
        <v>913</v>
      </c>
      <c r="L159" s="2" t="s">
        <v>88</v>
      </c>
      <c r="M159" s="2">
        <v>363.64</v>
      </c>
      <c r="N159" s="2">
        <v>2.0</v>
      </c>
      <c r="O159" s="2" t="s">
        <v>56</v>
      </c>
      <c r="P159" s="2">
        <v>4.0</v>
      </c>
      <c r="Q159" s="2">
        <v>40.0</v>
      </c>
      <c r="R159" s="3">
        <v>45091.0</v>
      </c>
      <c r="S159" s="2" t="s">
        <v>914</v>
      </c>
    </row>
    <row r="160" ht="14.25" customHeight="1">
      <c r="A160" s="2" t="s">
        <v>428</v>
      </c>
      <c r="B160" s="2" t="s">
        <v>429</v>
      </c>
      <c r="C160" s="2" t="s">
        <v>430</v>
      </c>
      <c r="D160" s="2">
        <v>28.0</v>
      </c>
      <c r="E160" s="2" t="s">
        <v>45</v>
      </c>
      <c r="F160" s="2" t="s">
        <v>69</v>
      </c>
      <c r="G160" s="2" t="s">
        <v>431</v>
      </c>
      <c r="H160" s="2" t="s">
        <v>432</v>
      </c>
      <c r="I160" s="2" t="s">
        <v>915</v>
      </c>
      <c r="J160" s="3">
        <v>45610.0</v>
      </c>
      <c r="K160" s="2" t="s">
        <v>916</v>
      </c>
      <c r="L160" s="2" t="s">
        <v>630</v>
      </c>
      <c r="M160" s="2">
        <v>445.81</v>
      </c>
      <c r="N160" s="2">
        <v>5.0</v>
      </c>
      <c r="O160" s="2" t="s">
        <v>29</v>
      </c>
      <c r="P160" s="2">
        <v>6.0</v>
      </c>
      <c r="Q160" s="2">
        <v>70.0</v>
      </c>
      <c r="R160" s="3">
        <v>45613.0</v>
      </c>
      <c r="S160" s="2" t="s">
        <v>917</v>
      </c>
    </row>
    <row r="161" ht="14.25" customHeight="1">
      <c r="A161" s="2" t="s">
        <v>918</v>
      </c>
      <c r="B161" s="2" t="s">
        <v>919</v>
      </c>
      <c r="C161" s="2" t="s">
        <v>920</v>
      </c>
      <c r="D161" s="2">
        <v>24.0</v>
      </c>
      <c r="E161" s="2" t="s">
        <v>45</v>
      </c>
      <c r="F161" s="2" t="s">
        <v>213</v>
      </c>
      <c r="G161" s="2" t="s">
        <v>921</v>
      </c>
      <c r="H161" s="2" t="s">
        <v>922</v>
      </c>
      <c r="I161" s="2" t="s">
        <v>923</v>
      </c>
      <c r="J161" s="3">
        <v>45045.0</v>
      </c>
      <c r="K161" s="2" t="s">
        <v>924</v>
      </c>
      <c r="L161" s="2" t="s">
        <v>731</v>
      </c>
      <c r="M161" s="2">
        <v>110.95</v>
      </c>
      <c r="N161" s="2">
        <v>5.0</v>
      </c>
      <c r="O161" s="2" t="s">
        <v>78</v>
      </c>
      <c r="P161" s="2">
        <v>5.0</v>
      </c>
      <c r="Q161" s="2">
        <v>62.0</v>
      </c>
      <c r="R161" s="3">
        <v>45047.0</v>
      </c>
      <c r="S161" s="2" t="s">
        <v>925</v>
      </c>
    </row>
    <row r="162" ht="14.25" customHeight="1">
      <c r="A162" s="2" t="s">
        <v>476</v>
      </c>
      <c r="B162" s="2" t="s">
        <v>477</v>
      </c>
      <c r="C162" s="2" t="s">
        <v>123</v>
      </c>
      <c r="D162" s="2">
        <v>68.0</v>
      </c>
      <c r="E162" s="2" t="s">
        <v>45</v>
      </c>
      <c r="F162" s="2" t="s">
        <v>213</v>
      </c>
      <c r="G162" s="2" t="s">
        <v>478</v>
      </c>
      <c r="H162" s="2" t="s">
        <v>479</v>
      </c>
      <c r="I162" s="2" t="s">
        <v>926</v>
      </c>
      <c r="J162" s="3">
        <v>45529.0</v>
      </c>
      <c r="K162" s="2" t="s">
        <v>927</v>
      </c>
      <c r="L162" s="2" t="s">
        <v>175</v>
      </c>
      <c r="M162" s="2">
        <v>104.18</v>
      </c>
      <c r="N162" s="2">
        <v>4.0</v>
      </c>
      <c r="O162" s="2" t="s">
        <v>29</v>
      </c>
      <c r="P162" s="2">
        <v>4.0</v>
      </c>
      <c r="Q162" s="2">
        <v>45.0</v>
      </c>
      <c r="R162" s="3">
        <v>45536.0</v>
      </c>
      <c r="S162" s="2" t="s">
        <v>928</v>
      </c>
    </row>
    <row r="163" ht="14.25" customHeight="1">
      <c r="A163" s="2" t="s">
        <v>459</v>
      </c>
      <c r="B163" s="2" t="s">
        <v>460</v>
      </c>
      <c r="C163" s="2" t="s">
        <v>461</v>
      </c>
      <c r="D163" s="2">
        <v>18.0</v>
      </c>
      <c r="E163" s="2" t="s">
        <v>34</v>
      </c>
      <c r="F163" s="2" t="s">
        <v>35</v>
      </c>
      <c r="G163" s="2" t="s">
        <v>462</v>
      </c>
      <c r="H163" s="2" t="s">
        <v>463</v>
      </c>
      <c r="I163" s="2" t="s">
        <v>929</v>
      </c>
      <c r="J163" s="3">
        <v>45535.0</v>
      </c>
      <c r="K163" s="2" t="s">
        <v>930</v>
      </c>
      <c r="L163" s="2" t="s">
        <v>349</v>
      </c>
      <c r="M163" s="2">
        <v>496.59</v>
      </c>
      <c r="N163" s="2">
        <v>4.0</v>
      </c>
      <c r="O163" s="2" t="s">
        <v>78</v>
      </c>
      <c r="P163" s="2">
        <v>1.0</v>
      </c>
      <c r="Q163" s="2">
        <v>59.0</v>
      </c>
      <c r="R163" s="3">
        <v>45541.0</v>
      </c>
      <c r="S163" s="2" t="s">
        <v>931</v>
      </c>
    </row>
    <row r="164" ht="14.25" customHeight="1">
      <c r="A164" s="2" t="s">
        <v>112</v>
      </c>
      <c r="B164" s="2" t="s">
        <v>113</v>
      </c>
      <c r="C164" s="2" t="s">
        <v>114</v>
      </c>
      <c r="D164" s="2">
        <v>20.0</v>
      </c>
      <c r="E164" s="2" t="s">
        <v>22</v>
      </c>
      <c r="F164" s="2" t="s">
        <v>83</v>
      </c>
      <c r="G164" s="2" t="s">
        <v>115</v>
      </c>
      <c r="H164" s="2" t="s">
        <v>116</v>
      </c>
      <c r="I164" s="2" t="s">
        <v>932</v>
      </c>
      <c r="J164" s="3">
        <v>44981.0</v>
      </c>
      <c r="K164" s="2" t="s">
        <v>933</v>
      </c>
      <c r="L164" s="2" t="s">
        <v>934</v>
      </c>
      <c r="M164" s="2">
        <v>107.47</v>
      </c>
      <c r="N164" s="2">
        <v>5.0</v>
      </c>
      <c r="O164" s="2" t="s">
        <v>78</v>
      </c>
      <c r="P164" s="2">
        <v>6.0</v>
      </c>
      <c r="Q164" s="2">
        <v>48.0</v>
      </c>
      <c r="R164" s="3">
        <v>44987.0</v>
      </c>
      <c r="S164" s="2" t="s">
        <v>935</v>
      </c>
    </row>
    <row r="165" ht="14.25" customHeight="1">
      <c r="A165" s="2" t="s">
        <v>918</v>
      </c>
      <c r="B165" s="2" t="s">
        <v>919</v>
      </c>
      <c r="C165" s="2" t="s">
        <v>920</v>
      </c>
      <c r="D165" s="2">
        <v>24.0</v>
      </c>
      <c r="E165" s="2" t="s">
        <v>45</v>
      </c>
      <c r="F165" s="2" t="s">
        <v>213</v>
      </c>
      <c r="G165" s="2" t="s">
        <v>921</v>
      </c>
      <c r="H165" s="2" t="s">
        <v>922</v>
      </c>
      <c r="I165" s="2" t="s">
        <v>936</v>
      </c>
      <c r="J165" s="3">
        <v>45207.0</v>
      </c>
      <c r="K165" s="2" t="s">
        <v>937</v>
      </c>
      <c r="L165" s="2" t="s">
        <v>239</v>
      </c>
      <c r="M165" s="2">
        <v>282.63</v>
      </c>
      <c r="N165" s="2">
        <v>1.0</v>
      </c>
      <c r="O165" s="2" t="s">
        <v>56</v>
      </c>
      <c r="P165" s="2">
        <v>5.0</v>
      </c>
      <c r="Q165" s="2">
        <v>45.0</v>
      </c>
      <c r="R165" s="3">
        <v>45214.0</v>
      </c>
      <c r="S165" s="2" t="s">
        <v>938</v>
      </c>
    </row>
    <row r="166" ht="14.25" customHeight="1">
      <c r="A166" s="2" t="s">
        <v>121</v>
      </c>
      <c r="B166" s="2" t="s">
        <v>122</v>
      </c>
      <c r="C166" s="2" t="s">
        <v>123</v>
      </c>
      <c r="D166" s="2">
        <v>30.0</v>
      </c>
      <c r="E166" s="2" t="s">
        <v>34</v>
      </c>
      <c r="F166" s="2" t="s">
        <v>35</v>
      </c>
      <c r="G166" s="2" t="s">
        <v>124</v>
      </c>
      <c r="H166" s="2" t="s">
        <v>125</v>
      </c>
      <c r="I166" s="2" t="s">
        <v>939</v>
      </c>
      <c r="J166" s="3">
        <v>45185.0</v>
      </c>
      <c r="K166" s="2" t="s">
        <v>940</v>
      </c>
      <c r="L166" s="2" t="s">
        <v>423</v>
      </c>
      <c r="M166" s="2">
        <v>369.03</v>
      </c>
      <c r="N166" s="2">
        <v>1.0</v>
      </c>
      <c r="O166" s="2" t="s">
        <v>78</v>
      </c>
      <c r="P166" s="2">
        <v>1.0</v>
      </c>
      <c r="Q166" s="2">
        <v>48.0</v>
      </c>
      <c r="R166" s="3">
        <v>45192.0</v>
      </c>
      <c r="S166" s="2" t="s">
        <v>941</v>
      </c>
    </row>
    <row r="167" ht="14.25" customHeight="1">
      <c r="A167" s="2" t="s">
        <v>140</v>
      </c>
      <c r="B167" s="2" t="s">
        <v>141</v>
      </c>
      <c r="C167" s="2" t="s">
        <v>142</v>
      </c>
      <c r="D167" s="2">
        <v>44.0</v>
      </c>
      <c r="E167" s="2" t="s">
        <v>34</v>
      </c>
      <c r="F167" s="2" t="s">
        <v>83</v>
      </c>
      <c r="G167" s="2" t="s">
        <v>143</v>
      </c>
      <c r="H167" s="2" t="s">
        <v>144</v>
      </c>
      <c r="I167" s="2" t="s">
        <v>942</v>
      </c>
      <c r="J167" s="3">
        <v>45513.0</v>
      </c>
      <c r="K167" s="2" t="s">
        <v>943</v>
      </c>
      <c r="L167" s="2" t="s">
        <v>175</v>
      </c>
      <c r="M167" s="2">
        <v>104.18</v>
      </c>
      <c r="N167" s="2">
        <v>2.0</v>
      </c>
      <c r="O167" s="2" t="s">
        <v>56</v>
      </c>
      <c r="P167" s="2">
        <v>2.0</v>
      </c>
      <c r="Q167" s="2">
        <v>57.0</v>
      </c>
      <c r="R167" s="3">
        <v>45515.0</v>
      </c>
      <c r="S167" s="2" t="s">
        <v>944</v>
      </c>
    </row>
    <row r="168" ht="14.25" customHeight="1">
      <c r="A168" s="2" t="s">
        <v>405</v>
      </c>
      <c r="B168" s="2" t="s">
        <v>221</v>
      </c>
      <c r="C168" s="2" t="s">
        <v>406</v>
      </c>
      <c r="D168" s="2">
        <v>28.0</v>
      </c>
      <c r="E168" s="2" t="s">
        <v>45</v>
      </c>
      <c r="F168" s="2" t="s">
        <v>133</v>
      </c>
      <c r="G168" s="2" t="s">
        <v>407</v>
      </c>
      <c r="H168" s="2" t="s">
        <v>408</v>
      </c>
      <c r="I168" s="2" t="s">
        <v>945</v>
      </c>
      <c r="J168" s="3">
        <v>45550.0</v>
      </c>
      <c r="K168" s="2" t="s">
        <v>946</v>
      </c>
      <c r="L168" s="2" t="s">
        <v>147</v>
      </c>
      <c r="M168" s="2">
        <v>220.27</v>
      </c>
      <c r="N168" s="2">
        <v>2.0</v>
      </c>
      <c r="O168" s="2" t="s">
        <v>78</v>
      </c>
      <c r="P168" s="2">
        <v>1.0</v>
      </c>
      <c r="Q168" s="2">
        <v>42.0</v>
      </c>
      <c r="R168" s="3">
        <v>45552.0</v>
      </c>
      <c r="S168" s="2" t="s">
        <v>947</v>
      </c>
    </row>
    <row r="169" ht="14.25" customHeight="1">
      <c r="A169" s="2" t="s">
        <v>528</v>
      </c>
      <c r="B169" s="2" t="s">
        <v>529</v>
      </c>
      <c r="C169" s="2" t="s">
        <v>530</v>
      </c>
      <c r="D169" s="2">
        <v>32.0</v>
      </c>
      <c r="E169" s="2" t="s">
        <v>45</v>
      </c>
      <c r="F169" s="2" t="s">
        <v>83</v>
      </c>
      <c r="G169" s="2" t="s">
        <v>531</v>
      </c>
      <c r="H169" s="2" t="s">
        <v>532</v>
      </c>
      <c r="I169" s="2" t="s">
        <v>948</v>
      </c>
      <c r="J169" s="3">
        <v>45125.0</v>
      </c>
      <c r="K169" s="2" t="s">
        <v>949</v>
      </c>
      <c r="L169" s="2" t="s">
        <v>650</v>
      </c>
      <c r="M169" s="2">
        <v>235.63</v>
      </c>
      <c r="N169" s="2">
        <v>5.0</v>
      </c>
      <c r="O169" s="2" t="s">
        <v>29</v>
      </c>
      <c r="P169" s="2">
        <v>4.0</v>
      </c>
      <c r="Q169" s="2">
        <v>52.0</v>
      </c>
      <c r="R169" s="3">
        <v>45129.0</v>
      </c>
      <c r="S169" s="2" t="s">
        <v>950</v>
      </c>
    </row>
    <row r="170" ht="14.25" customHeight="1">
      <c r="A170" s="2" t="s">
        <v>632</v>
      </c>
      <c r="B170" s="2" t="s">
        <v>141</v>
      </c>
      <c r="C170" s="2" t="s">
        <v>633</v>
      </c>
      <c r="D170" s="2">
        <v>44.0</v>
      </c>
      <c r="E170" s="2" t="s">
        <v>45</v>
      </c>
      <c r="F170" s="2" t="s">
        <v>83</v>
      </c>
      <c r="G170" s="2" t="s">
        <v>634</v>
      </c>
      <c r="H170" s="2" t="s">
        <v>635</v>
      </c>
      <c r="I170" s="2" t="s">
        <v>951</v>
      </c>
      <c r="J170" s="3">
        <v>45186.0</v>
      </c>
      <c r="K170" s="2" t="s">
        <v>952</v>
      </c>
      <c r="L170" s="2" t="s">
        <v>40</v>
      </c>
      <c r="M170" s="2">
        <v>166.28</v>
      </c>
      <c r="N170" s="2">
        <v>4.0</v>
      </c>
      <c r="O170" s="2" t="s">
        <v>78</v>
      </c>
      <c r="P170" s="2">
        <v>6.0</v>
      </c>
      <c r="Q170" s="2">
        <v>36.0</v>
      </c>
      <c r="R170" s="3">
        <v>45193.0</v>
      </c>
      <c r="S170" s="2" t="s">
        <v>953</v>
      </c>
    </row>
    <row r="171" ht="14.25" customHeight="1">
      <c r="A171" s="2" t="s">
        <v>121</v>
      </c>
      <c r="B171" s="2" t="s">
        <v>122</v>
      </c>
      <c r="C171" s="2" t="s">
        <v>123</v>
      </c>
      <c r="D171" s="2">
        <v>30.0</v>
      </c>
      <c r="E171" s="2" t="s">
        <v>34</v>
      </c>
      <c r="F171" s="2" t="s">
        <v>35</v>
      </c>
      <c r="G171" s="2" t="s">
        <v>124</v>
      </c>
      <c r="H171" s="2" t="s">
        <v>125</v>
      </c>
      <c r="I171" s="2" t="s">
        <v>954</v>
      </c>
      <c r="J171" s="3">
        <v>45120.0</v>
      </c>
      <c r="K171" s="2" t="s">
        <v>955</v>
      </c>
      <c r="L171" s="2" t="s">
        <v>55</v>
      </c>
      <c r="M171" s="2">
        <v>405.0</v>
      </c>
      <c r="N171" s="2">
        <v>5.0</v>
      </c>
      <c r="O171" s="2" t="s">
        <v>89</v>
      </c>
      <c r="P171" s="2">
        <v>6.0</v>
      </c>
      <c r="Q171" s="2">
        <v>36.0</v>
      </c>
      <c r="R171" s="3">
        <v>45127.0</v>
      </c>
      <c r="S171" s="2" t="s">
        <v>956</v>
      </c>
    </row>
    <row r="172" ht="14.25" customHeight="1">
      <c r="A172" s="2" t="s">
        <v>158</v>
      </c>
      <c r="B172" s="2" t="s">
        <v>159</v>
      </c>
      <c r="C172" s="2" t="s">
        <v>160</v>
      </c>
      <c r="D172" s="2">
        <v>46.0</v>
      </c>
      <c r="E172" s="2" t="s">
        <v>22</v>
      </c>
      <c r="F172" s="2" t="s">
        <v>161</v>
      </c>
      <c r="G172" s="2" t="s">
        <v>162</v>
      </c>
      <c r="H172" s="2" t="s">
        <v>163</v>
      </c>
      <c r="I172" s="2" t="s">
        <v>957</v>
      </c>
      <c r="J172" s="3">
        <v>45591.0</v>
      </c>
      <c r="K172" s="2" t="s">
        <v>958</v>
      </c>
      <c r="L172" s="2" t="s">
        <v>119</v>
      </c>
      <c r="M172" s="2">
        <v>257.06</v>
      </c>
      <c r="N172" s="2">
        <v>2.0</v>
      </c>
      <c r="O172" s="2" t="s">
        <v>51</v>
      </c>
      <c r="P172" s="2">
        <v>7.0</v>
      </c>
      <c r="Q172" s="2">
        <v>59.0</v>
      </c>
      <c r="R172" s="3">
        <v>45592.0</v>
      </c>
      <c r="S172" s="2" t="s">
        <v>959</v>
      </c>
    </row>
    <row r="173" ht="14.25" customHeight="1">
      <c r="A173" s="2" t="s">
        <v>918</v>
      </c>
      <c r="B173" s="2" t="s">
        <v>919</v>
      </c>
      <c r="C173" s="2" t="s">
        <v>920</v>
      </c>
      <c r="D173" s="2">
        <v>24.0</v>
      </c>
      <c r="E173" s="2" t="s">
        <v>45</v>
      </c>
      <c r="F173" s="2" t="s">
        <v>213</v>
      </c>
      <c r="G173" s="2" t="s">
        <v>921</v>
      </c>
      <c r="H173" s="2" t="s">
        <v>922</v>
      </c>
      <c r="I173" s="2" t="s">
        <v>960</v>
      </c>
      <c r="J173" s="3">
        <v>45525.0</v>
      </c>
      <c r="K173" s="2" t="s">
        <v>961</v>
      </c>
      <c r="L173" s="2" t="s">
        <v>411</v>
      </c>
      <c r="M173" s="2">
        <v>44.5</v>
      </c>
      <c r="N173" s="2">
        <v>4.0</v>
      </c>
      <c r="O173" s="2" t="s">
        <v>29</v>
      </c>
      <c r="P173" s="2">
        <v>5.0</v>
      </c>
      <c r="Q173" s="2">
        <v>40.0</v>
      </c>
      <c r="R173" s="3">
        <v>45531.0</v>
      </c>
      <c r="S173" s="2" t="s">
        <v>962</v>
      </c>
    </row>
    <row r="174" ht="14.25" customHeight="1">
      <c r="A174" s="2" t="s">
        <v>632</v>
      </c>
      <c r="B174" s="2" t="s">
        <v>141</v>
      </c>
      <c r="C174" s="2" t="s">
        <v>633</v>
      </c>
      <c r="D174" s="2">
        <v>44.0</v>
      </c>
      <c r="E174" s="2" t="s">
        <v>45</v>
      </c>
      <c r="F174" s="2" t="s">
        <v>83</v>
      </c>
      <c r="G174" s="2" t="s">
        <v>634</v>
      </c>
      <c r="H174" s="2" t="s">
        <v>635</v>
      </c>
      <c r="I174" s="2" t="s">
        <v>963</v>
      </c>
      <c r="J174" s="3">
        <v>45561.0</v>
      </c>
      <c r="K174" s="2" t="s">
        <v>964</v>
      </c>
      <c r="L174" s="2" t="s">
        <v>411</v>
      </c>
      <c r="M174" s="2">
        <v>44.5</v>
      </c>
      <c r="N174" s="2">
        <v>2.0</v>
      </c>
      <c r="O174" s="2" t="s">
        <v>51</v>
      </c>
      <c r="P174" s="2">
        <v>5.0</v>
      </c>
      <c r="Q174" s="2">
        <v>52.0</v>
      </c>
      <c r="R174" s="3">
        <v>45563.0</v>
      </c>
      <c r="S174" s="2" t="s">
        <v>965</v>
      </c>
    </row>
    <row r="175" ht="14.25" customHeight="1">
      <c r="A175" s="2" t="s">
        <v>615</v>
      </c>
      <c r="B175" s="2" t="s">
        <v>122</v>
      </c>
      <c r="C175" s="2" t="s">
        <v>616</v>
      </c>
      <c r="D175" s="2">
        <v>47.0</v>
      </c>
      <c r="E175" s="2" t="s">
        <v>45</v>
      </c>
      <c r="F175" s="2" t="s">
        <v>69</v>
      </c>
      <c r="G175" s="2" t="s">
        <v>617</v>
      </c>
      <c r="H175" s="2" t="s">
        <v>618</v>
      </c>
      <c r="I175" s="2" t="s">
        <v>966</v>
      </c>
      <c r="J175" s="3">
        <v>45051.0</v>
      </c>
      <c r="K175" s="2" t="s">
        <v>967</v>
      </c>
      <c r="L175" s="2" t="s">
        <v>301</v>
      </c>
      <c r="M175" s="2">
        <v>129.75</v>
      </c>
      <c r="N175" s="2">
        <v>5.0</v>
      </c>
      <c r="O175" s="2" t="s">
        <v>56</v>
      </c>
      <c r="P175" s="2">
        <v>3.0</v>
      </c>
      <c r="Q175" s="2">
        <v>43.0</v>
      </c>
      <c r="R175" s="3">
        <v>45057.0</v>
      </c>
      <c r="S175" s="2" t="s">
        <v>968</v>
      </c>
    </row>
    <row r="176" ht="14.25" customHeight="1">
      <c r="A176" s="2" t="s">
        <v>664</v>
      </c>
      <c r="B176" s="2" t="s">
        <v>665</v>
      </c>
      <c r="C176" s="2" t="s">
        <v>666</v>
      </c>
      <c r="D176" s="2">
        <v>38.0</v>
      </c>
      <c r="E176" s="2" t="s">
        <v>34</v>
      </c>
      <c r="F176" s="2" t="s">
        <v>213</v>
      </c>
      <c r="G176" s="2" t="s">
        <v>667</v>
      </c>
      <c r="H176" s="2" t="s">
        <v>668</v>
      </c>
      <c r="I176" s="2" t="s">
        <v>969</v>
      </c>
      <c r="J176" s="3">
        <v>45318.0</v>
      </c>
      <c r="K176" s="2" t="s">
        <v>970</v>
      </c>
      <c r="L176" s="2" t="s">
        <v>263</v>
      </c>
      <c r="M176" s="2">
        <v>62.42</v>
      </c>
      <c r="N176" s="2">
        <v>4.0</v>
      </c>
      <c r="O176" s="2" t="s">
        <v>78</v>
      </c>
      <c r="P176" s="2">
        <v>4.0</v>
      </c>
      <c r="Q176" s="2">
        <v>37.0</v>
      </c>
      <c r="R176" s="3">
        <v>45321.0</v>
      </c>
      <c r="S176" s="2" t="s">
        <v>971</v>
      </c>
    </row>
    <row r="177" ht="14.25" customHeight="1">
      <c r="A177" s="2" t="s">
        <v>717</v>
      </c>
      <c r="B177" s="2" t="s">
        <v>718</v>
      </c>
      <c r="C177" s="2" t="s">
        <v>160</v>
      </c>
      <c r="D177" s="2">
        <v>70.0</v>
      </c>
      <c r="E177" s="2" t="s">
        <v>34</v>
      </c>
      <c r="F177" s="2" t="s">
        <v>83</v>
      </c>
      <c r="G177" s="2" t="s">
        <v>719</v>
      </c>
      <c r="H177" s="2" t="s">
        <v>720</v>
      </c>
      <c r="I177" s="2" t="s">
        <v>972</v>
      </c>
      <c r="J177" s="3">
        <v>45508.0</v>
      </c>
      <c r="K177" s="2" t="s">
        <v>973</v>
      </c>
      <c r="L177" s="2" t="s">
        <v>488</v>
      </c>
      <c r="M177" s="2">
        <v>421.7</v>
      </c>
      <c r="N177" s="2">
        <v>4.0</v>
      </c>
      <c r="O177" s="2" t="s">
        <v>29</v>
      </c>
      <c r="P177" s="2">
        <v>7.0</v>
      </c>
      <c r="Q177" s="2">
        <v>69.0</v>
      </c>
      <c r="R177" s="3">
        <v>45514.0</v>
      </c>
      <c r="S177" s="2" t="s">
        <v>974</v>
      </c>
    </row>
    <row r="178" ht="14.25" customHeight="1">
      <c r="A178" s="2" t="s">
        <v>130</v>
      </c>
      <c r="B178" s="2" t="s">
        <v>131</v>
      </c>
      <c r="C178" s="2" t="s">
        <v>132</v>
      </c>
      <c r="D178" s="2">
        <v>25.0</v>
      </c>
      <c r="E178" s="2" t="s">
        <v>45</v>
      </c>
      <c r="F178" s="2" t="s">
        <v>133</v>
      </c>
      <c r="G178" s="2" t="s">
        <v>134</v>
      </c>
      <c r="H178" s="2" t="s">
        <v>135</v>
      </c>
      <c r="I178" s="2" t="s">
        <v>975</v>
      </c>
      <c r="J178" s="3">
        <v>45580.0</v>
      </c>
      <c r="K178" s="2" t="s">
        <v>976</v>
      </c>
      <c r="L178" s="2" t="s">
        <v>977</v>
      </c>
      <c r="M178" s="2">
        <v>33.49</v>
      </c>
      <c r="N178" s="2">
        <v>1.0</v>
      </c>
      <c r="O178" s="2" t="s">
        <v>56</v>
      </c>
      <c r="P178" s="2">
        <v>1.0</v>
      </c>
      <c r="Q178" s="2">
        <v>59.0</v>
      </c>
      <c r="R178" s="3">
        <v>45585.0</v>
      </c>
      <c r="S178" s="2" t="s">
        <v>978</v>
      </c>
    </row>
    <row r="179" ht="14.25" customHeight="1">
      <c r="A179" s="2" t="s">
        <v>979</v>
      </c>
      <c r="B179" s="2" t="s">
        <v>980</v>
      </c>
      <c r="C179" s="2" t="s">
        <v>981</v>
      </c>
      <c r="D179" s="2">
        <v>49.0</v>
      </c>
      <c r="E179" s="2" t="s">
        <v>22</v>
      </c>
      <c r="F179" s="2" t="s">
        <v>35</v>
      </c>
      <c r="G179" s="2" t="s">
        <v>982</v>
      </c>
      <c r="H179" s="2" t="s">
        <v>983</v>
      </c>
      <c r="I179" s="2" t="s">
        <v>984</v>
      </c>
      <c r="J179" s="3">
        <v>45478.0</v>
      </c>
      <c r="K179" s="2" t="s">
        <v>985</v>
      </c>
      <c r="L179" s="2" t="s">
        <v>166</v>
      </c>
      <c r="M179" s="2">
        <v>272.51</v>
      </c>
      <c r="N179" s="2">
        <v>4.0</v>
      </c>
      <c r="O179" s="2" t="s">
        <v>56</v>
      </c>
      <c r="P179" s="2">
        <v>1.0</v>
      </c>
      <c r="Q179" s="2">
        <v>51.0</v>
      </c>
      <c r="R179" s="3">
        <v>45480.0</v>
      </c>
      <c r="S179" s="2" t="s">
        <v>986</v>
      </c>
    </row>
    <row r="180" ht="14.25" customHeight="1">
      <c r="A180" s="2" t="s">
        <v>521</v>
      </c>
      <c r="B180" s="2" t="s">
        <v>387</v>
      </c>
      <c r="C180" s="2" t="s">
        <v>522</v>
      </c>
      <c r="D180" s="2">
        <v>51.0</v>
      </c>
      <c r="E180" s="2" t="s">
        <v>45</v>
      </c>
      <c r="F180" s="2" t="s">
        <v>133</v>
      </c>
      <c r="G180" s="2" t="s">
        <v>523</v>
      </c>
      <c r="H180" s="2" t="s">
        <v>524</v>
      </c>
      <c r="I180" s="2" t="s">
        <v>987</v>
      </c>
      <c r="J180" s="3">
        <v>45010.0</v>
      </c>
      <c r="K180" s="2" t="s">
        <v>988</v>
      </c>
      <c r="L180" s="2" t="s">
        <v>556</v>
      </c>
      <c r="M180" s="2">
        <v>133.62</v>
      </c>
      <c r="N180" s="2">
        <v>2.0</v>
      </c>
      <c r="O180" s="2" t="s">
        <v>29</v>
      </c>
      <c r="P180" s="2">
        <v>1.0</v>
      </c>
      <c r="Q180" s="2">
        <v>48.0</v>
      </c>
      <c r="R180" s="3">
        <v>45015.0</v>
      </c>
      <c r="S180" s="2" t="s">
        <v>989</v>
      </c>
    </row>
    <row r="181" ht="14.25" customHeight="1">
      <c r="A181" s="2" t="s">
        <v>760</v>
      </c>
      <c r="B181" s="2" t="s">
        <v>761</v>
      </c>
      <c r="C181" s="2" t="s">
        <v>762</v>
      </c>
      <c r="D181" s="2">
        <v>27.0</v>
      </c>
      <c r="E181" s="2" t="s">
        <v>22</v>
      </c>
      <c r="F181" s="2" t="s">
        <v>35</v>
      </c>
      <c r="G181" s="2" t="s">
        <v>763</v>
      </c>
      <c r="H181" s="2" t="s">
        <v>764</v>
      </c>
      <c r="I181" s="2" t="s">
        <v>990</v>
      </c>
      <c r="J181" s="3">
        <v>45132.0</v>
      </c>
      <c r="K181" s="2" t="s">
        <v>991</v>
      </c>
      <c r="L181" s="2" t="s">
        <v>119</v>
      </c>
      <c r="M181" s="2">
        <v>257.06</v>
      </c>
      <c r="N181" s="2">
        <v>4.0</v>
      </c>
      <c r="O181" s="2" t="s">
        <v>56</v>
      </c>
      <c r="P181" s="2">
        <v>5.0</v>
      </c>
      <c r="Q181" s="2">
        <v>52.0</v>
      </c>
      <c r="R181" s="3">
        <v>45136.0</v>
      </c>
      <c r="S181" s="2" t="s">
        <v>992</v>
      </c>
    </row>
    <row r="182" ht="14.25" customHeight="1">
      <c r="A182" s="2" t="s">
        <v>130</v>
      </c>
      <c r="B182" s="2" t="s">
        <v>131</v>
      </c>
      <c r="C182" s="2" t="s">
        <v>132</v>
      </c>
      <c r="D182" s="2">
        <v>25.0</v>
      </c>
      <c r="E182" s="2" t="s">
        <v>45</v>
      </c>
      <c r="F182" s="2" t="s">
        <v>133</v>
      </c>
      <c r="G182" s="2" t="s">
        <v>134</v>
      </c>
      <c r="H182" s="2" t="s">
        <v>135</v>
      </c>
      <c r="I182" s="2" t="s">
        <v>993</v>
      </c>
      <c r="J182" s="3">
        <v>45457.0</v>
      </c>
      <c r="K182" s="2" t="s">
        <v>994</v>
      </c>
      <c r="L182" s="2" t="s">
        <v>767</v>
      </c>
      <c r="M182" s="2">
        <v>20.0</v>
      </c>
      <c r="N182" s="2">
        <v>5.0</v>
      </c>
      <c r="O182" s="2" t="s">
        <v>51</v>
      </c>
      <c r="P182" s="2">
        <v>6.0</v>
      </c>
      <c r="Q182" s="2">
        <v>36.0</v>
      </c>
      <c r="R182" s="3">
        <v>45463.0</v>
      </c>
      <c r="S182" s="2" t="s">
        <v>995</v>
      </c>
    </row>
    <row r="183" ht="14.25" customHeight="1">
      <c r="A183" s="2" t="s">
        <v>709</v>
      </c>
      <c r="B183" s="2" t="s">
        <v>710</v>
      </c>
      <c r="C183" s="2" t="s">
        <v>711</v>
      </c>
      <c r="D183" s="2">
        <v>32.0</v>
      </c>
      <c r="E183" s="2" t="s">
        <v>34</v>
      </c>
      <c r="F183" s="2" t="s">
        <v>23</v>
      </c>
      <c r="G183" s="2" t="s">
        <v>712</v>
      </c>
      <c r="H183" s="2" t="s">
        <v>713</v>
      </c>
      <c r="I183" s="2" t="s">
        <v>996</v>
      </c>
      <c r="J183" s="3">
        <v>45343.0</v>
      </c>
      <c r="K183" s="2" t="s">
        <v>997</v>
      </c>
      <c r="L183" s="2" t="s">
        <v>650</v>
      </c>
      <c r="M183" s="2">
        <v>235.63</v>
      </c>
      <c r="N183" s="2">
        <v>3.0</v>
      </c>
      <c r="O183" s="2" t="s">
        <v>89</v>
      </c>
      <c r="P183" s="2">
        <v>5.0</v>
      </c>
      <c r="Q183" s="2">
        <v>44.0</v>
      </c>
      <c r="R183" s="3">
        <v>45347.0</v>
      </c>
      <c r="S183" s="2" t="s">
        <v>998</v>
      </c>
    </row>
    <row r="184" ht="14.25" customHeight="1">
      <c r="A184" s="2" t="s">
        <v>19</v>
      </c>
      <c r="B184" s="2" t="s">
        <v>20</v>
      </c>
      <c r="C184" s="2" t="s">
        <v>21</v>
      </c>
      <c r="D184" s="2">
        <v>37.0</v>
      </c>
      <c r="E184" s="2" t="s">
        <v>22</v>
      </c>
      <c r="F184" s="2" t="s">
        <v>23</v>
      </c>
      <c r="G184" s="2" t="s">
        <v>24</v>
      </c>
      <c r="H184" s="2" t="s">
        <v>25</v>
      </c>
      <c r="I184" s="2" t="s">
        <v>999</v>
      </c>
      <c r="J184" s="3">
        <v>45095.0</v>
      </c>
      <c r="K184" s="2" t="s">
        <v>1000</v>
      </c>
      <c r="L184" s="2" t="s">
        <v>556</v>
      </c>
      <c r="M184" s="2">
        <v>133.62</v>
      </c>
      <c r="N184" s="2">
        <v>5.0</v>
      </c>
      <c r="O184" s="2" t="s">
        <v>56</v>
      </c>
      <c r="P184" s="2">
        <v>7.0</v>
      </c>
      <c r="Q184" s="2">
        <v>58.0</v>
      </c>
      <c r="R184" s="3">
        <v>45098.0</v>
      </c>
      <c r="S184" s="2" t="s">
        <v>1001</v>
      </c>
    </row>
    <row r="185" ht="14.25" customHeight="1">
      <c r="A185" s="2" t="s">
        <v>483</v>
      </c>
      <c r="B185" s="2" t="s">
        <v>179</v>
      </c>
      <c r="C185" s="2" t="s">
        <v>320</v>
      </c>
      <c r="D185" s="2">
        <v>39.0</v>
      </c>
      <c r="E185" s="2" t="s">
        <v>45</v>
      </c>
      <c r="F185" s="2" t="s">
        <v>35</v>
      </c>
      <c r="G185" s="2" t="s">
        <v>484</v>
      </c>
      <c r="H185" s="2" t="s">
        <v>485</v>
      </c>
      <c r="I185" s="2" t="s">
        <v>1002</v>
      </c>
      <c r="J185" s="3">
        <v>45651.0</v>
      </c>
      <c r="K185" s="2" t="s">
        <v>1003</v>
      </c>
      <c r="L185" s="2" t="s">
        <v>488</v>
      </c>
      <c r="M185" s="2">
        <v>421.7</v>
      </c>
      <c r="N185" s="2">
        <v>2.0</v>
      </c>
      <c r="O185" s="2" t="s">
        <v>29</v>
      </c>
      <c r="P185" s="2">
        <v>5.0</v>
      </c>
      <c r="Q185" s="2">
        <v>45.0</v>
      </c>
      <c r="R185" s="3">
        <v>45653.0</v>
      </c>
      <c r="S185" s="2" t="s">
        <v>1004</v>
      </c>
    </row>
    <row r="186" ht="14.25" customHeight="1">
      <c r="A186" s="2" t="s">
        <v>177</v>
      </c>
      <c r="B186" s="2" t="s">
        <v>178</v>
      </c>
      <c r="C186" s="2" t="s">
        <v>179</v>
      </c>
      <c r="D186" s="2">
        <v>42.0</v>
      </c>
      <c r="E186" s="2" t="s">
        <v>34</v>
      </c>
      <c r="F186" s="2" t="s">
        <v>161</v>
      </c>
      <c r="G186" s="2" t="s">
        <v>180</v>
      </c>
      <c r="H186" s="2" t="s">
        <v>181</v>
      </c>
      <c r="I186" s="2" t="s">
        <v>1005</v>
      </c>
      <c r="J186" s="3">
        <v>45455.0</v>
      </c>
      <c r="K186" s="2" t="s">
        <v>1006</v>
      </c>
      <c r="L186" s="2" t="s">
        <v>337</v>
      </c>
      <c r="M186" s="2">
        <v>372.62</v>
      </c>
      <c r="N186" s="2">
        <v>1.0</v>
      </c>
      <c r="O186" s="2" t="s">
        <v>51</v>
      </c>
      <c r="P186" s="2">
        <v>3.0</v>
      </c>
      <c r="Q186" s="2">
        <v>35.0</v>
      </c>
      <c r="R186" s="3">
        <v>45458.0</v>
      </c>
      <c r="S186" s="2" t="s">
        <v>1007</v>
      </c>
    </row>
    <row r="187" ht="14.25" customHeight="1">
      <c r="A187" s="2" t="s">
        <v>528</v>
      </c>
      <c r="B187" s="2" t="s">
        <v>529</v>
      </c>
      <c r="C187" s="2" t="s">
        <v>530</v>
      </c>
      <c r="D187" s="2">
        <v>32.0</v>
      </c>
      <c r="E187" s="2" t="s">
        <v>45</v>
      </c>
      <c r="F187" s="2" t="s">
        <v>83</v>
      </c>
      <c r="G187" s="2" t="s">
        <v>531</v>
      </c>
      <c r="H187" s="2" t="s">
        <v>532</v>
      </c>
      <c r="I187" s="2" t="s">
        <v>1008</v>
      </c>
      <c r="J187" s="3">
        <v>45455.0</v>
      </c>
      <c r="K187" s="2" t="s">
        <v>1009</v>
      </c>
      <c r="L187" s="2" t="s">
        <v>88</v>
      </c>
      <c r="M187" s="2">
        <v>363.64</v>
      </c>
      <c r="N187" s="2">
        <v>3.0</v>
      </c>
      <c r="O187" s="2" t="s">
        <v>56</v>
      </c>
      <c r="P187" s="2">
        <v>3.0</v>
      </c>
      <c r="Q187" s="2">
        <v>70.0</v>
      </c>
      <c r="R187" s="3">
        <v>45461.0</v>
      </c>
      <c r="S187" s="2" t="s">
        <v>1010</v>
      </c>
    </row>
    <row r="188" ht="14.25" customHeight="1">
      <c r="A188" s="2" t="s">
        <v>66</v>
      </c>
      <c r="B188" s="2" t="s">
        <v>67</v>
      </c>
      <c r="C188" s="2" t="s">
        <v>68</v>
      </c>
      <c r="D188" s="2">
        <v>53.0</v>
      </c>
      <c r="E188" s="2" t="s">
        <v>45</v>
      </c>
      <c r="F188" s="2" t="s">
        <v>69</v>
      </c>
      <c r="G188" s="2" t="s">
        <v>70</v>
      </c>
      <c r="H188" s="2" t="s">
        <v>71</v>
      </c>
      <c r="I188" s="2" t="s">
        <v>1011</v>
      </c>
      <c r="J188" s="3">
        <v>45561.0</v>
      </c>
      <c r="K188" s="2" t="s">
        <v>1012</v>
      </c>
      <c r="L188" s="2" t="s">
        <v>74</v>
      </c>
      <c r="M188" s="2">
        <v>330.11</v>
      </c>
      <c r="N188" s="2">
        <v>4.0</v>
      </c>
      <c r="O188" s="2" t="s">
        <v>78</v>
      </c>
      <c r="P188" s="2">
        <v>4.0</v>
      </c>
      <c r="Q188" s="2">
        <v>47.0</v>
      </c>
      <c r="R188" s="3">
        <v>45566.0</v>
      </c>
      <c r="S188" s="2" t="s">
        <v>1013</v>
      </c>
    </row>
    <row r="189" ht="14.25" customHeight="1">
      <c r="A189" s="2" t="s">
        <v>309</v>
      </c>
      <c r="B189" s="2" t="s">
        <v>310</v>
      </c>
      <c r="C189" s="2" t="s">
        <v>311</v>
      </c>
      <c r="D189" s="2">
        <v>45.0</v>
      </c>
      <c r="E189" s="2" t="s">
        <v>22</v>
      </c>
      <c r="F189" s="2" t="s">
        <v>35</v>
      </c>
      <c r="G189" s="2" t="s">
        <v>312</v>
      </c>
      <c r="H189" s="2" t="s">
        <v>313</v>
      </c>
      <c r="I189" s="2" t="s">
        <v>1014</v>
      </c>
      <c r="J189" s="3">
        <v>45099.0</v>
      </c>
      <c r="K189" s="2" t="s">
        <v>1015</v>
      </c>
      <c r="L189" s="2" t="s">
        <v>934</v>
      </c>
      <c r="M189" s="2">
        <v>107.47</v>
      </c>
      <c r="N189" s="2">
        <v>1.0</v>
      </c>
      <c r="O189" s="2" t="s">
        <v>89</v>
      </c>
      <c r="P189" s="2">
        <v>5.0</v>
      </c>
      <c r="Q189" s="2">
        <v>56.0</v>
      </c>
      <c r="R189" s="3">
        <v>45104.0</v>
      </c>
      <c r="S189" s="2" t="s">
        <v>1016</v>
      </c>
    </row>
    <row r="190" ht="14.25" customHeight="1">
      <c r="A190" s="2" t="s">
        <v>158</v>
      </c>
      <c r="B190" s="2" t="s">
        <v>159</v>
      </c>
      <c r="C190" s="2" t="s">
        <v>160</v>
      </c>
      <c r="D190" s="2">
        <v>46.0</v>
      </c>
      <c r="E190" s="2" t="s">
        <v>22</v>
      </c>
      <c r="F190" s="2" t="s">
        <v>161</v>
      </c>
      <c r="G190" s="2" t="s">
        <v>162</v>
      </c>
      <c r="H190" s="2" t="s">
        <v>163</v>
      </c>
      <c r="I190" s="2" t="s">
        <v>1017</v>
      </c>
      <c r="J190" s="3">
        <v>45586.0</v>
      </c>
      <c r="K190" s="2" t="s">
        <v>1018</v>
      </c>
      <c r="L190" s="2" t="s">
        <v>235</v>
      </c>
      <c r="M190" s="2">
        <v>126.19</v>
      </c>
      <c r="N190" s="2">
        <v>1.0</v>
      </c>
      <c r="O190" s="2" t="s">
        <v>78</v>
      </c>
      <c r="P190" s="2">
        <v>5.0</v>
      </c>
      <c r="Q190" s="2">
        <v>68.0</v>
      </c>
      <c r="R190" s="3">
        <v>45588.0</v>
      </c>
      <c r="S190" s="2" t="s">
        <v>1019</v>
      </c>
    </row>
    <row r="191" ht="14.25" customHeight="1">
      <c r="A191" s="2" t="s">
        <v>639</v>
      </c>
      <c r="B191" s="2" t="s">
        <v>640</v>
      </c>
      <c r="C191" s="2" t="s">
        <v>641</v>
      </c>
      <c r="D191" s="2">
        <v>45.0</v>
      </c>
      <c r="E191" s="2" t="s">
        <v>45</v>
      </c>
      <c r="F191" s="2" t="s">
        <v>83</v>
      </c>
      <c r="G191" s="2" t="s">
        <v>642</v>
      </c>
      <c r="H191" s="2" t="s">
        <v>643</v>
      </c>
      <c r="I191" s="2" t="s">
        <v>1020</v>
      </c>
      <c r="J191" s="3">
        <v>45060.0</v>
      </c>
      <c r="K191" s="2" t="s">
        <v>1021</v>
      </c>
      <c r="L191" s="2" t="s">
        <v>741</v>
      </c>
      <c r="M191" s="2">
        <v>381.73</v>
      </c>
      <c r="N191" s="2">
        <v>2.0</v>
      </c>
      <c r="O191" s="2" t="s">
        <v>56</v>
      </c>
      <c r="P191" s="2">
        <v>5.0</v>
      </c>
      <c r="Q191" s="2">
        <v>38.0</v>
      </c>
      <c r="R191" s="3">
        <v>45066.0</v>
      </c>
      <c r="S191" s="2" t="s">
        <v>1022</v>
      </c>
    </row>
    <row r="192" ht="14.25" customHeight="1">
      <c r="A192" s="2" t="s">
        <v>468</v>
      </c>
      <c r="B192" s="2" t="s">
        <v>101</v>
      </c>
      <c r="C192" s="2" t="s">
        <v>469</v>
      </c>
      <c r="D192" s="2">
        <v>33.0</v>
      </c>
      <c r="E192" s="2" t="s">
        <v>22</v>
      </c>
      <c r="F192" s="2" t="s">
        <v>161</v>
      </c>
      <c r="G192" s="2" t="s">
        <v>470</v>
      </c>
      <c r="H192" s="2" t="s">
        <v>471</v>
      </c>
      <c r="I192" s="2" t="s">
        <v>1023</v>
      </c>
      <c r="J192" s="3">
        <v>45069.0</v>
      </c>
      <c r="K192" s="2" t="s">
        <v>1024</v>
      </c>
      <c r="L192" s="2" t="s">
        <v>864</v>
      </c>
      <c r="M192" s="2">
        <v>292.15</v>
      </c>
      <c r="N192" s="2">
        <v>5.0</v>
      </c>
      <c r="O192" s="2" t="s">
        <v>89</v>
      </c>
      <c r="P192" s="2">
        <v>6.0</v>
      </c>
      <c r="Q192" s="2">
        <v>68.0</v>
      </c>
      <c r="R192" s="3">
        <v>45071.0</v>
      </c>
      <c r="S192" s="2" t="s">
        <v>1025</v>
      </c>
    </row>
    <row r="193" ht="14.25" customHeight="1">
      <c r="A193" s="2" t="s">
        <v>483</v>
      </c>
      <c r="B193" s="2" t="s">
        <v>179</v>
      </c>
      <c r="C193" s="2" t="s">
        <v>320</v>
      </c>
      <c r="D193" s="2">
        <v>39.0</v>
      </c>
      <c r="E193" s="2" t="s">
        <v>45</v>
      </c>
      <c r="F193" s="2" t="s">
        <v>35</v>
      </c>
      <c r="G193" s="2" t="s">
        <v>484</v>
      </c>
      <c r="H193" s="2" t="s">
        <v>485</v>
      </c>
      <c r="I193" s="2" t="s">
        <v>1026</v>
      </c>
      <c r="J193" s="3">
        <v>45036.0</v>
      </c>
      <c r="K193" s="2" t="s">
        <v>1027</v>
      </c>
      <c r="L193" s="2" t="s">
        <v>507</v>
      </c>
      <c r="M193" s="2">
        <v>136.3</v>
      </c>
      <c r="N193" s="2">
        <v>3.0</v>
      </c>
      <c r="O193" s="2" t="s">
        <v>51</v>
      </c>
      <c r="P193" s="2">
        <v>6.0</v>
      </c>
      <c r="Q193" s="2">
        <v>42.0</v>
      </c>
      <c r="R193" s="3">
        <v>45043.0</v>
      </c>
      <c r="S193" s="2" t="s">
        <v>1028</v>
      </c>
    </row>
    <row r="194" ht="14.25" customHeight="1">
      <c r="A194" s="2" t="s">
        <v>632</v>
      </c>
      <c r="B194" s="2" t="s">
        <v>141</v>
      </c>
      <c r="C194" s="2" t="s">
        <v>633</v>
      </c>
      <c r="D194" s="2">
        <v>44.0</v>
      </c>
      <c r="E194" s="2" t="s">
        <v>45</v>
      </c>
      <c r="F194" s="2" t="s">
        <v>83</v>
      </c>
      <c r="G194" s="2" t="s">
        <v>634</v>
      </c>
      <c r="H194" s="2" t="s">
        <v>635</v>
      </c>
      <c r="I194" s="2" t="s">
        <v>1029</v>
      </c>
      <c r="J194" s="3">
        <v>45208.0</v>
      </c>
      <c r="K194" s="2" t="s">
        <v>1030</v>
      </c>
      <c r="L194" s="2" t="s">
        <v>583</v>
      </c>
      <c r="M194" s="2">
        <v>403.03</v>
      </c>
      <c r="N194" s="2">
        <v>3.0</v>
      </c>
      <c r="O194" s="2" t="s">
        <v>51</v>
      </c>
      <c r="P194" s="2">
        <v>4.0</v>
      </c>
      <c r="Q194" s="2">
        <v>67.0</v>
      </c>
      <c r="R194" s="3">
        <v>45213.0</v>
      </c>
      <c r="S194" s="2" t="s">
        <v>1031</v>
      </c>
    </row>
    <row r="195" ht="14.25" customHeight="1">
      <c r="A195" s="2" t="s">
        <v>428</v>
      </c>
      <c r="B195" s="2" t="s">
        <v>429</v>
      </c>
      <c r="C195" s="2" t="s">
        <v>430</v>
      </c>
      <c r="D195" s="2">
        <v>28.0</v>
      </c>
      <c r="E195" s="2" t="s">
        <v>45</v>
      </c>
      <c r="F195" s="2" t="s">
        <v>69</v>
      </c>
      <c r="G195" s="2" t="s">
        <v>431</v>
      </c>
      <c r="H195" s="2" t="s">
        <v>432</v>
      </c>
      <c r="I195" s="2" t="s">
        <v>1032</v>
      </c>
      <c r="J195" s="3">
        <v>45241.0</v>
      </c>
      <c r="K195" s="2" t="s">
        <v>1033</v>
      </c>
      <c r="L195" s="2" t="s">
        <v>630</v>
      </c>
      <c r="M195" s="2">
        <v>445.81</v>
      </c>
      <c r="N195" s="2">
        <v>2.0</v>
      </c>
      <c r="O195" s="2" t="s">
        <v>56</v>
      </c>
      <c r="P195" s="2">
        <v>7.0</v>
      </c>
      <c r="Q195" s="2">
        <v>67.0</v>
      </c>
      <c r="R195" s="3">
        <v>45242.0</v>
      </c>
      <c r="S195" s="2" t="s">
        <v>1034</v>
      </c>
    </row>
    <row r="196" ht="14.25" customHeight="1">
      <c r="A196" s="2" t="s">
        <v>1035</v>
      </c>
      <c r="B196" s="2" t="s">
        <v>67</v>
      </c>
      <c r="C196" s="2" t="s">
        <v>1036</v>
      </c>
      <c r="D196" s="2">
        <v>46.0</v>
      </c>
      <c r="E196" s="2" t="s">
        <v>22</v>
      </c>
      <c r="F196" s="2" t="s">
        <v>23</v>
      </c>
      <c r="G196" s="2" t="s">
        <v>1037</v>
      </c>
      <c r="H196" s="2" t="s">
        <v>1038</v>
      </c>
      <c r="I196" s="2" t="s">
        <v>1039</v>
      </c>
      <c r="J196" s="3">
        <v>45051.0</v>
      </c>
      <c r="K196" s="2" t="s">
        <v>1040</v>
      </c>
      <c r="L196" s="2" t="s">
        <v>301</v>
      </c>
      <c r="M196" s="2">
        <v>129.75</v>
      </c>
      <c r="N196" s="2">
        <v>5.0</v>
      </c>
      <c r="O196" s="2" t="s">
        <v>78</v>
      </c>
      <c r="P196" s="2">
        <v>6.0</v>
      </c>
      <c r="Q196" s="2">
        <v>38.0</v>
      </c>
      <c r="R196" s="3">
        <v>45057.0</v>
      </c>
      <c r="S196" s="2" t="s">
        <v>1041</v>
      </c>
    </row>
    <row r="197" ht="14.25" customHeight="1">
      <c r="A197" s="2" t="s">
        <v>500</v>
      </c>
      <c r="B197" s="2" t="s">
        <v>501</v>
      </c>
      <c r="C197" s="2" t="s">
        <v>502</v>
      </c>
      <c r="D197" s="2">
        <v>64.0</v>
      </c>
      <c r="E197" s="2" t="s">
        <v>22</v>
      </c>
      <c r="F197" s="2" t="s">
        <v>23</v>
      </c>
      <c r="G197" s="2" t="s">
        <v>503</v>
      </c>
      <c r="H197" s="2" t="s">
        <v>504</v>
      </c>
      <c r="I197" s="2" t="s">
        <v>1042</v>
      </c>
      <c r="J197" s="3">
        <v>45282.0</v>
      </c>
      <c r="K197" s="2" t="s">
        <v>1043</v>
      </c>
      <c r="L197" s="2" t="s">
        <v>977</v>
      </c>
      <c r="M197" s="2">
        <v>33.49</v>
      </c>
      <c r="N197" s="2">
        <v>3.0</v>
      </c>
      <c r="O197" s="2" t="s">
        <v>51</v>
      </c>
      <c r="P197" s="2">
        <v>2.0</v>
      </c>
      <c r="Q197" s="2">
        <v>62.0</v>
      </c>
      <c r="R197" s="3">
        <v>45284.0</v>
      </c>
      <c r="S197" s="2" t="s">
        <v>1044</v>
      </c>
    </row>
    <row r="198" ht="14.25" customHeight="1">
      <c r="A198" s="2" t="s">
        <v>528</v>
      </c>
      <c r="B198" s="2" t="s">
        <v>529</v>
      </c>
      <c r="C198" s="2" t="s">
        <v>530</v>
      </c>
      <c r="D198" s="2">
        <v>32.0</v>
      </c>
      <c r="E198" s="2" t="s">
        <v>45</v>
      </c>
      <c r="F198" s="2" t="s">
        <v>83</v>
      </c>
      <c r="G198" s="2" t="s">
        <v>531</v>
      </c>
      <c r="H198" s="2" t="s">
        <v>532</v>
      </c>
      <c r="I198" s="2" t="s">
        <v>1045</v>
      </c>
      <c r="J198" s="3">
        <v>45689.0</v>
      </c>
      <c r="K198" s="2" t="s">
        <v>1046</v>
      </c>
      <c r="L198" s="2" t="s">
        <v>74</v>
      </c>
      <c r="M198" s="2">
        <v>330.11</v>
      </c>
      <c r="N198" s="2">
        <v>4.0</v>
      </c>
      <c r="O198" s="2" t="s">
        <v>78</v>
      </c>
      <c r="P198" s="2">
        <v>2.0</v>
      </c>
      <c r="Q198" s="2">
        <v>69.0</v>
      </c>
      <c r="R198" s="3">
        <v>45695.0</v>
      </c>
      <c r="S198" s="2" t="s">
        <v>1047</v>
      </c>
    </row>
    <row r="199" ht="14.25" customHeight="1">
      <c r="A199" s="2" t="s">
        <v>394</v>
      </c>
      <c r="B199" s="2" t="s">
        <v>395</v>
      </c>
      <c r="C199" s="2" t="s">
        <v>396</v>
      </c>
      <c r="D199" s="2">
        <v>70.0</v>
      </c>
      <c r="E199" s="2" t="s">
        <v>22</v>
      </c>
      <c r="F199" s="2" t="s">
        <v>23</v>
      </c>
      <c r="G199" s="2" t="s">
        <v>397</v>
      </c>
      <c r="H199" s="2" t="s">
        <v>398</v>
      </c>
      <c r="I199" s="2" t="s">
        <v>1048</v>
      </c>
      <c r="J199" s="3">
        <v>45045.0</v>
      </c>
      <c r="K199" s="2" t="s">
        <v>1049</v>
      </c>
      <c r="L199" s="2" t="s">
        <v>50</v>
      </c>
      <c r="M199" s="2">
        <v>202.54</v>
      </c>
      <c r="N199" s="2">
        <v>5.0</v>
      </c>
      <c r="O199" s="2" t="s">
        <v>51</v>
      </c>
      <c r="P199" s="2">
        <v>1.0</v>
      </c>
      <c r="Q199" s="2">
        <v>47.0</v>
      </c>
      <c r="R199" s="3">
        <v>45051.0</v>
      </c>
      <c r="S199" s="2" t="s">
        <v>1050</v>
      </c>
    </row>
    <row r="200" ht="14.25" customHeight="1">
      <c r="A200" s="2" t="s">
        <v>568</v>
      </c>
      <c r="B200" s="2" t="s">
        <v>249</v>
      </c>
      <c r="C200" s="2" t="s">
        <v>569</v>
      </c>
      <c r="D200" s="2">
        <v>35.0</v>
      </c>
      <c r="E200" s="2" t="s">
        <v>22</v>
      </c>
      <c r="F200" s="2" t="s">
        <v>23</v>
      </c>
      <c r="G200" s="2" t="s">
        <v>570</v>
      </c>
      <c r="H200" s="2" t="s">
        <v>571</v>
      </c>
      <c r="I200" s="2" t="s">
        <v>1051</v>
      </c>
      <c r="J200" s="3">
        <v>45253.0</v>
      </c>
      <c r="K200" s="2" t="s">
        <v>1052</v>
      </c>
      <c r="L200" s="2" t="s">
        <v>40</v>
      </c>
      <c r="M200" s="2">
        <v>166.28</v>
      </c>
      <c r="N200" s="2">
        <v>4.0</v>
      </c>
      <c r="O200" s="2" t="s">
        <v>89</v>
      </c>
      <c r="P200" s="2">
        <v>4.0</v>
      </c>
      <c r="Q200" s="2">
        <v>44.0</v>
      </c>
      <c r="R200" s="3">
        <v>45257.0</v>
      </c>
      <c r="S200" s="2" t="s">
        <v>1053</v>
      </c>
    </row>
    <row r="201" ht="14.25" customHeight="1">
      <c r="A201" s="2" t="s">
        <v>428</v>
      </c>
      <c r="B201" s="2" t="s">
        <v>429</v>
      </c>
      <c r="C201" s="2" t="s">
        <v>430</v>
      </c>
      <c r="D201" s="2">
        <v>28.0</v>
      </c>
      <c r="E201" s="2" t="s">
        <v>45</v>
      </c>
      <c r="F201" s="2" t="s">
        <v>69</v>
      </c>
      <c r="G201" s="2" t="s">
        <v>431</v>
      </c>
      <c r="H201" s="2" t="s">
        <v>432</v>
      </c>
      <c r="I201" s="2" t="s">
        <v>1054</v>
      </c>
      <c r="J201" s="3">
        <v>45523.0</v>
      </c>
      <c r="K201" s="2" t="s">
        <v>1055</v>
      </c>
      <c r="L201" s="2" t="s">
        <v>864</v>
      </c>
      <c r="M201" s="2">
        <v>292.15</v>
      </c>
      <c r="N201" s="2">
        <v>2.0</v>
      </c>
      <c r="O201" s="2" t="s">
        <v>51</v>
      </c>
      <c r="P201" s="2">
        <v>4.0</v>
      </c>
      <c r="Q201" s="2">
        <v>58.0</v>
      </c>
      <c r="R201" s="3">
        <v>45526.0</v>
      </c>
      <c r="S201" s="2" t="s">
        <v>1056</v>
      </c>
    </row>
    <row r="202" ht="14.25" customHeight="1">
      <c r="A202" s="2" t="s">
        <v>1035</v>
      </c>
      <c r="B202" s="2" t="s">
        <v>67</v>
      </c>
      <c r="C202" s="2" t="s">
        <v>1036</v>
      </c>
      <c r="D202" s="2">
        <v>46.0</v>
      </c>
      <c r="E202" s="2" t="s">
        <v>22</v>
      </c>
      <c r="F202" s="2" t="s">
        <v>23</v>
      </c>
      <c r="G202" s="2" t="s">
        <v>1037</v>
      </c>
      <c r="H202" s="2" t="s">
        <v>1038</v>
      </c>
      <c r="I202" s="2" t="s">
        <v>1057</v>
      </c>
      <c r="J202" s="3">
        <v>45481.0</v>
      </c>
      <c r="K202" s="2" t="s">
        <v>1058</v>
      </c>
      <c r="L202" s="2" t="s">
        <v>166</v>
      </c>
      <c r="M202" s="2">
        <v>272.51</v>
      </c>
      <c r="N202" s="2">
        <v>4.0</v>
      </c>
      <c r="O202" s="2" t="s">
        <v>56</v>
      </c>
      <c r="P202" s="2">
        <v>7.0</v>
      </c>
      <c r="Q202" s="2">
        <v>38.0</v>
      </c>
      <c r="R202" s="3">
        <v>45482.0</v>
      </c>
      <c r="S202" s="2" t="s">
        <v>1059</v>
      </c>
    </row>
    <row r="203" ht="14.25" customHeight="1">
      <c r="A203" s="2" t="s">
        <v>309</v>
      </c>
      <c r="B203" s="2" t="s">
        <v>310</v>
      </c>
      <c r="C203" s="2" t="s">
        <v>311</v>
      </c>
      <c r="D203" s="2">
        <v>45.0</v>
      </c>
      <c r="E203" s="2" t="s">
        <v>22</v>
      </c>
      <c r="F203" s="2" t="s">
        <v>35</v>
      </c>
      <c r="G203" s="2" t="s">
        <v>312</v>
      </c>
      <c r="H203" s="2" t="s">
        <v>313</v>
      </c>
      <c r="I203" s="2" t="s">
        <v>1060</v>
      </c>
      <c r="J203" s="3">
        <v>45079.0</v>
      </c>
      <c r="K203" s="2" t="s">
        <v>1061</v>
      </c>
      <c r="L203" s="2" t="s">
        <v>280</v>
      </c>
      <c r="M203" s="2">
        <v>157.64</v>
      </c>
      <c r="N203" s="2">
        <v>3.0</v>
      </c>
      <c r="O203" s="2" t="s">
        <v>78</v>
      </c>
      <c r="P203" s="2">
        <v>2.0</v>
      </c>
      <c r="Q203" s="2">
        <v>47.0</v>
      </c>
      <c r="R203" s="3">
        <v>45085.0</v>
      </c>
      <c r="S203" s="2" t="s">
        <v>1062</v>
      </c>
    </row>
    <row r="204" ht="14.25" customHeight="1">
      <c r="A204" s="2" t="s">
        <v>294</v>
      </c>
      <c r="B204" s="2" t="s">
        <v>295</v>
      </c>
      <c r="C204" s="2" t="s">
        <v>296</v>
      </c>
      <c r="D204" s="2">
        <v>26.0</v>
      </c>
      <c r="E204" s="2" t="s">
        <v>45</v>
      </c>
      <c r="F204" s="2" t="s">
        <v>161</v>
      </c>
      <c r="G204" s="2" t="s">
        <v>297</v>
      </c>
      <c r="H204" s="2" t="s">
        <v>298</v>
      </c>
      <c r="I204" s="2" t="s">
        <v>1063</v>
      </c>
      <c r="J204" s="3">
        <v>45053.0</v>
      </c>
      <c r="K204" s="2" t="s">
        <v>1064</v>
      </c>
      <c r="L204" s="2" t="s">
        <v>263</v>
      </c>
      <c r="M204" s="2">
        <v>62.42</v>
      </c>
      <c r="N204" s="2">
        <v>3.0</v>
      </c>
      <c r="O204" s="2" t="s">
        <v>51</v>
      </c>
      <c r="P204" s="2">
        <v>5.0</v>
      </c>
      <c r="Q204" s="2">
        <v>62.0</v>
      </c>
      <c r="R204" s="3">
        <v>45058.0</v>
      </c>
      <c r="S204" s="2" t="s">
        <v>1065</v>
      </c>
    </row>
    <row r="205" ht="14.25" customHeight="1">
      <c r="A205" s="2" t="s">
        <v>513</v>
      </c>
      <c r="B205" s="2" t="s">
        <v>514</v>
      </c>
      <c r="C205" s="2" t="s">
        <v>515</v>
      </c>
      <c r="D205" s="2">
        <v>42.0</v>
      </c>
      <c r="E205" s="2" t="s">
        <v>45</v>
      </c>
      <c r="F205" s="2" t="s">
        <v>69</v>
      </c>
      <c r="G205" s="2" t="s">
        <v>516</v>
      </c>
      <c r="H205" s="2" t="s">
        <v>517</v>
      </c>
      <c r="I205" s="2" t="s">
        <v>1066</v>
      </c>
      <c r="J205" s="3">
        <v>45495.0</v>
      </c>
      <c r="K205" s="2" t="s">
        <v>1067</v>
      </c>
      <c r="L205" s="2" t="s">
        <v>88</v>
      </c>
      <c r="M205" s="2">
        <v>363.64</v>
      </c>
      <c r="N205" s="2">
        <v>3.0</v>
      </c>
      <c r="O205" s="2" t="s">
        <v>29</v>
      </c>
      <c r="P205" s="2">
        <v>5.0</v>
      </c>
      <c r="Q205" s="2">
        <v>53.0</v>
      </c>
      <c r="R205" s="3">
        <v>45502.0</v>
      </c>
      <c r="S205" s="2" t="s">
        <v>1068</v>
      </c>
    </row>
    <row r="206" ht="14.25" customHeight="1">
      <c r="A206" s="2" t="s">
        <v>539</v>
      </c>
      <c r="B206" s="2" t="s">
        <v>540</v>
      </c>
      <c r="C206" s="2" t="s">
        <v>541</v>
      </c>
      <c r="D206" s="2">
        <v>33.0</v>
      </c>
      <c r="E206" s="2" t="s">
        <v>45</v>
      </c>
      <c r="F206" s="2" t="s">
        <v>161</v>
      </c>
      <c r="G206" s="2" t="s">
        <v>542</v>
      </c>
      <c r="H206" s="2" t="s">
        <v>543</v>
      </c>
      <c r="I206" s="2" t="s">
        <v>1069</v>
      </c>
      <c r="J206" s="3">
        <v>45125.0</v>
      </c>
      <c r="K206" s="2" t="s">
        <v>1070</v>
      </c>
      <c r="L206" s="2" t="s">
        <v>566</v>
      </c>
      <c r="M206" s="2">
        <v>477.52</v>
      </c>
      <c r="N206" s="2">
        <v>4.0</v>
      </c>
      <c r="O206" s="2" t="s">
        <v>78</v>
      </c>
      <c r="P206" s="2">
        <v>5.0</v>
      </c>
      <c r="Q206" s="2">
        <v>55.0</v>
      </c>
      <c r="R206" s="3">
        <v>45127.0</v>
      </c>
      <c r="S206" s="2" t="s">
        <v>1071</v>
      </c>
    </row>
    <row r="207" ht="14.25" customHeight="1">
      <c r="A207" s="2" t="s">
        <v>1072</v>
      </c>
      <c r="B207" s="2" t="s">
        <v>211</v>
      </c>
      <c r="C207" s="2" t="s">
        <v>1073</v>
      </c>
      <c r="D207" s="2">
        <v>55.0</v>
      </c>
      <c r="E207" s="2" t="s">
        <v>34</v>
      </c>
      <c r="F207" s="2" t="s">
        <v>152</v>
      </c>
      <c r="G207" s="2" t="s">
        <v>1074</v>
      </c>
      <c r="H207" s="2" t="s">
        <v>1075</v>
      </c>
      <c r="I207" s="2" t="s">
        <v>1076</v>
      </c>
      <c r="J207" s="3">
        <v>45168.0</v>
      </c>
      <c r="K207" s="2" t="s">
        <v>1077</v>
      </c>
      <c r="L207" s="2" t="s">
        <v>235</v>
      </c>
      <c r="M207" s="2">
        <v>126.19</v>
      </c>
      <c r="N207" s="2">
        <v>2.0</v>
      </c>
      <c r="O207" s="2" t="s">
        <v>56</v>
      </c>
      <c r="P207" s="2">
        <v>5.0</v>
      </c>
      <c r="Q207" s="2">
        <v>59.0</v>
      </c>
      <c r="R207" s="3">
        <v>45174.0</v>
      </c>
      <c r="S207" s="2" t="s">
        <v>1078</v>
      </c>
    </row>
    <row r="208" ht="14.25" customHeight="1">
      <c r="A208" s="2" t="s">
        <v>724</v>
      </c>
      <c r="B208" s="2" t="s">
        <v>725</v>
      </c>
      <c r="C208" s="2" t="s">
        <v>726</v>
      </c>
      <c r="D208" s="2">
        <v>30.0</v>
      </c>
      <c r="E208" s="2" t="s">
        <v>22</v>
      </c>
      <c r="F208" s="2" t="s">
        <v>152</v>
      </c>
      <c r="G208" s="2" t="s">
        <v>727</v>
      </c>
      <c r="H208" s="2" t="s">
        <v>728</v>
      </c>
      <c r="I208" s="2" t="s">
        <v>1079</v>
      </c>
      <c r="J208" s="3">
        <v>45320.0</v>
      </c>
      <c r="K208" s="2" t="s">
        <v>1080</v>
      </c>
      <c r="L208" s="2" t="s">
        <v>474</v>
      </c>
      <c r="M208" s="2">
        <v>87.09</v>
      </c>
      <c r="N208" s="2">
        <v>1.0</v>
      </c>
      <c r="O208" s="2" t="s">
        <v>89</v>
      </c>
      <c r="P208" s="2">
        <v>1.0</v>
      </c>
      <c r="Q208" s="2">
        <v>61.0</v>
      </c>
      <c r="R208" s="3">
        <v>45321.0</v>
      </c>
      <c r="S208" s="2" t="s">
        <v>1081</v>
      </c>
    </row>
    <row r="209" ht="14.25" customHeight="1">
      <c r="A209" s="2" t="s">
        <v>386</v>
      </c>
      <c r="B209" s="2" t="s">
        <v>387</v>
      </c>
      <c r="C209" s="2" t="s">
        <v>388</v>
      </c>
      <c r="D209" s="2">
        <v>40.0</v>
      </c>
      <c r="E209" s="2" t="s">
        <v>45</v>
      </c>
      <c r="F209" s="2" t="s">
        <v>161</v>
      </c>
      <c r="G209" s="2" t="s">
        <v>389</v>
      </c>
      <c r="H209" s="2" t="s">
        <v>390</v>
      </c>
      <c r="I209" s="2" t="s">
        <v>1082</v>
      </c>
      <c r="J209" s="3">
        <v>45074.0</v>
      </c>
      <c r="K209" s="2" t="s">
        <v>1083</v>
      </c>
      <c r="L209" s="2" t="s">
        <v>731</v>
      </c>
      <c r="M209" s="2">
        <v>110.95</v>
      </c>
      <c r="N209" s="2">
        <v>3.0</v>
      </c>
      <c r="O209" s="2" t="s">
        <v>89</v>
      </c>
      <c r="P209" s="2">
        <v>6.0</v>
      </c>
      <c r="Q209" s="2">
        <v>65.0</v>
      </c>
      <c r="R209" s="3">
        <v>45079.0</v>
      </c>
      <c r="S209" s="2" t="s">
        <v>1084</v>
      </c>
    </row>
    <row r="210" ht="14.25" customHeight="1">
      <c r="A210" s="2" t="s">
        <v>632</v>
      </c>
      <c r="B210" s="2" t="s">
        <v>141</v>
      </c>
      <c r="C210" s="2" t="s">
        <v>633</v>
      </c>
      <c r="D210" s="2">
        <v>44.0</v>
      </c>
      <c r="E210" s="2" t="s">
        <v>45</v>
      </c>
      <c r="F210" s="2" t="s">
        <v>83</v>
      </c>
      <c r="G210" s="2" t="s">
        <v>634</v>
      </c>
      <c r="H210" s="2" t="s">
        <v>635</v>
      </c>
      <c r="I210" s="2" t="s">
        <v>1085</v>
      </c>
      <c r="J210" s="3">
        <v>45285.0</v>
      </c>
      <c r="K210" s="2" t="s">
        <v>1086</v>
      </c>
      <c r="L210" s="2" t="s">
        <v>977</v>
      </c>
      <c r="M210" s="2">
        <v>33.49</v>
      </c>
      <c r="N210" s="2">
        <v>1.0</v>
      </c>
      <c r="O210" s="2" t="s">
        <v>29</v>
      </c>
      <c r="P210" s="2">
        <v>2.0</v>
      </c>
      <c r="Q210" s="2">
        <v>67.0</v>
      </c>
      <c r="R210" s="3">
        <v>45286.0</v>
      </c>
      <c r="S210" s="2" t="s">
        <v>1087</v>
      </c>
    </row>
    <row r="211" ht="14.25" customHeight="1">
      <c r="A211" s="2" t="s">
        <v>413</v>
      </c>
      <c r="B211" s="2" t="s">
        <v>414</v>
      </c>
      <c r="C211" s="2" t="s">
        <v>415</v>
      </c>
      <c r="D211" s="2">
        <v>52.0</v>
      </c>
      <c r="E211" s="2" t="s">
        <v>45</v>
      </c>
      <c r="F211" s="2" t="s">
        <v>213</v>
      </c>
      <c r="G211" s="2" t="s">
        <v>416</v>
      </c>
      <c r="H211" s="2" t="s">
        <v>417</v>
      </c>
      <c r="I211" s="2" t="s">
        <v>1088</v>
      </c>
      <c r="J211" s="3">
        <v>45001.0</v>
      </c>
      <c r="K211" s="2" t="s">
        <v>1089</v>
      </c>
      <c r="L211" s="2" t="s">
        <v>546</v>
      </c>
      <c r="M211" s="2">
        <v>425.59</v>
      </c>
      <c r="N211" s="2">
        <v>3.0</v>
      </c>
      <c r="O211" s="2" t="s">
        <v>29</v>
      </c>
      <c r="P211" s="2">
        <v>7.0</v>
      </c>
      <c r="Q211" s="2">
        <v>68.0</v>
      </c>
      <c r="R211" s="3">
        <v>45005.0</v>
      </c>
      <c r="S211" s="2" t="s">
        <v>802</v>
      </c>
    </row>
    <row r="212" ht="14.25" customHeight="1">
      <c r="A212" s="2" t="s">
        <v>1072</v>
      </c>
      <c r="B212" s="2" t="s">
        <v>211</v>
      </c>
      <c r="C212" s="2" t="s">
        <v>1073</v>
      </c>
      <c r="D212" s="2">
        <v>55.0</v>
      </c>
      <c r="E212" s="2" t="s">
        <v>34</v>
      </c>
      <c r="F212" s="2" t="s">
        <v>152</v>
      </c>
      <c r="G212" s="2" t="s">
        <v>1074</v>
      </c>
      <c r="H212" s="2" t="s">
        <v>1075</v>
      </c>
      <c r="I212" s="2" t="s">
        <v>1090</v>
      </c>
      <c r="J212" s="3">
        <v>45039.0</v>
      </c>
      <c r="K212" s="2" t="s">
        <v>1091</v>
      </c>
      <c r="L212" s="2" t="s">
        <v>511</v>
      </c>
      <c r="M212" s="2">
        <v>441.03</v>
      </c>
      <c r="N212" s="2">
        <v>5.0</v>
      </c>
      <c r="O212" s="2" t="s">
        <v>51</v>
      </c>
      <c r="P212" s="2">
        <v>3.0</v>
      </c>
      <c r="Q212" s="2">
        <v>37.0</v>
      </c>
      <c r="R212" s="3">
        <v>45044.0</v>
      </c>
      <c r="S212" s="2" t="s">
        <v>1092</v>
      </c>
    </row>
    <row r="213" ht="14.25" customHeight="1">
      <c r="A213" s="2" t="s">
        <v>521</v>
      </c>
      <c r="B213" s="2" t="s">
        <v>387</v>
      </c>
      <c r="C213" s="2" t="s">
        <v>522</v>
      </c>
      <c r="D213" s="2">
        <v>51.0</v>
      </c>
      <c r="E213" s="2" t="s">
        <v>45</v>
      </c>
      <c r="F213" s="2" t="s">
        <v>133</v>
      </c>
      <c r="G213" s="2" t="s">
        <v>523</v>
      </c>
      <c r="H213" s="2" t="s">
        <v>524</v>
      </c>
      <c r="I213" s="2" t="s">
        <v>1093</v>
      </c>
      <c r="J213" s="3">
        <v>45339.0</v>
      </c>
      <c r="K213" s="2" t="s">
        <v>1094</v>
      </c>
      <c r="L213" s="2" t="s">
        <v>301</v>
      </c>
      <c r="M213" s="2">
        <v>129.75</v>
      </c>
      <c r="N213" s="2">
        <v>3.0</v>
      </c>
      <c r="O213" s="2" t="s">
        <v>51</v>
      </c>
      <c r="P213" s="2">
        <v>5.0</v>
      </c>
      <c r="Q213" s="2">
        <v>37.0</v>
      </c>
      <c r="R213" s="3">
        <v>45341.0</v>
      </c>
      <c r="S213" s="2" t="s">
        <v>1095</v>
      </c>
    </row>
    <row r="214" ht="14.25" customHeight="1">
      <c r="A214" s="2" t="s">
        <v>1096</v>
      </c>
      <c r="B214" s="2" t="s">
        <v>1097</v>
      </c>
      <c r="C214" s="2" t="s">
        <v>1098</v>
      </c>
      <c r="D214" s="2">
        <v>18.0</v>
      </c>
      <c r="E214" s="2" t="s">
        <v>22</v>
      </c>
      <c r="F214" s="2" t="s">
        <v>69</v>
      </c>
      <c r="G214" s="2" t="s">
        <v>1099</v>
      </c>
      <c r="H214" s="2" t="s">
        <v>1100</v>
      </c>
      <c r="I214" s="2" t="s">
        <v>1101</v>
      </c>
      <c r="J214" s="3">
        <v>45349.0</v>
      </c>
      <c r="K214" s="2" t="s">
        <v>1102</v>
      </c>
      <c r="L214" s="2" t="s">
        <v>650</v>
      </c>
      <c r="M214" s="2">
        <v>235.63</v>
      </c>
      <c r="N214" s="2">
        <v>1.0</v>
      </c>
      <c r="O214" s="2" t="s">
        <v>29</v>
      </c>
      <c r="P214" s="2">
        <v>6.0</v>
      </c>
      <c r="Q214" s="2">
        <v>58.0</v>
      </c>
      <c r="R214" s="3">
        <v>45354.0</v>
      </c>
      <c r="S214" s="2" t="s">
        <v>1103</v>
      </c>
    </row>
    <row r="215" ht="14.25" customHeight="1">
      <c r="A215" s="2" t="s">
        <v>168</v>
      </c>
      <c r="B215" s="2" t="s">
        <v>169</v>
      </c>
      <c r="C215" s="2" t="s">
        <v>170</v>
      </c>
      <c r="D215" s="2">
        <v>36.0</v>
      </c>
      <c r="E215" s="2" t="s">
        <v>45</v>
      </c>
      <c r="F215" s="2" t="s">
        <v>133</v>
      </c>
      <c r="G215" s="2" t="s">
        <v>171</v>
      </c>
      <c r="H215" s="2" t="s">
        <v>172</v>
      </c>
      <c r="I215" s="2" t="s">
        <v>1104</v>
      </c>
      <c r="J215" s="3">
        <v>45549.0</v>
      </c>
      <c r="K215" s="2" t="s">
        <v>1105</v>
      </c>
      <c r="L215" s="2" t="s">
        <v>507</v>
      </c>
      <c r="M215" s="2">
        <v>136.3</v>
      </c>
      <c r="N215" s="2">
        <v>2.0</v>
      </c>
      <c r="O215" s="2" t="s">
        <v>78</v>
      </c>
      <c r="P215" s="2">
        <v>7.0</v>
      </c>
      <c r="Q215" s="2">
        <v>51.0</v>
      </c>
      <c r="R215" s="3">
        <v>45550.0</v>
      </c>
      <c r="S215" s="2" t="s">
        <v>1106</v>
      </c>
    </row>
    <row r="216" ht="14.25" customHeight="1">
      <c r="A216" s="2" t="s">
        <v>476</v>
      </c>
      <c r="B216" s="2" t="s">
        <v>477</v>
      </c>
      <c r="C216" s="2" t="s">
        <v>123</v>
      </c>
      <c r="D216" s="2">
        <v>68.0</v>
      </c>
      <c r="E216" s="2" t="s">
        <v>45</v>
      </c>
      <c r="F216" s="2" t="s">
        <v>213</v>
      </c>
      <c r="G216" s="2" t="s">
        <v>478</v>
      </c>
      <c r="H216" s="2" t="s">
        <v>479</v>
      </c>
      <c r="I216" s="2" t="s">
        <v>1107</v>
      </c>
      <c r="J216" s="3">
        <v>45112.0</v>
      </c>
      <c r="K216" s="2" t="s">
        <v>1108</v>
      </c>
      <c r="L216" s="2" t="s">
        <v>934</v>
      </c>
      <c r="M216" s="2">
        <v>107.47</v>
      </c>
      <c r="N216" s="2">
        <v>4.0</v>
      </c>
      <c r="O216" s="2" t="s">
        <v>78</v>
      </c>
      <c r="P216" s="2">
        <v>5.0</v>
      </c>
      <c r="Q216" s="2">
        <v>51.0</v>
      </c>
      <c r="R216" s="3">
        <v>45115.0</v>
      </c>
      <c r="S216" s="2" t="s">
        <v>1109</v>
      </c>
    </row>
    <row r="217" ht="14.25" customHeight="1">
      <c r="A217" s="2" t="s">
        <v>918</v>
      </c>
      <c r="B217" s="2" t="s">
        <v>919</v>
      </c>
      <c r="C217" s="2" t="s">
        <v>920</v>
      </c>
      <c r="D217" s="2">
        <v>24.0</v>
      </c>
      <c r="E217" s="2" t="s">
        <v>45</v>
      </c>
      <c r="F217" s="2" t="s">
        <v>213</v>
      </c>
      <c r="G217" s="2" t="s">
        <v>921</v>
      </c>
      <c r="H217" s="2" t="s">
        <v>922</v>
      </c>
      <c r="I217" s="2" t="s">
        <v>1110</v>
      </c>
      <c r="J217" s="3">
        <v>45271.0</v>
      </c>
      <c r="K217" s="2" t="s">
        <v>1111</v>
      </c>
      <c r="L217" s="2" t="s">
        <v>98</v>
      </c>
      <c r="M217" s="2">
        <v>275.44</v>
      </c>
      <c r="N217" s="2">
        <v>2.0</v>
      </c>
      <c r="O217" s="2" t="s">
        <v>29</v>
      </c>
      <c r="P217" s="2">
        <v>2.0</v>
      </c>
      <c r="Q217" s="2">
        <v>36.0</v>
      </c>
      <c r="R217" s="3">
        <v>45276.0</v>
      </c>
      <c r="S217" s="2" t="s">
        <v>1112</v>
      </c>
    </row>
    <row r="218" ht="14.25" customHeight="1">
      <c r="A218" s="2" t="s">
        <v>769</v>
      </c>
      <c r="B218" s="2" t="s">
        <v>770</v>
      </c>
      <c r="C218" s="2" t="s">
        <v>771</v>
      </c>
      <c r="D218" s="2">
        <v>32.0</v>
      </c>
      <c r="E218" s="2" t="s">
        <v>22</v>
      </c>
      <c r="F218" s="2" t="s">
        <v>152</v>
      </c>
      <c r="G218" s="2" t="s">
        <v>772</v>
      </c>
      <c r="H218" s="2" t="s">
        <v>773</v>
      </c>
      <c r="I218" s="2" t="s">
        <v>1113</v>
      </c>
      <c r="J218" s="3">
        <v>45588.0</v>
      </c>
      <c r="K218" s="2" t="s">
        <v>1114</v>
      </c>
      <c r="L218" s="2" t="s">
        <v>934</v>
      </c>
      <c r="M218" s="2">
        <v>107.47</v>
      </c>
      <c r="N218" s="2">
        <v>2.0</v>
      </c>
      <c r="O218" s="2" t="s">
        <v>51</v>
      </c>
      <c r="P218" s="2">
        <v>5.0</v>
      </c>
      <c r="Q218" s="2">
        <v>55.0</v>
      </c>
      <c r="R218" s="3">
        <v>45592.0</v>
      </c>
      <c r="S218" s="2" t="s">
        <v>1115</v>
      </c>
    </row>
    <row r="219" ht="14.25" customHeight="1">
      <c r="A219" s="2" t="s">
        <v>58</v>
      </c>
      <c r="B219" s="2" t="s">
        <v>59</v>
      </c>
      <c r="C219" s="2" t="s">
        <v>60</v>
      </c>
      <c r="D219" s="2">
        <v>49.0</v>
      </c>
      <c r="E219" s="2" t="s">
        <v>45</v>
      </c>
      <c r="F219" s="2" t="s">
        <v>23</v>
      </c>
      <c r="G219" s="2" t="s">
        <v>61</v>
      </c>
      <c r="H219" s="2" t="s">
        <v>62</v>
      </c>
      <c r="I219" s="2" t="s">
        <v>1116</v>
      </c>
      <c r="J219" s="3">
        <v>45578.0</v>
      </c>
      <c r="K219" s="2" t="s">
        <v>1117</v>
      </c>
      <c r="L219" s="2" t="s">
        <v>284</v>
      </c>
      <c r="M219" s="2">
        <v>158.53</v>
      </c>
      <c r="N219" s="2">
        <v>5.0</v>
      </c>
      <c r="O219" s="2" t="s">
        <v>29</v>
      </c>
      <c r="P219" s="2">
        <v>2.0</v>
      </c>
      <c r="Q219" s="2">
        <v>64.0</v>
      </c>
      <c r="R219" s="3">
        <v>45582.0</v>
      </c>
      <c r="S219" s="2" t="s">
        <v>1118</v>
      </c>
    </row>
    <row r="220" ht="14.25" customHeight="1">
      <c r="A220" s="2" t="s">
        <v>202</v>
      </c>
      <c r="B220" s="2" t="s">
        <v>203</v>
      </c>
      <c r="C220" s="2" t="s">
        <v>204</v>
      </c>
      <c r="D220" s="2">
        <v>39.0</v>
      </c>
      <c r="E220" s="2" t="s">
        <v>34</v>
      </c>
      <c r="F220" s="2" t="s">
        <v>152</v>
      </c>
      <c r="G220" s="2" t="s">
        <v>205</v>
      </c>
      <c r="H220" s="2" t="s">
        <v>206</v>
      </c>
      <c r="I220" s="2" t="s">
        <v>1119</v>
      </c>
      <c r="J220" s="3">
        <v>45541.0</v>
      </c>
      <c r="K220" s="2" t="s">
        <v>1120</v>
      </c>
      <c r="L220" s="2" t="s">
        <v>88</v>
      </c>
      <c r="M220" s="2">
        <v>363.64</v>
      </c>
      <c r="N220" s="2">
        <v>2.0</v>
      </c>
      <c r="O220" s="2" t="s">
        <v>78</v>
      </c>
      <c r="P220" s="2">
        <v>6.0</v>
      </c>
      <c r="Q220" s="2">
        <v>37.0</v>
      </c>
      <c r="R220" s="3">
        <v>45544.0</v>
      </c>
      <c r="S220" s="2" t="s">
        <v>1121</v>
      </c>
    </row>
    <row r="221" ht="14.25" customHeight="1">
      <c r="A221" s="2" t="s">
        <v>326</v>
      </c>
      <c r="B221" s="2" t="s">
        <v>327</v>
      </c>
      <c r="C221" s="2" t="s">
        <v>328</v>
      </c>
      <c r="D221" s="2">
        <v>23.0</v>
      </c>
      <c r="E221" s="2" t="s">
        <v>22</v>
      </c>
      <c r="F221" s="2" t="s">
        <v>23</v>
      </c>
      <c r="G221" s="2" t="s">
        <v>329</v>
      </c>
      <c r="H221" s="2" t="s">
        <v>330</v>
      </c>
      <c r="I221" s="2" t="s">
        <v>1122</v>
      </c>
      <c r="J221" s="3">
        <v>45504.0</v>
      </c>
      <c r="K221" s="2" t="s">
        <v>1123</v>
      </c>
      <c r="L221" s="2" t="s">
        <v>507</v>
      </c>
      <c r="M221" s="2">
        <v>136.3</v>
      </c>
      <c r="N221" s="2">
        <v>2.0</v>
      </c>
      <c r="O221" s="2" t="s">
        <v>89</v>
      </c>
      <c r="P221" s="2">
        <v>3.0</v>
      </c>
      <c r="Q221" s="2">
        <v>47.0</v>
      </c>
      <c r="R221" s="3">
        <v>45511.0</v>
      </c>
      <c r="S221" s="2" t="s">
        <v>1124</v>
      </c>
    </row>
    <row r="222" ht="14.25" customHeight="1">
      <c r="A222" s="2" t="s">
        <v>1072</v>
      </c>
      <c r="B222" s="2" t="s">
        <v>211</v>
      </c>
      <c r="C222" s="2" t="s">
        <v>1073</v>
      </c>
      <c r="D222" s="2">
        <v>55.0</v>
      </c>
      <c r="E222" s="2" t="s">
        <v>34</v>
      </c>
      <c r="F222" s="2" t="s">
        <v>152</v>
      </c>
      <c r="G222" s="2" t="s">
        <v>1074</v>
      </c>
      <c r="H222" s="2" t="s">
        <v>1075</v>
      </c>
      <c r="I222" s="2" t="s">
        <v>1125</v>
      </c>
      <c r="J222" s="3">
        <v>45408.0</v>
      </c>
      <c r="K222" s="2" t="s">
        <v>1126</v>
      </c>
      <c r="L222" s="2" t="s">
        <v>423</v>
      </c>
      <c r="M222" s="2">
        <v>369.03</v>
      </c>
      <c r="N222" s="2">
        <v>3.0</v>
      </c>
      <c r="O222" s="2" t="s">
        <v>78</v>
      </c>
      <c r="P222" s="2">
        <v>2.0</v>
      </c>
      <c r="Q222" s="2">
        <v>65.0</v>
      </c>
      <c r="R222" s="3">
        <v>45412.0</v>
      </c>
      <c r="S222" s="2" t="s">
        <v>1127</v>
      </c>
    </row>
    <row r="223" ht="14.25" customHeight="1">
      <c r="A223" s="2" t="s">
        <v>256</v>
      </c>
      <c r="B223" s="2" t="s">
        <v>257</v>
      </c>
      <c r="C223" s="2" t="s">
        <v>258</v>
      </c>
      <c r="D223" s="2">
        <v>54.0</v>
      </c>
      <c r="E223" s="2" t="s">
        <v>34</v>
      </c>
      <c r="F223" s="2" t="s">
        <v>23</v>
      </c>
      <c r="G223" s="2" t="s">
        <v>259</v>
      </c>
      <c r="H223" s="2" t="s">
        <v>260</v>
      </c>
      <c r="I223" s="2" t="s">
        <v>1128</v>
      </c>
      <c r="J223" s="3">
        <v>45105.0</v>
      </c>
      <c r="K223" s="2" t="s">
        <v>1129</v>
      </c>
      <c r="L223" s="2" t="s">
        <v>741</v>
      </c>
      <c r="M223" s="2">
        <v>381.73</v>
      </c>
      <c r="N223" s="2">
        <v>2.0</v>
      </c>
      <c r="O223" s="2" t="s">
        <v>51</v>
      </c>
      <c r="P223" s="2">
        <v>3.0</v>
      </c>
      <c r="Q223" s="2">
        <v>70.0</v>
      </c>
      <c r="R223" s="3">
        <v>45112.0</v>
      </c>
      <c r="S223" s="2" t="s">
        <v>1130</v>
      </c>
    </row>
    <row r="224" ht="14.25" customHeight="1">
      <c r="A224" s="2" t="s">
        <v>639</v>
      </c>
      <c r="B224" s="2" t="s">
        <v>640</v>
      </c>
      <c r="C224" s="2" t="s">
        <v>641</v>
      </c>
      <c r="D224" s="2">
        <v>45.0</v>
      </c>
      <c r="E224" s="2" t="s">
        <v>45</v>
      </c>
      <c r="F224" s="2" t="s">
        <v>83</v>
      </c>
      <c r="G224" s="2" t="s">
        <v>642</v>
      </c>
      <c r="H224" s="2" t="s">
        <v>643</v>
      </c>
      <c r="I224" s="2" t="s">
        <v>1131</v>
      </c>
      <c r="J224" s="3">
        <v>45677.0</v>
      </c>
      <c r="K224" s="2" t="s">
        <v>1132</v>
      </c>
      <c r="L224" s="2" t="s">
        <v>488</v>
      </c>
      <c r="M224" s="2">
        <v>421.7</v>
      </c>
      <c r="N224" s="2">
        <v>3.0</v>
      </c>
      <c r="O224" s="2" t="s">
        <v>89</v>
      </c>
      <c r="P224" s="2">
        <v>6.0</v>
      </c>
      <c r="Q224" s="2">
        <v>38.0</v>
      </c>
      <c r="R224" s="3">
        <v>45680.0</v>
      </c>
      <c r="S224" s="2" t="s">
        <v>1133</v>
      </c>
    </row>
    <row r="225" ht="14.25" customHeight="1">
      <c r="A225" s="2" t="s">
        <v>1072</v>
      </c>
      <c r="B225" s="2" t="s">
        <v>211</v>
      </c>
      <c r="C225" s="2" t="s">
        <v>1073</v>
      </c>
      <c r="D225" s="2">
        <v>55.0</v>
      </c>
      <c r="E225" s="2" t="s">
        <v>34</v>
      </c>
      <c r="F225" s="2" t="s">
        <v>152</v>
      </c>
      <c r="G225" s="2" t="s">
        <v>1074</v>
      </c>
      <c r="H225" s="2" t="s">
        <v>1075</v>
      </c>
      <c r="I225" s="2" t="s">
        <v>1134</v>
      </c>
      <c r="J225" s="3">
        <v>45186.0</v>
      </c>
      <c r="K225" s="2" t="s">
        <v>1135</v>
      </c>
      <c r="L225" s="2" t="s">
        <v>74</v>
      </c>
      <c r="M225" s="2">
        <v>330.11</v>
      </c>
      <c r="N225" s="2">
        <v>3.0</v>
      </c>
      <c r="O225" s="2" t="s">
        <v>29</v>
      </c>
      <c r="P225" s="2">
        <v>2.0</v>
      </c>
      <c r="Q225" s="2">
        <v>40.0</v>
      </c>
      <c r="R225" s="3">
        <v>45191.0</v>
      </c>
      <c r="S225" s="2" t="s">
        <v>1136</v>
      </c>
    </row>
    <row r="226" ht="14.25" customHeight="1">
      <c r="A226" s="2" t="s">
        <v>294</v>
      </c>
      <c r="B226" s="2" t="s">
        <v>295</v>
      </c>
      <c r="C226" s="2" t="s">
        <v>296</v>
      </c>
      <c r="D226" s="2">
        <v>26.0</v>
      </c>
      <c r="E226" s="2" t="s">
        <v>45</v>
      </c>
      <c r="F226" s="2" t="s">
        <v>161</v>
      </c>
      <c r="G226" s="2" t="s">
        <v>297</v>
      </c>
      <c r="H226" s="2" t="s">
        <v>298</v>
      </c>
      <c r="I226" s="2" t="s">
        <v>1137</v>
      </c>
      <c r="J226" s="3">
        <v>45537.0</v>
      </c>
      <c r="K226" s="2" t="s">
        <v>1138</v>
      </c>
      <c r="L226" s="2" t="s">
        <v>337</v>
      </c>
      <c r="M226" s="2">
        <v>372.62</v>
      </c>
      <c r="N226" s="2">
        <v>1.0</v>
      </c>
      <c r="O226" s="2" t="s">
        <v>89</v>
      </c>
      <c r="P226" s="2">
        <v>4.0</v>
      </c>
      <c r="Q226" s="2">
        <v>36.0</v>
      </c>
      <c r="R226" s="3">
        <v>45541.0</v>
      </c>
      <c r="S226" s="2" t="s">
        <v>1139</v>
      </c>
    </row>
    <row r="227" ht="14.25" customHeight="1">
      <c r="A227" s="2" t="s">
        <v>1096</v>
      </c>
      <c r="B227" s="2" t="s">
        <v>1097</v>
      </c>
      <c r="C227" s="2" t="s">
        <v>1098</v>
      </c>
      <c r="D227" s="2">
        <v>18.0</v>
      </c>
      <c r="E227" s="2" t="s">
        <v>22</v>
      </c>
      <c r="F227" s="2" t="s">
        <v>69</v>
      </c>
      <c r="G227" s="2" t="s">
        <v>1099</v>
      </c>
      <c r="H227" s="2" t="s">
        <v>1100</v>
      </c>
      <c r="I227" s="2" t="s">
        <v>1140</v>
      </c>
      <c r="J227" s="3">
        <v>45217.0</v>
      </c>
      <c r="K227" s="2" t="s">
        <v>1141</v>
      </c>
      <c r="L227" s="2" t="s">
        <v>316</v>
      </c>
      <c r="M227" s="2">
        <v>481.48</v>
      </c>
      <c r="N227" s="2">
        <v>3.0</v>
      </c>
      <c r="O227" s="2" t="s">
        <v>89</v>
      </c>
      <c r="P227" s="2">
        <v>2.0</v>
      </c>
      <c r="Q227" s="2">
        <v>42.0</v>
      </c>
      <c r="R227" s="3">
        <v>45221.0</v>
      </c>
      <c r="S227" s="2" t="s">
        <v>1142</v>
      </c>
    </row>
    <row r="228" ht="14.25" customHeight="1">
      <c r="A228" s="2" t="s">
        <v>177</v>
      </c>
      <c r="B228" s="2" t="s">
        <v>178</v>
      </c>
      <c r="C228" s="2" t="s">
        <v>179</v>
      </c>
      <c r="D228" s="2">
        <v>42.0</v>
      </c>
      <c r="E228" s="2" t="s">
        <v>34</v>
      </c>
      <c r="F228" s="2" t="s">
        <v>161</v>
      </c>
      <c r="G228" s="2" t="s">
        <v>180</v>
      </c>
      <c r="H228" s="2" t="s">
        <v>181</v>
      </c>
      <c r="I228" s="2" t="s">
        <v>1143</v>
      </c>
      <c r="J228" s="3">
        <v>45555.0</v>
      </c>
      <c r="K228" s="2" t="s">
        <v>1144</v>
      </c>
      <c r="L228" s="2" t="s">
        <v>28</v>
      </c>
      <c r="M228" s="2">
        <v>308.88</v>
      </c>
      <c r="N228" s="2">
        <v>1.0</v>
      </c>
      <c r="O228" s="2" t="s">
        <v>51</v>
      </c>
      <c r="P228" s="2">
        <v>3.0</v>
      </c>
      <c r="Q228" s="2">
        <v>54.0</v>
      </c>
      <c r="R228" s="3">
        <v>45556.0</v>
      </c>
      <c r="S228" s="2" t="s">
        <v>1145</v>
      </c>
    </row>
    <row r="229" ht="14.25" customHeight="1">
      <c r="A229" s="2" t="s">
        <v>19</v>
      </c>
      <c r="B229" s="2" t="s">
        <v>20</v>
      </c>
      <c r="C229" s="2" t="s">
        <v>21</v>
      </c>
      <c r="D229" s="2">
        <v>37.0</v>
      </c>
      <c r="E229" s="2" t="s">
        <v>22</v>
      </c>
      <c r="F229" s="2" t="s">
        <v>23</v>
      </c>
      <c r="G229" s="2" t="s">
        <v>24</v>
      </c>
      <c r="H229" s="2" t="s">
        <v>25</v>
      </c>
      <c r="I229" s="2" t="s">
        <v>1146</v>
      </c>
      <c r="J229" s="3">
        <v>45162.0</v>
      </c>
      <c r="K229" s="2" t="s">
        <v>1147</v>
      </c>
      <c r="L229" s="2" t="s">
        <v>227</v>
      </c>
      <c r="M229" s="2">
        <v>132.97</v>
      </c>
      <c r="N229" s="2">
        <v>4.0</v>
      </c>
      <c r="O229" s="2" t="s">
        <v>89</v>
      </c>
      <c r="P229" s="2">
        <v>3.0</v>
      </c>
      <c r="Q229" s="2">
        <v>43.0</v>
      </c>
      <c r="R229" s="3">
        <v>45163.0</v>
      </c>
      <c r="S229" s="2" t="s">
        <v>1148</v>
      </c>
    </row>
    <row r="230" ht="14.25" customHeight="1">
      <c r="A230" s="2" t="s">
        <v>220</v>
      </c>
      <c r="B230" s="2" t="s">
        <v>221</v>
      </c>
      <c r="C230" s="2" t="s">
        <v>222</v>
      </c>
      <c r="D230" s="2">
        <v>64.0</v>
      </c>
      <c r="E230" s="2" t="s">
        <v>34</v>
      </c>
      <c r="F230" s="2" t="s">
        <v>35</v>
      </c>
      <c r="G230" s="2" t="s">
        <v>223</v>
      </c>
      <c r="H230" s="2" t="s">
        <v>224</v>
      </c>
      <c r="I230" s="2" t="s">
        <v>1149</v>
      </c>
      <c r="J230" s="3">
        <v>45488.0</v>
      </c>
      <c r="K230" s="2" t="s">
        <v>1150</v>
      </c>
      <c r="L230" s="2" t="s">
        <v>337</v>
      </c>
      <c r="M230" s="2">
        <v>372.62</v>
      </c>
      <c r="N230" s="2">
        <v>4.0</v>
      </c>
      <c r="O230" s="2" t="s">
        <v>29</v>
      </c>
      <c r="P230" s="2">
        <v>1.0</v>
      </c>
      <c r="Q230" s="2">
        <v>45.0</v>
      </c>
      <c r="R230" s="3">
        <v>45492.0</v>
      </c>
      <c r="S230" s="2" t="s">
        <v>1151</v>
      </c>
    </row>
    <row r="231" ht="14.25" customHeight="1">
      <c r="A231" s="2" t="s">
        <v>459</v>
      </c>
      <c r="B231" s="2" t="s">
        <v>460</v>
      </c>
      <c r="C231" s="2" t="s">
        <v>461</v>
      </c>
      <c r="D231" s="2">
        <v>18.0</v>
      </c>
      <c r="E231" s="2" t="s">
        <v>34</v>
      </c>
      <c r="F231" s="2" t="s">
        <v>35</v>
      </c>
      <c r="G231" s="2" t="s">
        <v>462</v>
      </c>
      <c r="H231" s="2" t="s">
        <v>463</v>
      </c>
      <c r="I231" s="2" t="s">
        <v>1152</v>
      </c>
      <c r="J231" s="3">
        <v>45273.0</v>
      </c>
      <c r="K231" s="2" t="s">
        <v>1153</v>
      </c>
      <c r="L231" s="2" t="s">
        <v>235</v>
      </c>
      <c r="M231" s="2">
        <v>126.19</v>
      </c>
      <c r="N231" s="2">
        <v>5.0</v>
      </c>
      <c r="O231" s="2" t="s">
        <v>89</v>
      </c>
      <c r="P231" s="2">
        <v>4.0</v>
      </c>
      <c r="Q231" s="2">
        <v>47.0</v>
      </c>
      <c r="R231" s="3">
        <v>45280.0</v>
      </c>
      <c r="S231" s="2" t="s">
        <v>1154</v>
      </c>
    </row>
    <row r="232" ht="14.25" customHeight="1">
      <c r="A232" s="2" t="s">
        <v>1096</v>
      </c>
      <c r="B232" s="2" t="s">
        <v>1097</v>
      </c>
      <c r="C232" s="2" t="s">
        <v>1098</v>
      </c>
      <c r="D232" s="2">
        <v>18.0</v>
      </c>
      <c r="E232" s="2" t="s">
        <v>22</v>
      </c>
      <c r="F232" s="2" t="s">
        <v>69</v>
      </c>
      <c r="G232" s="2" t="s">
        <v>1099</v>
      </c>
      <c r="H232" s="2" t="s">
        <v>1100</v>
      </c>
      <c r="I232" s="2" t="s">
        <v>1155</v>
      </c>
      <c r="J232" s="3">
        <v>45117.0</v>
      </c>
      <c r="K232" s="2" t="s">
        <v>1156</v>
      </c>
      <c r="L232" s="2" t="s">
        <v>583</v>
      </c>
      <c r="M232" s="2">
        <v>403.03</v>
      </c>
      <c r="N232" s="2">
        <v>2.0</v>
      </c>
      <c r="O232" s="2" t="s">
        <v>51</v>
      </c>
      <c r="P232" s="2">
        <v>7.0</v>
      </c>
      <c r="Q232" s="2">
        <v>45.0</v>
      </c>
      <c r="R232" s="3">
        <v>45118.0</v>
      </c>
      <c r="S232" s="2" t="s">
        <v>1157</v>
      </c>
    </row>
    <row r="233" ht="14.25" customHeight="1">
      <c r="A233" s="2" t="s">
        <v>1096</v>
      </c>
      <c r="B233" s="2" t="s">
        <v>1097</v>
      </c>
      <c r="C233" s="2" t="s">
        <v>1098</v>
      </c>
      <c r="D233" s="2">
        <v>18.0</v>
      </c>
      <c r="E233" s="2" t="s">
        <v>22</v>
      </c>
      <c r="F233" s="2" t="s">
        <v>69</v>
      </c>
      <c r="G233" s="2" t="s">
        <v>1099</v>
      </c>
      <c r="H233" s="2" t="s">
        <v>1100</v>
      </c>
      <c r="I233" s="2" t="s">
        <v>1158</v>
      </c>
      <c r="J233" s="3">
        <v>45392.0</v>
      </c>
      <c r="K233" s="2" t="s">
        <v>1159</v>
      </c>
      <c r="L233" s="2" t="s">
        <v>280</v>
      </c>
      <c r="M233" s="2">
        <v>157.64</v>
      </c>
      <c r="N233" s="2">
        <v>2.0</v>
      </c>
      <c r="O233" s="2" t="s">
        <v>51</v>
      </c>
      <c r="P233" s="2">
        <v>5.0</v>
      </c>
      <c r="Q233" s="2">
        <v>64.0</v>
      </c>
      <c r="R233" s="3">
        <v>45395.0</v>
      </c>
      <c r="S233" s="2" t="s">
        <v>1160</v>
      </c>
    </row>
    <row r="234" ht="14.25" customHeight="1">
      <c r="A234" s="2" t="s">
        <v>1161</v>
      </c>
      <c r="B234" s="2" t="s">
        <v>1162</v>
      </c>
      <c r="C234" s="2" t="s">
        <v>1163</v>
      </c>
      <c r="D234" s="2">
        <v>59.0</v>
      </c>
      <c r="E234" s="2" t="s">
        <v>45</v>
      </c>
      <c r="F234" s="2" t="s">
        <v>161</v>
      </c>
      <c r="G234" s="2" t="s">
        <v>1164</v>
      </c>
      <c r="H234" s="2" t="s">
        <v>1165</v>
      </c>
      <c r="I234" s="2" t="s">
        <v>1166</v>
      </c>
      <c r="J234" s="3">
        <v>45251.0</v>
      </c>
      <c r="K234" s="2" t="s">
        <v>1167</v>
      </c>
      <c r="L234" s="2" t="s">
        <v>243</v>
      </c>
      <c r="M234" s="2">
        <v>128.14</v>
      </c>
      <c r="N234" s="2">
        <v>1.0</v>
      </c>
      <c r="O234" s="2" t="s">
        <v>89</v>
      </c>
      <c r="P234" s="2">
        <v>7.0</v>
      </c>
      <c r="Q234" s="2">
        <v>52.0</v>
      </c>
      <c r="R234" s="3">
        <v>45254.0</v>
      </c>
      <c r="S234" s="2" t="s">
        <v>1168</v>
      </c>
    </row>
    <row r="235" ht="14.25" customHeight="1">
      <c r="A235" s="2" t="s">
        <v>265</v>
      </c>
      <c r="B235" s="2" t="s">
        <v>266</v>
      </c>
      <c r="C235" s="2" t="s">
        <v>267</v>
      </c>
      <c r="D235" s="2">
        <v>44.0</v>
      </c>
      <c r="E235" s="2" t="s">
        <v>22</v>
      </c>
      <c r="F235" s="2" t="s">
        <v>213</v>
      </c>
      <c r="G235" s="2" t="s">
        <v>268</v>
      </c>
      <c r="H235" s="2" t="s">
        <v>269</v>
      </c>
      <c r="I235" s="2" t="s">
        <v>1169</v>
      </c>
      <c r="J235" s="3">
        <v>45348.0</v>
      </c>
      <c r="K235" s="2" t="s">
        <v>1170</v>
      </c>
      <c r="L235" s="2" t="s">
        <v>119</v>
      </c>
      <c r="M235" s="2">
        <v>257.06</v>
      </c>
      <c r="N235" s="2">
        <v>3.0</v>
      </c>
      <c r="O235" s="2" t="s">
        <v>56</v>
      </c>
      <c r="P235" s="2">
        <v>5.0</v>
      </c>
      <c r="Q235" s="2">
        <v>63.0</v>
      </c>
      <c r="R235" s="3">
        <v>45354.0</v>
      </c>
      <c r="S235" s="2" t="s">
        <v>1171</v>
      </c>
    </row>
    <row r="236" ht="14.25" customHeight="1">
      <c r="A236" s="2" t="s">
        <v>539</v>
      </c>
      <c r="B236" s="2" t="s">
        <v>540</v>
      </c>
      <c r="C236" s="2" t="s">
        <v>541</v>
      </c>
      <c r="D236" s="2">
        <v>33.0</v>
      </c>
      <c r="E236" s="2" t="s">
        <v>45</v>
      </c>
      <c r="F236" s="2" t="s">
        <v>161</v>
      </c>
      <c r="G236" s="2" t="s">
        <v>542</v>
      </c>
      <c r="H236" s="2" t="s">
        <v>543</v>
      </c>
      <c r="I236" s="2" t="s">
        <v>1172</v>
      </c>
      <c r="J236" s="3">
        <v>45257.0</v>
      </c>
      <c r="K236" s="2" t="s">
        <v>1173</v>
      </c>
      <c r="L236" s="2" t="s">
        <v>166</v>
      </c>
      <c r="M236" s="2">
        <v>272.51</v>
      </c>
      <c r="N236" s="2">
        <v>2.0</v>
      </c>
      <c r="O236" s="2" t="s">
        <v>89</v>
      </c>
      <c r="P236" s="2">
        <v>4.0</v>
      </c>
      <c r="Q236" s="2">
        <v>48.0</v>
      </c>
      <c r="R236" s="3">
        <v>45264.0</v>
      </c>
      <c r="S236" s="2" t="s">
        <v>1174</v>
      </c>
    </row>
    <row r="237" ht="14.25" customHeight="1">
      <c r="A237" s="2" t="s">
        <v>265</v>
      </c>
      <c r="B237" s="2" t="s">
        <v>266</v>
      </c>
      <c r="C237" s="2" t="s">
        <v>267</v>
      </c>
      <c r="D237" s="2">
        <v>44.0</v>
      </c>
      <c r="E237" s="2" t="s">
        <v>22</v>
      </c>
      <c r="F237" s="2" t="s">
        <v>213</v>
      </c>
      <c r="G237" s="2" t="s">
        <v>268</v>
      </c>
      <c r="H237" s="2" t="s">
        <v>269</v>
      </c>
      <c r="I237" s="2" t="s">
        <v>1175</v>
      </c>
      <c r="J237" s="3">
        <v>45390.0</v>
      </c>
      <c r="K237" s="2" t="s">
        <v>1176</v>
      </c>
      <c r="L237" s="2" t="s">
        <v>88</v>
      </c>
      <c r="M237" s="2">
        <v>363.64</v>
      </c>
      <c r="N237" s="2">
        <v>3.0</v>
      </c>
      <c r="O237" s="2" t="s">
        <v>51</v>
      </c>
      <c r="P237" s="2">
        <v>1.0</v>
      </c>
      <c r="Q237" s="2">
        <v>47.0</v>
      </c>
      <c r="R237" s="3">
        <v>45395.0</v>
      </c>
      <c r="S237" s="2" t="s">
        <v>1177</v>
      </c>
    </row>
    <row r="238" ht="14.25" customHeight="1">
      <c r="A238" s="2" t="s">
        <v>585</v>
      </c>
      <c r="B238" s="2" t="s">
        <v>586</v>
      </c>
      <c r="C238" s="2" t="s">
        <v>587</v>
      </c>
      <c r="D238" s="2">
        <v>21.0</v>
      </c>
      <c r="E238" s="2" t="s">
        <v>22</v>
      </c>
      <c r="F238" s="2" t="s">
        <v>35</v>
      </c>
      <c r="G238" s="2" t="s">
        <v>588</v>
      </c>
      <c r="H238" s="2" t="s">
        <v>589</v>
      </c>
      <c r="I238" s="2" t="s">
        <v>1178</v>
      </c>
      <c r="J238" s="3">
        <v>45578.0</v>
      </c>
      <c r="K238" s="2" t="s">
        <v>1179</v>
      </c>
      <c r="L238" s="2" t="s">
        <v>88</v>
      </c>
      <c r="M238" s="2">
        <v>363.64</v>
      </c>
      <c r="N238" s="2">
        <v>3.0</v>
      </c>
      <c r="O238" s="2" t="s">
        <v>78</v>
      </c>
      <c r="P238" s="2">
        <v>6.0</v>
      </c>
      <c r="Q238" s="2">
        <v>64.0</v>
      </c>
      <c r="R238" s="3">
        <v>45585.0</v>
      </c>
      <c r="S238" s="2" t="s">
        <v>1180</v>
      </c>
    </row>
    <row r="239" ht="14.25" customHeight="1">
      <c r="A239" s="2" t="s">
        <v>632</v>
      </c>
      <c r="B239" s="2" t="s">
        <v>141</v>
      </c>
      <c r="C239" s="2" t="s">
        <v>633</v>
      </c>
      <c r="D239" s="2">
        <v>44.0</v>
      </c>
      <c r="E239" s="2" t="s">
        <v>45</v>
      </c>
      <c r="F239" s="2" t="s">
        <v>83</v>
      </c>
      <c r="G239" s="2" t="s">
        <v>634</v>
      </c>
      <c r="H239" s="2" t="s">
        <v>635</v>
      </c>
      <c r="I239" s="2" t="s">
        <v>1181</v>
      </c>
      <c r="J239" s="3">
        <v>45109.0</v>
      </c>
      <c r="K239" s="2" t="s">
        <v>1182</v>
      </c>
      <c r="L239" s="2" t="s">
        <v>650</v>
      </c>
      <c r="M239" s="2">
        <v>235.63</v>
      </c>
      <c r="N239" s="2">
        <v>5.0</v>
      </c>
      <c r="O239" s="2" t="s">
        <v>78</v>
      </c>
      <c r="P239" s="2">
        <v>6.0</v>
      </c>
      <c r="Q239" s="2">
        <v>63.0</v>
      </c>
      <c r="R239" s="3">
        <v>45114.0</v>
      </c>
      <c r="S239" s="2" t="s">
        <v>1183</v>
      </c>
    </row>
    <row r="240" ht="14.25" customHeight="1">
      <c r="A240" s="2" t="s">
        <v>1184</v>
      </c>
      <c r="B240" s="2" t="s">
        <v>33</v>
      </c>
      <c r="C240" s="2" t="s">
        <v>1185</v>
      </c>
      <c r="D240" s="2">
        <v>34.0</v>
      </c>
      <c r="E240" s="2" t="s">
        <v>45</v>
      </c>
      <c r="F240" s="2" t="s">
        <v>213</v>
      </c>
      <c r="G240" s="2" t="s">
        <v>1186</v>
      </c>
      <c r="H240" s="2" t="s">
        <v>1187</v>
      </c>
      <c r="I240" s="2" t="s">
        <v>1188</v>
      </c>
      <c r="J240" s="3">
        <v>45595.0</v>
      </c>
      <c r="K240" s="2" t="s">
        <v>1189</v>
      </c>
      <c r="L240" s="2" t="s">
        <v>556</v>
      </c>
      <c r="M240" s="2">
        <v>133.62</v>
      </c>
      <c r="N240" s="2">
        <v>1.0</v>
      </c>
      <c r="O240" s="2" t="s">
        <v>29</v>
      </c>
      <c r="P240" s="2">
        <v>1.0</v>
      </c>
      <c r="Q240" s="2">
        <v>57.0</v>
      </c>
      <c r="R240" s="3">
        <v>45602.0</v>
      </c>
      <c r="S240" s="2" t="s">
        <v>1190</v>
      </c>
    </row>
    <row r="241" ht="14.25" customHeight="1">
      <c r="A241" s="2" t="s">
        <v>286</v>
      </c>
      <c r="B241" s="2" t="s">
        <v>287</v>
      </c>
      <c r="C241" s="2" t="s">
        <v>288</v>
      </c>
      <c r="D241" s="2">
        <v>48.0</v>
      </c>
      <c r="E241" s="2" t="s">
        <v>34</v>
      </c>
      <c r="F241" s="2" t="s">
        <v>83</v>
      </c>
      <c r="G241" s="2" t="s">
        <v>289</v>
      </c>
      <c r="H241" s="2" t="s">
        <v>290</v>
      </c>
      <c r="I241" s="2" t="s">
        <v>1191</v>
      </c>
      <c r="J241" s="3">
        <v>45616.0</v>
      </c>
      <c r="K241" s="2" t="s">
        <v>1192</v>
      </c>
      <c r="L241" s="2" t="s">
        <v>239</v>
      </c>
      <c r="M241" s="2">
        <v>282.63</v>
      </c>
      <c r="N241" s="2">
        <v>4.0</v>
      </c>
      <c r="O241" s="2" t="s">
        <v>89</v>
      </c>
      <c r="P241" s="2">
        <v>1.0</v>
      </c>
      <c r="Q241" s="2">
        <v>60.0</v>
      </c>
      <c r="R241" s="3">
        <v>45618.0</v>
      </c>
      <c r="S241" s="2" t="s">
        <v>1193</v>
      </c>
    </row>
    <row r="242" ht="14.25" customHeight="1">
      <c r="A242" s="2" t="s">
        <v>309</v>
      </c>
      <c r="B242" s="2" t="s">
        <v>310</v>
      </c>
      <c r="C242" s="2" t="s">
        <v>311</v>
      </c>
      <c r="D242" s="2">
        <v>45.0</v>
      </c>
      <c r="E242" s="2" t="s">
        <v>22</v>
      </c>
      <c r="F242" s="2" t="s">
        <v>35</v>
      </c>
      <c r="G242" s="2" t="s">
        <v>312</v>
      </c>
      <c r="H242" s="2" t="s">
        <v>313</v>
      </c>
      <c r="I242" s="2" t="s">
        <v>1194</v>
      </c>
      <c r="J242" s="3">
        <v>45271.0</v>
      </c>
      <c r="K242" s="2" t="s">
        <v>1195</v>
      </c>
      <c r="L242" s="2" t="s">
        <v>40</v>
      </c>
      <c r="M242" s="2">
        <v>166.28</v>
      </c>
      <c r="N242" s="2">
        <v>3.0</v>
      </c>
      <c r="O242" s="2" t="s">
        <v>89</v>
      </c>
      <c r="P242" s="2">
        <v>6.0</v>
      </c>
      <c r="Q242" s="2">
        <v>59.0</v>
      </c>
      <c r="R242" s="3">
        <v>45275.0</v>
      </c>
      <c r="S242" s="2" t="s">
        <v>1196</v>
      </c>
    </row>
    <row r="243" ht="14.25" customHeight="1">
      <c r="A243" s="2" t="s">
        <v>769</v>
      </c>
      <c r="B243" s="2" t="s">
        <v>770</v>
      </c>
      <c r="C243" s="2" t="s">
        <v>771</v>
      </c>
      <c r="D243" s="2">
        <v>32.0</v>
      </c>
      <c r="E243" s="2" t="s">
        <v>22</v>
      </c>
      <c r="F243" s="2" t="s">
        <v>152</v>
      </c>
      <c r="G243" s="2" t="s">
        <v>772</v>
      </c>
      <c r="H243" s="2" t="s">
        <v>773</v>
      </c>
      <c r="I243" s="2" t="s">
        <v>1197</v>
      </c>
      <c r="J243" s="3">
        <v>45117.0</v>
      </c>
      <c r="K243" s="2" t="s">
        <v>1198</v>
      </c>
      <c r="L243" s="2" t="s">
        <v>546</v>
      </c>
      <c r="M243" s="2">
        <v>425.59</v>
      </c>
      <c r="N243" s="2">
        <v>5.0</v>
      </c>
      <c r="O243" s="2" t="s">
        <v>29</v>
      </c>
      <c r="P243" s="2">
        <v>7.0</v>
      </c>
      <c r="Q243" s="2">
        <v>57.0</v>
      </c>
      <c r="R243" s="3">
        <v>45124.0</v>
      </c>
      <c r="S243" s="2" t="s">
        <v>1199</v>
      </c>
    </row>
    <row r="244" ht="14.25" customHeight="1">
      <c r="A244" s="2" t="s">
        <v>476</v>
      </c>
      <c r="B244" s="2" t="s">
        <v>477</v>
      </c>
      <c r="C244" s="2" t="s">
        <v>123</v>
      </c>
      <c r="D244" s="2">
        <v>68.0</v>
      </c>
      <c r="E244" s="2" t="s">
        <v>45</v>
      </c>
      <c r="F244" s="2" t="s">
        <v>213</v>
      </c>
      <c r="G244" s="2" t="s">
        <v>478</v>
      </c>
      <c r="H244" s="2" t="s">
        <v>479</v>
      </c>
      <c r="I244" s="2" t="s">
        <v>1200</v>
      </c>
      <c r="J244" s="3">
        <v>45417.0</v>
      </c>
      <c r="K244" s="2" t="s">
        <v>1201</v>
      </c>
      <c r="L244" s="2" t="s">
        <v>88</v>
      </c>
      <c r="M244" s="2">
        <v>363.64</v>
      </c>
      <c r="N244" s="2">
        <v>5.0</v>
      </c>
      <c r="O244" s="2" t="s">
        <v>89</v>
      </c>
      <c r="P244" s="2">
        <v>7.0</v>
      </c>
      <c r="Q244" s="2">
        <v>60.0</v>
      </c>
      <c r="R244" s="3">
        <v>45419.0</v>
      </c>
      <c r="S244" s="2" t="s">
        <v>1202</v>
      </c>
    </row>
    <row r="245" ht="14.25" customHeight="1">
      <c r="A245" s="2" t="s">
        <v>1203</v>
      </c>
      <c r="B245" s="2" t="s">
        <v>1204</v>
      </c>
      <c r="C245" s="2" t="s">
        <v>1205</v>
      </c>
      <c r="D245" s="2">
        <v>50.0</v>
      </c>
      <c r="E245" s="2" t="s">
        <v>45</v>
      </c>
      <c r="F245" s="2" t="s">
        <v>161</v>
      </c>
      <c r="G245" s="2" t="s">
        <v>1206</v>
      </c>
      <c r="H245" s="2" t="s">
        <v>1207</v>
      </c>
      <c r="I245" s="2" t="s">
        <v>1208</v>
      </c>
      <c r="J245" s="3">
        <v>45470.0</v>
      </c>
      <c r="K245" s="2" t="s">
        <v>1209</v>
      </c>
      <c r="L245" s="2" t="s">
        <v>583</v>
      </c>
      <c r="M245" s="2">
        <v>403.03</v>
      </c>
      <c r="N245" s="2">
        <v>5.0</v>
      </c>
      <c r="O245" s="2" t="s">
        <v>78</v>
      </c>
      <c r="P245" s="2">
        <v>2.0</v>
      </c>
      <c r="Q245" s="2">
        <v>52.0</v>
      </c>
      <c r="R245" s="3">
        <v>45475.0</v>
      </c>
      <c r="S245" s="2" t="s">
        <v>1210</v>
      </c>
    </row>
    <row r="246" ht="14.25" customHeight="1">
      <c r="A246" s="2" t="s">
        <v>513</v>
      </c>
      <c r="B246" s="2" t="s">
        <v>514</v>
      </c>
      <c r="C246" s="2" t="s">
        <v>515</v>
      </c>
      <c r="D246" s="2">
        <v>42.0</v>
      </c>
      <c r="E246" s="2" t="s">
        <v>45</v>
      </c>
      <c r="F246" s="2" t="s">
        <v>69</v>
      </c>
      <c r="G246" s="2" t="s">
        <v>516</v>
      </c>
      <c r="H246" s="2" t="s">
        <v>517</v>
      </c>
      <c r="I246" s="2" t="s">
        <v>1211</v>
      </c>
      <c r="J246" s="3">
        <v>44968.0</v>
      </c>
      <c r="K246" s="2" t="s">
        <v>1212</v>
      </c>
      <c r="L246" s="2" t="s">
        <v>423</v>
      </c>
      <c r="M246" s="2">
        <v>369.03</v>
      </c>
      <c r="N246" s="2">
        <v>1.0</v>
      </c>
      <c r="O246" s="2" t="s">
        <v>78</v>
      </c>
      <c r="P246" s="2">
        <v>6.0</v>
      </c>
      <c r="Q246" s="2">
        <v>38.0</v>
      </c>
      <c r="R246" s="3">
        <v>44974.0</v>
      </c>
      <c r="S246" s="2" t="s">
        <v>1213</v>
      </c>
    </row>
    <row r="247" ht="14.25" customHeight="1">
      <c r="A247" s="2" t="s">
        <v>1214</v>
      </c>
      <c r="B247" s="2" t="s">
        <v>1215</v>
      </c>
      <c r="C247" s="2" t="s">
        <v>1216</v>
      </c>
      <c r="D247" s="2">
        <v>19.0</v>
      </c>
      <c r="E247" s="2" t="s">
        <v>34</v>
      </c>
      <c r="F247" s="2" t="s">
        <v>69</v>
      </c>
      <c r="G247" s="2" t="s">
        <v>1217</v>
      </c>
      <c r="H247" s="2" t="s">
        <v>1218</v>
      </c>
      <c r="I247" s="2" t="s">
        <v>1219</v>
      </c>
      <c r="J247" s="3">
        <v>45453.0</v>
      </c>
      <c r="K247" s="2" t="s">
        <v>1220</v>
      </c>
      <c r="L247" s="2" t="s">
        <v>488</v>
      </c>
      <c r="M247" s="2">
        <v>421.7</v>
      </c>
      <c r="N247" s="2">
        <v>5.0</v>
      </c>
      <c r="O247" s="2" t="s">
        <v>89</v>
      </c>
      <c r="P247" s="2">
        <v>6.0</v>
      </c>
      <c r="Q247" s="2">
        <v>61.0</v>
      </c>
      <c r="R247" s="3">
        <v>45457.0</v>
      </c>
      <c r="S247" s="2" t="s">
        <v>1221</v>
      </c>
    </row>
    <row r="248" ht="14.25" customHeight="1">
      <c r="A248" s="2" t="s">
        <v>1072</v>
      </c>
      <c r="B248" s="2" t="s">
        <v>211</v>
      </c>
      <c r="C248" s="2" t="s">
        <v>1073</v>
      </c>
      <c r="D248" s="2">
        <v>55.0</v>
      </c>
      <c r="E248" s="2" t="s">
        <v>34</v>
      </c>
      <c r="F248" s="2" t="s">
        <v>152</v>
      </c>
      <c r="G248" s="2" t="s">
        <v>1074</v>
      </c>
      <c r="H248" s="2" t="s">
        <v>1075</v>
      </c>
      <c r="I248" s="2" t="s">
        <v>1222</v>
      </c>
      <c r="J248" s="3">
        <v>45608.0</v>
      </c>
      <c r="K248" s="2" t="s">
        <v>1223</v>
      </c>
      <c r="L248" s="2" t="s">
        <v>741</v>
      </c>
      <c r="M248" s="2">
        <v>381.73</v>
      </c>
      <c r="N248" s="2">
        <v>4.0</v>
      </c>
      <c r="O248" s="2" t="s">
        <v>29</v>
      </c>
      <c r="P248" s="2">
        <v>2.0</v>
      </c>
      <c r="Q248" s="2">
        <v>58.0</v>
      </c>
      <c r="R248" s="3">
        <v>45613.0</v>
      </c>
      <c r="S248" s="2" t="s">
        <v>1224</v>
      </c>
    </row>
    <row r="249" ht="14.25" customHeight="1">
      <c r="A249" s="2" t="s">
        <v>717</v>
      </c>
      <c r="B249" s="2" t="s">
        <v>718</v>
      </c>
      <c r="C249" s="2" t="s">
        <v>160</v>
      </c>
      <c r="D249" s="2">
        <v>70.0</v>
      </c>
      <c r="E249" s="2" t="s">
        <v>34</v>
      </c>
      <c r="F249" s="2" t="s">
        <v>83</v>
      </c>
      <c r="G249" s="2" t="s">
        <v>719</v>
      </c>
      <c r="H249" s="2" t="s">
        <v>720</v>
      </c>
      <c r="I249" s="2" t="s">
        <v>1225</v>
      </c>
      <c r="J249" s="3">
        <v>45386.0</v>
      </c>
      <c r="K249" s="2" t="s">
        <v>1226</v>
      </c>
      <c r="L249" s="2" t="s">
        <v>128</v>
      </c>
      <c r="M249" s="2">
        <v>175.93</v>
      </c>
      <c r="N249" s="2">
        <v>2.0</v>
      </c>
      <c r="O249" s="2" t="s">
        <v>89</v>
      </c>
      <c r="P249" s="2">
        <v>7.0</v>
      </c>
      <c r="Q249" s="2">
        <v>61.0</v>
      </c>
      <c r="R249" s="3">
        <v>45391.0</v>
      </c>
      <c r="S249" s="2" t="s">
        <v>1227</v>
      </c>
    </row>
    <row r="250" ht="14.25" customHeight="1">
      <c r="A250" s="2" t="s">
        <v>405</v>
      </c>
      <c r="B250" s="2" t="s">
        <v>221</v>
      </c>
      <c r="C250" s="2" t="s">
        <v>406</v>
      </c>
      <c r="D250" s="2">
        <v>28.0</v>
      </c>
      <c r="E250" s="2" t="s">
        <v>45</v>
      </c>
      <c r="F250" s="2" t="s">
        <v>133</v>
      </c>
      <c r="G250" s="2" t="s">
        <v>407</v>
      </c>
      <c r="H250" s="2" t="s">
        <v>408</v>
      </c>
      <c r="I250" s="2" t="s">
        <v>1228</v>
      </c>
      <c r="J250" s="3">
        <v>45322.0</v>
      </c>
      <c r="K250" s="2" t="s">
        <v>1229</v>
      </c>
      <c r="L250" s="2" t="s">
        <v>741</v>
      </c>
      <c r="M250" s="2">
        <v>381.73</v>
      </c>
      <c r="N250" s="2">
        <v>2.0</v>
      </c>
      <c r="O250" s="2" t="s">
        <v>51</v>
      </c>
      <c r="P250" s="2">
        <v>2.0</v>
      </c>
      <c r="Q250" s="2">
        <v>68.0</v>
      </c>
      <c r="R250" s="3">
        <v>45329.0</v>
      </c>
      <c r="S250" s="2" t="s">
        <v>1230</v>
      </c>
    </row>
    <row r="251" ht="14.25" customHeight="1">
      <c r="A251" s="2" t="s">
        <v>1231</v>
      </c>
      <c r="B251" s="2" t="s">
        <v>1232</v>
      </c>
      <c r="C251" s="2" t="s">
        <v>1233</v>
      </c>
      <c r="D251" s="2">
        <v>55.0</v>
      </c>
      <c r="E251" s="2" t="s">
        <v>34</v>
      </c>
      <c r="F251" s="2" t="s">
        <v>152</v>
      </c>
      <c r="G251" s="2" t="s">
        <v>1234</v>
      </c>
      <c r="H251" s="2" t="s">
        <v>1235</v>
      </c>
      <c r="I251" s="2" t="s">
        <v>1236</v>
      </c>
      <c r="J251" s="3">
        <v>45470.0</v>
      </c>
      <c r="K251" s="2" t="s">
        <v>1237</v>
      </c>
      <c r="L251" s="2" t="s">
        <v>511</v>
      </c>
      <c r="M251" s="2">
        <v>441.03</v>
      </c>
      <c r="N251" s="2">
        <v>3.0</v>
      </c>
      <c r="O251" s="2" t="s">
        <v>56</v>
      </c>
      <c r="P251" s="2">
        <v>4.0</v>
      </c>
      <c r="Q251" s="2">
        <v>47.0</v>
      </c>
      <c r="R251" s="3">
        <v>45473.0</v>
      </c>
      <c r="S251" s="2" t="s">
        <v>1238</v>
      </c>
    </row>
    <row r="252" ht="14.25" customHeight="1">
      <c r="A252" s="2" t="s">
        <v>1239</v>
      </c>
      <c r="B252" s="2" t="s">
        <v>59</v>
      </c>
      <c r="C252" s="2" t="s">
        <v>1240</v>
      </c>
      <c r="D252" s="2">
        <v>40.0</v>
      </c>
      <c r="E252" s="2" t="s">
        <v>22</v>
      </c>
      <c r="F252" s="2" t="s">
        <v>69</v>
      </c>
      <c r="G252" s="2" t="s">
        <v>1241</v>
      </c>
      <c r="H252" s="2" t="s">
        <v>1242</v>
      </c>
      <c r="I252" s="2" t="s">
        <v>1243</v>
      </c>
      <c r="J252" s="3">
        <v>45531.0</v>
      </c>
      <c r="K252" s="2" t="s">
        <v>1244</v>
      </c>
      <c r="L252" s="2" t="s">
        <v>507</v>
      </c>
      <c r="M252" s="2">
        <v>136.3</v>
      </c>
      <c r="N252" s="2">
        <v>2.0</v>
      </c>
      <c r="O252" s="2" t="s">
        <v>29</v>
      </c>
      <c r="P252" s="2">
        <v>6.0</v>
      </c>
      <c r="Q252" s="2">
        <v>58.0</v>
      </c>
      <c r="R252" s="3">
        <v>45533.0</v>
      </c>
      <c r="S252" s="2" t="s">
        <v>1245</v>
      </c>
    </row>
    <row r="253" ht="14.25" customHeight="1">
      <c r="A253" s="2" t="s">
        <v>539</v>
      </c>
      <c r="B253" s="2" t="s">
        <v>540</v>
      </c>
      <c r="C253" s="2" t="s">
        <v>541</v>
      </c>
      <c r="D253" s="2">
        <v>33.0</v>
      </c>
      <c r="E253" s="2" t="s">
        <v>45</v>
      </c>
      <c r="F253" s="2" t="s">
        <v>161</v>
      </c>
      <c r="G253" s="2" t="s">
        <v>542</v>
      </c>
      <c r="H253" s="2" t="s">
        <v>543</v>
      </c>
      <c r="I253" s="2" t="s">
        <v>1246</v>
      </c>
      <c r="J253" s="3">
        <v>45383.0</v>
      </c>
      <c r="K253" s="2" t="s">
        <v>1247</v>
      </c>
      <c r="L253" s="2" t="s">
        <v>583</v>
      </c>
      <c r="M253" s="2">
        <v>403.03</v>
      </c>
      <c r="N253" s="2">
        <v>3.0</v>
      </c>
      <c r="O253" s="2" t="s">
        <v>51</v>
      </c>
      <c r="P253" s="2">
        <v>5.0</v>
      </c>
      <c r="Q253" s="2">
        <v>44.0</v>
      </c>
      <c r="R253" s="3">
        <v>45384.0</v>
      </c>
      <c r="S253" s="2" t="s">
        <v>1248</v>
      </c>
    </row>
    <row r="254" ht="14.25" customHeight="1">
      <c r="A254" s="2" t="s">
        <v>979</v>
      </c>
      <c r="B254" s="2" t="s">
        <v>980</v>
      </c>
      <c r="C254" s="2" t="s">
        <v>981</v>
      </c>
      <c r="D254" s="2">
        <v>49.0</v>
      </c>
      <c r="E254" s="2" t="s">
        <v>22</v>
      </c>
      <c r="F254" s="2" t="s">
        <v>35</v>
      </c>
      <c r="G254" s="2" t="s">
        <v>982</v>
      </c>
      <c r="H254" s="2" t="s">
        <v>983</v>
      </c>
      <c r="I254" s="2" t="s">
        <v>1249</v>
      </c>
      <c r="J254" s="3">
        <v>45233.0</v>
      </c>
      <c r="K254" s="2" t="s">
        <v>1250</v>
      </c>
      <c r="L254" s="2" t="s">
        <v>741</v>
      </c>
      <c r="M254" s="2">
        <v>381.73</v>
      </c>
      <c r="N254" s="2">
        <v>5.0</v>
      </c>
      <c r="O254" s="2" t="s">
        <v>29</v>
      </c>
      <c r="P254" s="2">
        <v>7.0</v>
      </c>
      <c r="Q254" s="2">
        <v>45.0</v>
      </c>
      <c r="R254" s="3">
        <v>45236.0</v>
      </c>
      <c r="S254" s="2" t="s">
        <v>1251</v>
      </c>
    </row>
    <row r="255" ht="14.25" customHeight="1">
      <c r="A255" s="2" t="s">
        <v>918</v>
      </c>
      <c r="B255" s="2" t="s">
        <v>919</v>
      </c>
      <c r="C255" s="2" t="s">
        <v>920</v>
      </c>
      <c r="D255" s="2">
        <v>24.0</v>
      </c>
      <c r="E255" s="2" t="s">
        <v>45</v>
      </c>
      <c r="F255" s="2" t="s">
        <v>213</v>
      </c>
      <c r="G255" s="2" t="s">
        <v>921</v>
      </c>
      <c r="H255" s="2" t="s">
        <v>922</v>
      </c>
      <c r="I255" s="2" t="s">
        <v>1252</v>
      </c>
      <c r="J255" s="3">
        <v>45668.0</v>
      </c>
      <c r="K255" s="2" t="s">
        <v>1253</v>
      </c>
      <c r="L255" s="2" t="s">
        <v>741</v>
      </c>
      <c r="M255" s="2">
        <v>381.73</v>
      </c>
      <c r="N255" s="2">
        <v>1.0</v>
      </c>
      <c r="O255" s="2" t="s">
        <v>29</v>
      </c>
      <c r="P255" s="2">
        <v>3.0</v>
      </c>
      <c r="Q255" s="2">
        <v>36.0</v>
      </c>
      <c r="R255" s="3">
        <v>45675.0</v>
      </c>
      <c r="S255" s="2" t="s">
        <v>1254</v>
      </c>
    </row>
    <row r="256" ht="14.25" customHeight="1">
      <c r="A256" s="2" t="s">
        <v>451</v>
      </c>
      <c r="B256" s="2" t="s">
        <v>452</v>
      </c>
      <c r="C256" s="2" t="s">
        <v>453</v>
      </c>
      <c r="D256" s="2">
        <v>63.0</v>
      </c>
      <c r="E256" s="2" t="s">
        <v>22</v>
      </c>
      <c r="F256" s="2" t="s">
        <v>133</v>
      </c>
      <c r="G256" s="2" t="s">
        <v>454</v>
      </c>
      <c r="H256" s="2" t="s">
        <v>455</v>
      </c>
      <c r="I256" s="2" t="s">
        <v>1255</v>
      </c>
      <c r="J256" s="3">
        <v>45457.0</v>
      </c>
      <c r="K256" s="2" t="s">
        <v>1256</v>
      </c>
      <c r="L256" s="2" t="s">
        <v>546</v>
      </c>
      <c r="M256" s="2">
        <v>425.59</v>
      </c>
      <c r="N256" s="2">
        <v>1.0</v>
      </c>
      <c r="O256" s="2" t="s">
        <v>78</v>
      </c>
      <c r="P256" s="2">
        <v>7.0</v>
      </c>
      <c r="Q256" s="2">
        <v>40.0</v>
      </c>
      <c r="R256" s="3">
        <v>45460.0</v>
      </c>
      <c r="S256" s="2" t="s">
        <v>1257</v>
      </c>
    </row>
    <row r="257" ht="14.25" customHeight="1">
      <c r="A257" s="2" t="s">
        <v>265</v>
      </c>
      <c r="B257" s="2" t="s">
        <v>266</v>
      </c>
      <c r="C257" s="2" t="s">
        <v>267</v>
      </c>
      <c r="D257" s="2">
        <v>44.0</v>
      </c>
      <c r="E257" s="2" t="s">
        <v>22</v>
      </c>
      <c r="F257" s="2" t="s">
        <v>213</v>
      </c>
      <c r="G257" s="2" t="s">
        <v>268</v>
      </c>
      <c r="H257" s="2" t="s">
        <v>269</v>
      </c>
      <c r="I257" s="2" t="s">
        <v>1258</v>
      </c>
      <c r="J257" s="3">
        <v>45659.0</v>
      </c>
      <c r="K257" s="2" t="s">
        <v>1259</v>
      </c>
      <c r="L257" s="2" t="s">
        <v>316</v>
      </c>
      <c r="M257" s="2">
        <v>481.48</v>
      </c>
      <c r="N257" s="2">
        <v>4.0</v>
      </c>
      <c r="O257" s="2" t="s">
        <v>51</v>
      </c>
      <c r="P257" s="2">
        <v>4.0</v>
      </c>
      <c r="Q257" s="2">
        <v>67.0</v>
      </c>
      <c r="R257" s="3">
        <v>45665.0</v>
      </c>
      <c r="S257" s="2" t="s">
        <v>1260</v>
      </c>
    </row>
    <row r="258" ht="14.25" customHeight="1">
      <c r="A258" s="2" t="s">
        <v>149</v>
      </c>
      <c r="B258" s="2" t="s">
        <v>150</v>
      </c>
      <c r="C258" s="2" t="s">
        <v>151</v>
      </c>
      <c r="D258" s="2">
        <v>24.0</v>
      </c>
      <c r="E258" s="2" t="s">
        <v>22</v>
      </c>
      <c r="F258" s="2" t="s">
        <v>152</v>
      </c>
      <c r="G258" s="2" t="s">
        <v>153</v>
      </c>
      <c r="H258" s="2" t="s">
        <v>154</v>
      </c>
      <c r="I258" s="2" t="s">
        <v>1261</v>
      </c>
      <c r="J258" s="3">
        <v>45512.0</v>
      </c>
      <c r="K258" s="2" t="s">
        <v>1262</v>
      </c>
      <c r="L258" s="2" t="s">
        <v>488</v>
      </c>
      <c r="M258" s="2">
        <v>421.7</v>
      </c>
      <c r="N258" s="2">
        <v>2.0</v>
      </c>
      <c r="O258" s="2" t="s">
        <v>89</v>
      </c>
      <c r="P258" s="2">
        <v>2.0</v>
      </c>
      <c r="Q258" s="2">
        <v>54.0</v>
      </c>
      <c r="R258" s="3">
        <v>45514.0</v>
      </c>
      <c r="S258" s="2" t="s">
        <v>1263</v>
      </c>
    </row>
    <row r="259" ht="14.25" customHeight="1">
      <c r="A259" s="2" t="s">
        <v>294</v>
      </c>
      <c r="B259" s="2" t="s">
        <v>295</v>
      </c>
      <c r="C259" s="2" t="s">
        <v>296</v>
      </c>
      <c r="D259" s="2">
        <v>26.0</v>
      </c>
      <c r="E259" s="2" t="s">
        <v>45</v>
      </c>
      <c r="F259" s="2" t="s">
        <v>161</v>
      </c>
      <c r="G259" s="2" t="s">
        <v>297</v>
      </c>
      <c r="H259" s="2" t="s">
        <v>298</v>
      </c>
      <c r="I259" s="2" t="s">
        <v>1264</v>
      </c>
      <c r="J259" s="3">
        <v>45393.0</v>
      </c>
      <c r="K259" s="2" t="s">
        <v>1265</v>
      </c>
      <c r="L259" s="2" t="s">
        <v>731</v>
      </c>
      <c r="M259" s="2">
        <v>110.95</v>
      </c>
      <c r="N259" s="2">
        <v>3.0</v>
      </c>
      <c r="O259" s="2" t="s">
        <v>56</v>
      </c>
      <c r="P259" s="2">
        <v>5.0</v>
      </c>
      <c r="Q259" s="2">
        <v>47.0</v>
      </c>
      <c r="R259" s="3">
        <v>45399.0</v>
      </c>
      <c r="S259" s="2" t="s">
        <v>1266</v>
      </c>
    </row>
    <row r="260" ht="14.25" customHeight="1">
      <c r="A260" s="2" t="s">
        <v>500</v>
      </c>
      <c r="B260" s="2" t="s">
        <v>501</v>
      </c>
      <c r="C260" s="2" t="s">
        <v>502</v>
      </c>
      <c r="D260" s="2">
        <v>64.0</v>
      </c>
      <c r="E260" s="2" t="s">
        <v>22</v>
      </c>
      <c r="F260" s="2" t="s">
        <v>23</v>
      </c>
      <c r="G260" s="2" t="s">
        <v>503</v>
      </c>
      <c r="H260" s="2" t="s">
        <v>504</v>
      </c>
      <c r="I260" s="2" t="s">
        <v>1267</v>
      </c>
      <c r="J260" s="3">
        <v>45188.0</v>
      </c>
      <c r="K260" s="2" t="s">
        <v>1268</v>
      </c>
      <c r="L260" s="2" t="s">
        <v>239</v>
      </c>
      <c r="M260" s="2">
        <v>282.63</v>
      </c>
      <c r="N260" s="2">
        <v>4.0</v>
      </c>
      <c r="O260" s="2" t="s">
        <v>89</v>
      </c>
      <c r="P260" s="2">
        <v>3.0</v>
      </c>
      <c r="Q260" s="2">
        <v>52.0</v>
      </c>
      <c r="R260" s="3">
        <v>45191.0</v>
      </c>
      <c r="S260" s="2" t="s">
        <v>1269</v>
      </c>
    </row>
    <row r="261" ht="14.25" customHeight="1">
      <c r="A261" s="2" t="s">
        <v>840</v>
      </c>
      <c r="B261" s="2" t="s">
        <v>841</v>
      </c>
      <c r="C261" s="2" t="s">
        <v>380</v>
      </c>
      <c r="D261" s="2">
        <v>37.0</v>
      </c>
      <c r="E261" s="2" t="s">
        <v>45</v>
      </c>
      <c r="F261" s="2" t="s">
        <v>213</v>
      </c>
      <c r="G261" s="2" t="s">
        <v>842</v>
      </c>
      <c r="H261" s="2" t="s">
        <v>843</v>
      </c>
      <c r="I261" s="2" t="s">
        <v>1270</v>
      </c>
      <c r="J261" s="3">
        <v>45335.0</v>
      </c>
      <c r="K261" s="2" t="s">
        <v>1271</v>
      </c>
      <c r="L261" s="2" t="s">
        <v>284</v>
      </c>
      <c r="M261" s="2">
        <v>158.53</v>
      </c>
      <c r="N261" s="2">
        <v>3.0</v>
      </c>
      <c r="O261" s="2" t="s">
        <v>89</v>
      </c>
      <c r="P261" s="2">
        <v>3.0</v>
      </c>
      <c r="Q261" s="2">
        <v>63.0</v>
      </c>
      <c r="R261" s="3">
        <v>45336.0</v>
      </c>
      <c r="S261" s="2" t="s">
        <v>1272</v>
      </c>
    </row>
    <row r="262" ht="14.25" customHeight="1">
      <c r="A262" s="2" t="s">
        <v>1072</v>
      </c>
      <c r="B262" s="2" t="s">
        <v>211</v>
      </c>
      <c r="C262" s="2" t="s">
        <v>1073</v>
      </c>
      <c r="D262" s="2">
        <v>55.0</v>
      </c>
      <c r="E262" s="2" t="s">
        <v>34</v>
      </c>
      <c r="F262" s="2" t="s">
        <v>152</v>
      </c>
      <c r="G262" s="2" t="s">
        <v>1074</v>
      </c>
      <c r="H262" s="2" t="s">
        <v>1075</v>
      </c>
      <c r="I262" s="2" t="s">
        <v>1273</v>
      </c>
      <c r="J262" s="3">
        <v>45026.0</v>
      </c>
      <c r="K262" s="2" t="s">
        <v>1274</v>
      </c>
      <c r="L262" s="2" t="s">
        <v>263</v>
      </c>
      <c r="M262" s="2">
        <v>62.42</v>
      </c>
      <c r="N262" s="2">
        <v>3.0</v>
      </c>
      <c r="O262" s="2" t="s">
        <v>29</v>
      </c>
      <c r="P262" s="2">
        <v>3.0</v>
      </c>
      <c r="Q262" s="2">
        <v>37.0</v>
      </c>
      <c r="R262" s="3">
        <v>45031.0</v>
      </c>
      <c r="S262" s="2" t="s">
        <v>1275</v>
      </c>
    </row>
    <row r="263" ht="14.25" customHeight="1">
      <c r="A263" s="2" t="s">
        <v>294</v>
      </c>
      <c r="B263" s="2" t="s">
        <v>295</v>
      </c>
      <c r="C263" s="2" t="s">
        <v>296</v>
      </c>
      <c r="D263" s="2">
        <v>26.0</v>
      </c>
      <c r="E263" s="2" t="s">
        <v>45</v>
      </c>
      <c r="F263" s="2" t="s">
        <v>161</v>
      </c>
      <c r="G263" s="2" t="s">
        <v>297</v>
      </c>
      <c r="H263" s="2" t="s">
        <v>298</v>
      </c>
      <c r="I263" s="2" t="s">
        <v>1276</v>
      </c>
      <c r="J263" s="3">
        <v>45454.0</v>
      </c>
      <c r="K263" s="2" t="s">
        <v>1277</v>
      </c>
      <c r="L263" s="2" t="s">
        <v>650</v>
      </c>
      <c r="M263" s="2">
        <v>235.63</v>
      </c>
      <c r="N263" s="2">
        <v>2.0</v>
      </c>
      <c r="O263" s="2" t="s">
        <v>51</v>
      </c>
      <c r="P263" s="2">
        <v>4.0</v>
      </c>
      <c r="Q263" s="2">
        <v>44.0</v>
      </c>
      <c r="R263" s="3">
        <v>45458.0</v>
      </c>
      <c r="S263" s="2" t="s">
        <v>1278</v>
      </c>
    </row>
    <row r="264" ht="14.25" customHeight="1">
      <c r="A264" s="2" t="s">
        <v>265</v>
      </c>
      <c r="B264" s="2" t="s">
        <v>266</v>
      </c>
      <c r="C264" s="2" t="s">
        <v>267</v>
      </c>
      <c r="D264" s="2">
        <v>44.0</v>
      </c>
      <c r="E264" s="2" t="s">
        <v>22</v>
      </c>
      <c r="F264" s="2" t="s">
        <v>213</v>
      </c>
      <c r="G264" s="2" t="s">
        <v>268</v>
      </c>
      <c r="H264" s="2" t="s">
        <v>269</v>
      </c>
      <c r="I264" s="2" t="s">
        <v>1279</v>
      </c>
      <c r="J264" s="3">
        <v>45547.0</v>
      </c>
      <c r="K264" s="2" t="s">
        <v>1280</v>
      </c>
      <c r="L264" s="2" t="s">
        <v>280</v>
      </c>
      <c r="M264" s="2">
        <v>157.64</v>
      </c>
      <c r="N264" s="2">
        <v>2.0</v>
      </c>
      <c r="O264" s="2" t="s">
        <v>29</v>
      </c>
      <c r="P264" s="2">
        <v>1.0</v>
      </c>
      <c r="Q264" s="2">
        <v>56.0</v>
      </c>
      <c r="R264" s="3">
        <v>45552.0</v>
      </c>
      <c r="S264" s="2" t="s">
        <v>1281</v>
      </c>
    </row>
    <row r="265" ht="14.25" customHeight="1">
      <c r="A265" s="2" t="s">
        <v>248</v>
      </c>
      <c r="B265" s="2" t="s">
        <v>249</v>
      </c>
      <c r="C265" s="2" t="s">
        <v>250</v>
      </c>
      <c r="D265" s="2">
        <v>60.0</v>
      </c>
      <c r="E265" s="2" t="s">
        <v>45</v>
      </c>
      <c r="F265" s="2" t="s">
        <v>23</v>
      </c>
      <c r="G265" s="2" t="s">
        <v>251</v>
      </c>
      <c r="H265" s="2" t="s">
        <v>252</v>
      </c>
      <c r="I265" s="2" t="s">
        <v>1282</v>
      </c>
      <c r="J265" s="3">
        <v>44996.0</v>
      </c>
      <c r="K265" s="2" t="s">
        <v>1283</v>
      </c>
      <c r="L265" s="2" t="s">
        <v>337</v>
      </c>
      <c r="M265" s="2">
        <v>372.62</v>
      </c>
      <c r="N265" s="2">
        <v>4.0</v>
      </c>
      <c r="O265" s="2" t="s">
        <v>51</v>
      </c>
      <c r="P265" s="2">
        <v>2.0</v>
      </c>
      <c r="Q265" s="2">
        <v>42.0</v>
      </c>
      <c r="R265" s="3">
        <v>45001.0</v>
      </c>
      <c r="S265" s="2" t="s">
        <v>1284</v>
      </c>
    </row>
    <row r="266" ht="14.25" customHeight="1">
      <c r="A266" s="2" t="s">
        <v>1203</v>
      </c>
      <c r="B266" s="2" t="s">
        <v>1204</v>
      </c>
      <c r="C266" s="2" t="s">
        <v>1205</v>
      </c>
      <c r="D266" s="2">
        <v>50.0</v>
      </c>
      <c r="E266" s="2" t="s">
        <v>45</v>
      </c>
      <c r="F266" s="2" t="s">
        <v>161</v>
      </c>
      <c r="G266" s="2" t="s">
        <v>1206</v>
      </c>
      <c r="H266" s="2" t="s">
        <v>1207</v>
      </c>
      <c r="I266" s="2" t="s">
        <v>1285</v>
      </c>
      <c r="J266" s="3">
        <v>45672.0</v>
      </c>
      <c r="K266" s="2" t="s">
        <v>1286</v>
      </c>
      <c r="L266" s="2" t="s">
        <v>583</v>
      </c>
      <c r="M266" s="2">
        <v>403.03</v>
      </c>
      <c r="N266" s="2">
        <v>2.0</v>
      </c>
      <c r="O266" s="2" t="s">
        <v>78</v>
      </c>
      <c r="P266" s="2">
        <v>3.0</v>
      </c>
      <c r="Q266" s="2">
        <v>61.0</v>
      </c>
      <c r="R266" s="3">
        <v>45677.0</v>
      </c>
      <c r="S266" s="2" t="s">
        <v>1287</v>
      </c>
    </row>
    <row r="267" ht="14.25" customHeight="1">
      <c r="A267" s="2" t="s">
        <v>202</v>
      </c>
      <c r="B267" s="2" t="s">
        <v>203</v>
      </c>
      <c r="C267" s="2" t="s">
        <v>204</v>
      </c>
      <c r="D267" s="2">
        <v>39.0</v>
      </c>
      <c r="E267" s="2" t="s">
        <v>34</v>
      </c>
      <c r="F267" s="2" t="s">
        <v>152</v>
      </c>
      <c r="G267" s="2" t="s">
        <v>205</v>
      </c>
      <c r="H267" s="2" t="s">
        <v>206</v>
      </c>
      <c r="I267" s="2" t="s">
        <v>1288</v>
      </c>
      <c r="J267" s="3">
        <v>45366.0</v>
      </c>
      <c r="K267" s="2" t="s">
        <v>1289</v>
      </c>
      <c r="L267" s="2" t="s">
        <v>192</v>
      </c>
      <c r="M267" s="2">
        <v>20.7</v>
      </c>
      <c r="N267" s="2">
        <v>3.0</v>
      </c>
      <c r="O267" s="2" t="s">
        <v>56</v>
      </c>
      <c r="P267" s="2">
        <v>1.0</v>
      </c>
      <c r="Q267" s="2">
        <v>67.0</v>
      </c>
      <c r="R267" s="3">
        <v>45372.0</v>
      </c>
      <c r="S267" s="2" t="s">
        <v>1290</v>
      </c>
    </row>
    <row r="268" ht="14.25" customHeight="1">
      <c r="A268" s="2" t="s">
        <v>177</v>
      </c>
      <c r="B268" s="2" t="s">
        <v>178</v>
      </c>
      <c r="C268" s="2" t="s">
        <v>179</v>
      </c>
      <c r="D268" s="2">
        <v>42.0</v>
      </c>
      <c r="E268" s="2" t="s">
        <v>34</v>
      </c>
      <c r="F268" s="2" t="s">
        <v>161</v>
      </c>
      <c r="G268" s="2" t="s">
        <v>180</v>
      </c>
      <c r="H268" s="2" t="s">
        <v>181</v>
      </c>
      <c r="I268" s="2" t="s">
        <v>1291</v>
      </c>
      <c r="J268" s="3">
        <v>45541.0</v>
      </c>
      <c r="K268" s="2" t="s">
        <v>1292</v>
      </c>
      <c r="L268" s="2" t="s">
        <v>507</v>
      </c>
      <c r="M268" s="2">
        <v>136.3</v>
      </c>
      <c r="N268" s="2">
        <v>2.0</v>
      </c>
      <c r="O268" s="2" t="s">
        <v>78</v>
      </c>
      <c r="P268" s="2">
        <v>2.0</v>
      </c>
      <c r="Q268" s="2">
        <v>45.0</v>
      </c>
      <c r="R268" s="3">
        <v>45546.0</v>
      </c>
      <c r="S268" s="2" t="s">
        <v>1293</v>
      </c>
    </row>
    <row r="269" ht="14.25" customHeight="1">
      <c r="A269" s="2" t="s">
        <v>698</v>
      </c>
      <c r="B269" s="2" t="s">
        <v>699</v>
      </c>
      <c r="C269" s="2" t="s">
        <v>700</v>
      </c>
      <c r="D269" s="2">
        <v>26.0</v>
      </c>
      <c r="E269" s="2" t="s">
        <v>45</v>
      </c>
      <c r="F269" s="2" t="s">
        <v>69</v>
      </c>
      <c r="G269" s="2" t="s">
        <v>701</v>
      </c>
      <c r="H269" s="2" t="s">
        <v>702</v>
      </c>
      <c r="I269" s="2" t="s">
        <v>1294</v>
      </c>
      <c r="J269" s="3">
        <v>45389.0</v>
      </c>
      <c r="K269" s="2" t="s">
        <v>1295</v>
      </c>
      <c r="L269" s="2" t="s">
        <v>731</v>
      </c>
      <c r="M269" s="2">
        <v>110.95</v>
      </c>
      <c r="N269" s="2">
        <v>2.0</v>
      </c>
      <c r="O269" s="2" t="s">
        <v>78</v>
      </c>
      <c r="P269" s="2">
        <v>3.0</v>
      </c>
      <c r="Q269" s="2">
        <v>36.0</v>
      </c>
      <c r="R269" s="3">
        <v>45394.0</v>
      </c>
      <c r="S269" s="2" t="s">
        <v>1296</v>
      </c>
    </row>
    <row r="270" ht="14.25" customHeight="1">
      <c r="A270" s="2" t="s">
        <v>220</v>
      </c>
      <c r="B270" s="2" t="s">
        <v>221</v>
      </c>
      <c r="C270" s="2" t="s">
        <v>222</v>
      </c>
      <c r="D270" s="2">
        <v>64.0</v>
      </c>
      <c r="E270" s="2" t="s">
        <v>34</v>
      </c>
      <c r="F270" s="2" t="s">
        <v>35</v>
      </c>
      <c r="G270" s="2" t="s">
        <v>223</v>
      </c>
      <c r="H270" s="2" t="s">
        <v>224</v>
      </c>
      <c r="I270" s="2" t="s">
        <v>1297</v>
      </c>
      <c r="J270" s="3">
        <v>45351.0</v>
      </c>
      <c r="K270" s="2" t="s">
        <v>1298</v>
      </c>
      <c r="L270" s="2" t="s">
        <v>337</v>
      </c>
      <c r="M270" s="2">
        <v>372.62</v>
      </c>
      <c r="N270" s="2">
        <v>3.0</v>
      </c>
      <c r="O270" s="2" t="s">
        <v>56</v>
      </c>
      <c r="P270" s="2">
        <v>5.0</v>
      </c>
      <c r="Q270" s="2">
        <v>54.0</v>
      </c>
      <c r="R270" s="3">
        <v>45352.0</v>
      </c>
      <c r="S270" s="2" t="s">
        <v>1299</v>
      </c>
    </row>
    <row r="271" ht="14.25" customHeight="1">
      <c r="A271" s="2" t="s">
        <v>1300</v>
      </c>
      <c r="B271" s="2" t="s">
        <v>1301</v>
      </c>
      <c r="C271" s="2" t="s">
        <v>1302</v>
      </c>
      <c r="D271" s="2">
        <v>63.0</v>
      </c>
      <c r="E271" s="2" t="s">
        <v>22</v>
      </c>
      <c r="F271" s="2" t="s">
        <v>161</v>
      </c>
      <c r="G271" s="2" t="s">
        <v>1303</v>
      </c>
      <c r="H271" s="2" t="s">
        <v>1304</v>
      </c>
      <c r="I271" s="2" t="s">
        <v>1305</v>
      </c>
      <c r="J271" s="3">
        <v>45083.0</v>
      </c>
      <c r="K271" s="2" t="s">
        <v>1306</v>
      </c>
      <c r="L271" s="2" t="s">
        <v>280</v>
      </c>
      <c r="M271" s="2">
        <v>157.64</v>
      </c>
      <c r="N271" s="2">
        <v>2.0</v>
      </c>
      <c r="O271" s="2" t="s">
        <v>29</v>
      </c>
      <c r="P271" s="2">
        <v>4.0</v>
      </c>
      <c r="Q271" s="2">
        <v>61.0</v>
      </c>
      <c r="R271" s="3">
        <v>45090.0</v>
      </c>
      <c r="S271" s="2" t="s">
        <v>1307</v>
      </c>
    </row>
    <row r="272" ht="14.25" customHeight="1">
      <c r="A272" s="2" t="s">
        <v>1214</v>
      </c>
      <c r="B272" s="2" t="s">
        <v>1215</v>
      </c>
      <c r="C272" s="2" t="s">
        <v>1216</v>
      </c>
      <c r="D272" s="2">
        <v>19.0</v>
      </c>
      <c r="E272" s="2" t="s">
        <v>34</v>
      </c>
      <c r="F272" s="2" t="s">
        <v>69</v>
      </c>
      <c r="G272" s="2" t="s">
        <v>1217</v>
      </c>
      <c r="H272" s="2" t="s">
        <v>1218</v>
      </c>
      <c r="I272" s="2" t="s">
        <v>1308</v>
      </c>
      <c r="J272" s="3">
        <v>44997.0</v>
      </c>
      <c r="K272" s="2" t="s">
        <v>1309</v>
      </c>
      <c r="L272" s="2" t="s">
        <v>138</v>
      </c>
      <c r="M272" s="2">
        <v>190.1</v>
      </c>
      <c r="N272" s="2">
        <v>3.0</v>
      </c>
      <c r="O272" s="2" t="s">
        <v>29</v>
      </c>
      <c r="P272" s="2">
        <v>4.0</v>
      </c>
      <c r="Q272" s="2">
        <v>63.0</v>
      </c>
      <c r="R272" s="3">
        <v>45002.0</v>
      </c>
      <c r="S272" s="2" t="s">
        <v>1310</v>
      </c>
    </row>
    <row r="273" ht="14.25" customHeight="1">
      <c r="A273" s="2" t="s">
        <v>1311</v>
      </c>
      <c r="B273" s="2" t="s">
        <v>1312</v>
      </c>
      <c r="C273" s="2" t="s">
        <v>1313</v>
      </c>
      <c r="D273" s="2">
        <v>43.0</v>
      </c>
      <c r="E273" s="2" t="s">
        <v>22</v>
      </c>
      <c r="F273" s="2" t="s">
        <v>133</v>
      </c>
      <c r="G273" s="2" t="s">
        <v>1314</v>
      </c>
      <c r="H273" s="2" t="s">
        <v>1315</v>
      </c>
      <c r="I273" s="2" t="s">
        <v>1316</v>
      </c>
      <c r="J273" s="3">
        <v>45428.0</v>
      </c>
      <c r="K273" s="2" t="s">
        <v>1317</v>
      </c>
      <c r="L273" s="2" t="s">
        <v>934</v>
      </c>
      <c r="M273" s="2">
        <v>107.47</v>
      </c>
      <c r="N273" s="2">
        <v>1.0</v>
      </c>
      <c r="O273" s="2" t="s">
        <v>29</v>
      </c>
      <c r="P273" s="2">
        <v>4.0</v>
      </c>
      <c r="Q273" s="2">
        <v>36.0</v>
      </c>
      <c r="R273" s="3">
        <v>45430.0</v>
      </c>
      <c r="S273" s="2" t="s">
        <v>1318</v>
      </c>
    </row>
    <row r="274" ht="14.25" customHeight="1">
      <c r="A274" s="2" t="s">
        <v>378</v>
      </c>
      <c r="B274" s="2" t="s">
        <v>379</v>
      </c>
      <c r="C274" s="2" t="s">
        <v>380</v>
      </c>
      <c r="D274" s="2">
        <v>47.0</v>
      </c>
      <c r="E274" s="2" t="s">
        <v>34</v>
      </c>
      <c r="F274" s="2" t="s">
        <v>83</v>
      </c>
      <c r="G274" s="2" t="s">
        <v>381</v>
      </c>
      <c r="H274" s="2" t="s">
        <v>382</v>
      </c>
      <c r="I274" s="2" t="s">
        <v>1319</v>
      </c>
      <c r="J274" s="3">
        <v>45012.0</v>
      </c>
      <c r="K274" s="2" t="s">
        <v>1320</v>
      </c>
      <c r="L274" s="2" t="s">
        <v>128</v>
      </c>
      <c r="M274" s="2">
        <v>175.93</v>
      </c>
      <c r="N274" s="2">
        <v>3.0</v>
      </c>
      <c r="O274" s="2" t="s">
        <v>56</v>
      </c>
      <c r="P274" s="2">
        <v>3.0</v>
      </c>
      <c r="Q274" s="2">
        <v>58.0</v>
      </c>
      <c r="R274" s="3">
        <v>45017.0</v>
      </c>
      <c r="S274" s="2" t="s">
        <v>1321</v>
      </c>
    </row>
    <row r="275" ht="14.25" customHeight="1">
      <c r="A275" s="2" t="s">
        <v>1203</v>
      </c>
      <c r="B275" s="2" t="s">
        <v>1204</v>
      </c>
      <c r="C275" s="2" t="s">
        <v>1205</v>
      </c>
      <c r="D275" s="2">
        <v>50.0</v>
      </c>
      <c r="E275" s="2" t="s">
        <v>45</v>
      </c>
      <c r="F275" s="2" t="s">
        <v>161</v>
      </c>
      <c r="G275" s="2" t="s">
        <v>1206</v>
      </c>
      <c r="H275" s="2" t="s">
        <v>1207</v>
      </c>
      <c r="I275" s="2" t="s">
        <v>1322</v>
      </c>
      <c r="J275" s="3">
        <v>45481.0</v>
      </c>
      <c r="K275" s="2" t="s">
        <v>1323</v>
      </c>
      <c r="L275" s="2" t="s">
        <v>679</v>
      </c>
      <c r="M275" s="2">
        <v>424.82</v>
      </c>
      <c r="N275" s="2">
        <v>3.0</v>
      </c>
      <c r="O275" s="2" t="s">
        <v>56</v>
      </c>
      <c r="P275" s="2">
        <v>3.0</v>
      </c>
      <c r="Q275" s="2">
        <v>42.0</v>
      </c>
      <c r="R275" s="3">
        <v>45482.0</v>
      </c>
      <c r="S275" s="2" t="s">
        <v>1324</v>
      </c>
    </row>
    <row r="276" ht="14.25" customHeight="1">
      <c r="A276" s="2" t="s">
        <v>1325</v>
      </c>
      <c r="B276" s="2" t="s">
        <v>1326</v>
      </c>
      <c r="C276" s="2" t="s">
        <v>388</v>
      </c>
      <c r="D276" s="2">
        <v>18.0</v>
      </c>
      <c r="E276" s="2" t="s">
        <v>34</v>
      </c>
      <c r="F276" s="2" t="s">
        <v>213</v>
      </c>
      <c r="G276" s="2" t="s">
        <v>1327</v>
      </c>
      <c r="H276" s="2" t="s">
        <v>1328</v>
      </c>
      <c r="I276" s="2" t="s">
        <v>1329</v>
      </c>
      <c r="J276" s="3">
        <v>45332.0</v>
      </c>
      <c r="K276" s="2" t="s">
        <v>1330</v>
      </c>
      <c r="L276" s="2" t="s">
        <v>316</v>
      </c>
      <c r="M276" s="2">
        <v>481.48</v>
      </c>
      <c r="N276" s="2">
        <v>4.0</v>
      </c>
      <c r="O276" s="2" t="s">
        <v>56</v>
      </c>
      <c r="P276" s="2">
        <v>2.0</v>
      </c>
      <c r="Q276" s="2">
        <v>61.0</v>
      </c>
      <c r="R276" s="3">
        <v>45338.0</v>
      </c>
      <c r="S276" s="2" t="s">
        <v>1331</v>
      </c>
    </row>
    <row r="277" ht="14.25" customHeight="1">
      <c r="A277" s="2" t="s">
        <v>1203</v>
      </c>
      <c r="B277" s="2" t="s">
        <v>1204</v>
      </c>
      <c r="C277" s="2" t="s">
        <v>1205</v>
      </c>
      <c r="D277" s="2">
        <v>50.0</v>
      </c>
      <c r="E277" s="2" t="s">
        <v>45</v>
      </c>
      <c r="F277" s="2" t="s">
        <v>161</v>
      </c>
      <c r="G277" s="2" t="s">
        <v>1206</v>
      </c>
      <c r="H277" s="2" t="s">
        <v>1207</v>
      </c>
      <c r="I277" s="2" t="s">
        <v>1332</v>
      </c>
      <c r="J277" s="3">
        <v>45599.0</v>
      </c>
      <c r="K277" s="2" t="s">
        <v>1333</v>
      </c>
      <c r="L277" s="2" t="s">
        <v>175</v>
      </c>
      <c r="M277" s="2">
        <v>104.18</v>
      </c>
      <c r="N277" s="2">
        <v>1.0</v>
      </c>
      <c r="O277" s="2" t="s">
        <v>29</v>
      </c>
      <c r="P277" s="2">
        <v>1.0</v>
      </c>
      <c r="Q277" s="2">
        <v>48.0</v>
      </c>
      <c r="R277" s="3">
        <v>45603.0</v>
      </c>
      <c r="S277" s="2" t="s">
        <v>1334</v>
      </c>
    </row>
    <row r="278" ht="14.25" customHeight="1">
      <c r="A278" s="2" t="s">
        <v>1335</v>
      </c>
      <c r="B278" s="2" t="s">
        <v>501</v>
      </c>
      <c r="C278" s="2" t="s">
        <v>1336</v>
      </c>
      <c r="D278" s="2">
        <v>40.0</v>
      </c>
      <c r="E278" s="2" t="s">
        <v>45</v>
      </c>
      <c r="F278" s="2" t="s">
        <v>213</v>
      </c>
      <c r="G278" s="2" t="s">
        <v>1337</v>
      </c>
      <c r="H278" s="2" t="s">
        <v>1338</v>
      </c>
      <c r="I278" s="2" t="s">
        <v>1339</v>
      </c>
      <c r="J278" s="3">
        <v>45422.0</v>
      </c>
      <c r="K278" s="2" t="s">
        <v>1340</v>
      </c>
      <c r="L278" s="2" t="s">
        <v>546</v>
      </c>
      <c r="M278" s="2">
        <v>425.59</v>
      </c>
      <c r="N278" s="2">
        <v>2.0</v>
      </c>
      <c r="O278" s="2" t="s">
        <v>29</v>
      </c>
      <c r="P278" s="2">
        <v>3.0</v>
      </c>
      <c r="Q278" s="2">
        <v>47.0</v>
      </c>
      <c r="R278" s="3">
        <v>45423.0</v>
      </c>
      <c r="S278" s="2" t="s">
        <v>1341</v>
      </c>
    </row>
    <row r="279" ht="14.25" customHeight="1">
      <c r="A279" s="2" t="s">
        <v>1214</v>
      </c>
      <c r="B279" s="2" t="s">
        <v>1215</v>
      </c>
      <c r="C279" s="2" t="s">
        <v>1216</v>
      </c>
      <c r="D279" s="2">
        <v>19.0</v>
      </c>
      <c r="E279" s="2" t="s">
        <v>34</v>
      </c>
      <c r="F279" s="2" t="s">
        <v>69</v>
      </c>
      <c r="G279" s="2" t="s">
        <v>1217</v>
      </c>
      <c r="H279" s="2" t="s">
        <v>1218</v>
      </c>
      <c r="I279" s="2" t="s">
        <v>1342</v>
      </c>
      <c r="J279" s="3">
        <v>45017.0</v>
      </c>
      <c r="K279" s="2" t="s">
        <v>1343</v>
      </c>
      <c r="L279" s="2" t="s">
        <v>218</v>
      </c>
      <c r="M279" s="2">
        <v>461.07</v>
      </c>
      <c r="N279" s="2">
        <v>4.0</v>
      </c>
      <c r="O279" s="2" t="s">
        <v>56</v>
      </c>
      <c r="P279" s="2">
        <v>6.0</v>
      </c>
      <c r="Q279" s="2">
        <v>46.0</v>
      </c>
      <c r="R279" s="3">
        <v>45022.0</v>
      </c>
      <c r="S279" s="2" t="s">
        <v>1344</v>
      </c>
    </row>
    <row r="280" ht="14.25" customHeight="1">
      <c r="A280" s="2" t="s">
        <v>140</v>
      </c>
      <c r="B280" s="2" t="s">
        <v>141</v>
      </c>
      <c r="C280" s="2" t="s">
        <v>142</v>
      </c>
      <c r="D280" s="2">
        <v>44.0</v>
      </c>
      <c r="E280" s="2" t="s">
        <v>34</v>
      </c>
      <c r="F280" s="2" t="s">
        <v>83</v>
      </c>
      <c r="G280" s="2" t="s">
        <v>143</v>
      </c>
      <c r="H280" s="2" t="s">
        <v>144</v>
      </c>
      <c r="I280" s="2" t="s">
        <v>1345</v>
      </c>
      <c r="J280" s="3">
        <v>45422.0</v>
      </c>
      <c r="K280" s="2" t="s">
        <v>1346</v>
      </c>
      <c r="L280" s="2" t="s">
        <v>263</v>
      </c>
      <c r="M280" s="2">
        <v>62.42</v>
      </c>
      <c r="N280" s="2">
        <v>4.0</v>
      </c>
      <c r="O280" s="2" t="s">
        <v>51</v>
      </c>
      <c r="P280" s="2">
        <v>1.0</v>
      </c>
      <c r="Q280" s="2">
        <v>67.0</v>
      </c>
      <c r="R280" s="3">
        <v>45426.0</v>
      </c>
      <c r="S280" s="2" t="s">
        <v>1347</v>
      </c>
    </row>
    <row r="281" ht="14.25" customHeight="1">
      <c r="A281" s="2" t="s">
        <v>31</v>
      </c>
      <c r="B281" s="2" t="s">
        <v>32</v>
      </c>
      <c r="C281" s="2" t="s">
        <v>33</v>
      </c>
      <c r="D281" s="2">
        <v>53.0</v>
      </c>
      <c r="E281" s="2" t="s">
        <v>34</v>
      </c>
      <c r="F281" s="2" t="s">
        <v>35</v>
      </c>
      <c r="G281" s="2" t="s">
        <v>36</v>
      </c>
      <c r="H281" s="2" t="s">
        <v>37</v>
      </c>
      <c r="I281" s="2" t="s">
        <v>1348</v>
      </c>
      <c r="J281" s="3">
        <v>45186.0</v>
      </c>
      <c r="K281" s="2" t="s">
        <v>1349</v>
      </c>
      <c r="L281" s="2" t="s">
        <v>119</v>
      </c>
      <c r="M281" s="2">
        <v>257.06</v>
      </c>
      <c r="N281" s="2">
        <v>1.0</v>
      </c>
      <c r="O281" s="2" t="s">
        <v>78</v>
      </c>
      <c r="P281" s="2">
        <v>5.0</v>
      </c>
      <c r="Q281" s="2">
        <v>64.0</v>
      </c>
      <c r="R281" s="3">
        <v>45188.0</v>
      </c>
      <c r="S281" s="2" t="s">
        <v>1350</v>
      </c>
    </row>
    <row r="282" ht="14.25" customHeight="1">
      <c r="A282" s="2" t="s">
        <v>539</v>
      </c>
      <c r="B282" s="2" t="s">
        <v>540</v>
      </c>
      <c r="C282" s="2" t="s">
        <v>541</v>
      </c>
      <c r="D282" s="2">
        <v>33.0</v>
      </c>
      <c r="E282" s="2" t="s">
        <v>45</v>
      </c>
      <c r="F282" s="2" t="s">
        <v>161</v>
      </c>
      <c r="G282" s="2" t="s">
        <v>542</v>
      </c>
      <c r="H282" s="2" t="s">
        <v>543</v>
      </c>
      <c r="I282" s="2" t="s">
        <v>1351</v>
      </c>
      <c r="J282" s="3">
        <v>45677.0</v>
      </c>
      <c r="K282" s="2" t="s">
        <v>1352</v>
      </c>
      <c r="L282" s="2" t="s">
        <v>166</v>
      </c>
      <c r="M282" s="2">
        <v>272.51</v>
      </c>
      <c r="N282" s="2">
        <v>4.0</v>
      </c>
      <c r="O282" s="2" t="s">
        <v>78</v>
      </c>
      <c r="P282" s="2">
        <v>6.0</v>
      </c>
      <c r="Q282" s="2">
        <v>39.0</v>
      </c>
      <c r="R282" s="3">
        <v>45679.0</v>
      </c>
      <c r="S282" s="2" t="s">
        <v>1353</v>
      </c>
    </row>
    <row r="283" ht="14.25" customHeight="1">
      <c r="A283" s="2" t="s">
        <v>229</v>
      </c>
      <c r="B283" s="2" t="s">
        <v>59</v>
      </c>
      <c r="C283" s="2" t="s">
        <v>230</v>
      </c>
      <c r="D283" s="2">
        <v>52.0</v>
      </c>
      <c r="E283" s="2" t="s">
        <v>45</v>
      </c>
      <c r="F283" s="2" t="s">
        <v>35</v>
      </c>
      <c r="G283" s="2" t="s">
        <v>231</v>
      </c>
      <c r="H283" s="2" t="s">
        <v>232</v>
      </c>
      <c r="I283" s="2" t="s">
        <v>1354</v>
      </c>
      <c r="J283" s="3">
        <v>45242.0</v>
      </c>
      <c r="K283" s="2" t="s">
        <v>1355</v>
      </c>
      <c r="L283" s="2" t="s">
        <v>583</v>
      </c>
      <c r="M283" s="2">
        <v>403.03</v>
      </c>
      <c r="N283" s="2">
        <v>2.0</v>
      </c>
      <c r="O283" s="2" t="s">
        <v>29</v>
      </c>
      <c r="P283" s="2">
        <v>4.0</v>
      </c>
      <c r="Q283" s="2">
        <v>70.0</v>
      </c>
      <c r="R283" s="3">
        <v>45246.0</v>
      </c>
      <c r="S283" s="2" t="s">
        <v>1356</v>
      </c>
    </row>
    <row r="284" ht="14.25" customHeight="1">
      <c r="A284" s="2" t="s">
        <v>1214</v>
      </c>
      <c r="B284" s="2" t="s">
        <v>1215</v>
      </c>
      <c r="C284" s="2" t="s">
        <v>1216</v>
      </c>
      <c r="D284" s="2">
        <v>19.0</v>
      </c>
      <c r="E284" s="2" t="s">
        <v>34</v>
      </c>
      <c r="F284" s="2" t="s">
        <v>69</v>
      </c>
      <c r="G284" s="2" t="s">
        <v>1217</v>
      </c>
      <c r="H284" s="2" t="s">
        <v>1218</v>
      </c>
      <c r="I284" s="2" t="s">
        <v>1357</v>
      </c>
      <c r="J284" s="3">
        <v>45201.0</v>
      </c>
      <c r="K284" s="2" t="s">
        <v>1358</v>
      </c>
      <c r="L284" s="2" t="s">
        <v>218</v>
      </c>
      <c r="M284" s="2">
        <v>461.07</v>
      </c>
      <c r="N284" s="2">
        <v>3.0</v>
      </c>
      <c r="O284" s="2" t="s">
        <v>89</v>
      </c>
      <c r="P284" s="2">
        <v>1.0</v>
      </c>
      <c r="Q284" s="2">
        <v>61.0</v>
      </c>
      <c r="R284" s="3">
        <v>45202.0</v>
      </c>
      <c r="S284" s="2" t="s">
        <v>1359</v>
      </c>
    </row>
    <row r="285" ht="14.25" customHeight="1">
      <c r="A285" s="2" t="s">
        <v>1203</v>
      </c>
      <c r="B285" s="2" t="s">
        <v>1204</v>
      </c>
      <c r="C285" s="2" t="s">
        <v>1205</v>
      </c>
      <c r="D285" s="2">
        <v>50.0</v>
      </c>
      <c r="E285" s="2" t="s">
        <v>45</v>
      </c>
      <c r="F285" s="2" t="s">
        <v>161</v>
      </c>
      <c r="G285" s="2" t="s">
        <v>1206</v>
      </c>
      <c r="H285" s="2" t="s">
        <v>1207</v>
      </c>
      <c r="I285" s="2" t="s">
        <v>1360</v>
      </c>
      <c r="J285" s="3">
        <v>45522.0</v>
      </c>
      <c r="K285" s="2" t="s">
        <v>1361</v>
      </c>
      <c r="L285" s="2" t="s">
        <v>511</v>
      </c>
      <c r="M285" s="2">
        <v>441.03</v>
      </c>
      <c r="N285" s="2">
        <v>3.0</v>
      </c>
      <c r="O285" s="2" t="s">
        <v>78</v>
      </c>
      <c r="P285" s="2">
        <v>4.0</v>
      </c>
      <c r="Q285" s="2">
        <v>40.0</v>
      </c>
      <c r="R285" s="3">
        <v>45528.0</v>
      </c>
      <c r="S285" s="2" t="s">
        <v>1362</v>
      </c>
    </row>
    <row r="286" ht="14.25" customHeight="1">
      <c r="A286" s="2" t="s">
        <v>130</v>
      </c>
      <c r="B286" s="2" t="s">
        <v>131</v>
      </c>
      <c r="C286" s="2" t="s">
        <v>132</v>
      </c>
      <c r="D286" s="2">
        <v>25.0</v>
      </c>
      <c r="E286" s="2" t="s">
        <v>45</v>
      </c>
      <c r="F286" s="2" t="s">
        <v>133</v>
      </c>
      <c r="G286" s="2" t="s">
        <v>134</v>
      </c>
      <c r="H286" s="2" t="s">
        <v>135</v>
      </c>
      <c r="I286" s="2" t="s">
        <v>1363</v>
      </c>
      <c r="J286" s="3">
        <v>45090.0</v>
      </c>
      <c r="K286" s="2" t="s">
        <v>1364</v>
      </c>
      <c r="L286" s="2" t="s">
        <v>128</v>
      </c>
      <c r="M286" s="2">
        <v>175.93</v>
      </c>
      <c r="N286" s="2">
        <v>4.0</v>
      </c>
      <c r="O286" s="2" t="s">
        <v>78</v>
      </c>
      <c r="P286" s="2">
        <v>6.0</v>
      </c>
      <c r="Q286" s="2">
        <v>45.0</v>
      </c>
      <c r="R286" s="3">
        <v>45097.0</v>
      </c>
      <c r="S286" s="2" t="s">
        <v>1365</v>
      </c>
    </row>
    <row r="287" ht="14.25" customHeight="1">
      <c r="A287" s="2" t="s">
        <v>1214</v>
      </c>
      <c r="B287" s="2" t="s">
        <v>1215</v>
      </c>
      <c r="C287" s="2" t="s">
        <v>1216</v>
      </c>
      <c r="D287" s="2">
        <v>19.0</v>
      </c>
      <c r="E287" s="2" t="s">
        <v>34</v>
      </c>
      <c r="F287" s="2" t="s">
        <v>69</v>
      </c>
      <c r="G287" s="2" t="s">
        <v>1217</v>
      </c>
      <c r="H287" s="2" t="s">
        <v>1218</v>
      </c>
      <c r="I287" s="2" t="s">
        <v>1366</v>
      </c>
      <c r="J287" s="3">
        <v>45049.0</v>
      </c>
      <c r="K287" s="2" t="s">
        <v>1367</v>
      </c>
      <c r="L287" s="2" t="s">
        <v>423</v>
      </c>
      <c r="M287" s="2">
        <v>369.03</v>
      </c>
      <c r="N287" s="2">
        <v>3.0</v>
      </c>
      <c r="O287" s="2" t="s">
        <v>29</v>
      </c>
      <c r="P287" s="2">
        <v>6.0</v>
      </c>
      <c r="Q287" s="2">
        <v>50.0</v>
      </c>
      <c r="R287" s="3">
        <v>45052.0</v>
      </c>
      <c r="S287" s="2" t="s">
        <v>1368</v>
      </c>
    </row>
    <row r="288" ht="14.25" customHeight="1">
      <c r="A288" s="2" t="s">
        <v>709</v>
      </c>
      <c r="B288" s="2" t="s">
        <v>710</v>
      </c>
      <c r="C288" s="2" t="s">
        <v>711</v>
      </c>
      <c r="D288" s="2">
        <v>32.0</v>
      </c>
      <c r="E288" s="2" t="s">
        <v>34</v>
      </c>
      <c r="F288" s="2" t="s">
        <v>23</v>
      </c>
      <c r="G288" s="2" t="s">
        <v>712</v>
      </c>
      <c r="H288" s="2" t="s">
        <v>713</v>
      </c>
      <c r="I288" s="2" t="s">
        <v>1369</v>
      </c>
      <c r="J288" s="3">
        <v>45676.0</v>
      </c>
      <c r="K288" s="2" t="s">
        <v>1370</v>
      </c>
      <c r="L288" s="2" t="s">
        <v>316</v>
      </c>
      <c r="M288" s="2">
        <v>481.48</v>
      </c>
      <c r="N288" s="2">
        <v>2.0</v>
      </c>
      <c r="O288" s="2" t="s">
        <v>78</v>
      </c>
      <c r="P288" s="2">
        <v>3.0</v>
      </c>
      <c r="Q288" s="2">
        <v>58.0</v>
      </c>
      <c r="R288" s="3">
        <v>45683.0</v>
      </c>
      <c r="S288" s="2" t="s">
        <v>1371</v>
      </c>
    </row>
    <row r="289" ht="14.25" customHeight="1">
      <c r="A289" s="2" t="s">
        <v>979</v>
      </c>
      <c r="B289" s="2" t="s">
        <v>980</v>
      </c>
      <c r="C289" s="2" t="s">
        <v>981</v>
      </c>
      <c r="D289" s="2">
        <v>49.0</v>
      </c>
      <c r="E289" s="2" t="s">
        <v>22</v>
      </c>
      <c r="F289" s="2" t="s">
        <v>35</v>
      </c>
      <c r="G289" s="2" t="s">
        <v>982</v>
      </c>
      <c r="H289" s="2" t="s">
        <v>983</v>
      </c>
      <c r="I289" s="2" t="s">
        <v>1372</v>
      </c>
      <c r="J289" s="3">
        <v>45092.0</v>
      </c>
      <c r="K289" s="2" t="s">
        <v>1373</v>
      </c>
      <c r="L289" s="2" t="s">
        <v>546</v>
      </c>
      <c r="M289" s="2">
        <v>425.59</v>
      </c>
      <c r="N289" s="2">
        <v>3.0</v>
      </c>
      <c r="O289" s="2" t="s">
        <v>29</v>
      </c>
      <c r="P289" s="2">
        <v>6.0</v>
      </c>
      <c r="Q289" s="2">
        <v>55.0</v>
      </c>
      <c r="R289" s="3">
        <v>45099.0</v>
      </c>
      <c r="S289" s="2" t="s">
        <v>1374</v>
      </c>
    </row>
    <row r="290" ht="14.25" customHeight="1">
      <c r="A290" s="2" t="s">
        <v>326</v>
      </c>
      <c r="B290" s="2" t="s">
        <v>327</v>
      </c>
      <c r="C290" s="2" t="s">
        <v>328</v>
      </c>
      <c r="D290" s="2">
        <v>23.0</v>
      </c>
      <c r="E290" s="2" t="s">
        <v>22</v>
      </c>
      <c r="F290" s="2" t="s">
        <v>23</v>
      </c>
      <c r="G290" s="2" t="s">
        <v>329</v>
      </c>
      <c r="H290" s="2" t="s">
        <v>330</v>
      </c>
      <c r="I290" s="2" t="s">
        <v>1375</v>
      </c>
      <c r="J290" s="3">
        <v>45659.0</v>
      </c>
      <c r="K290" s="2" t="s">
        <v>1376</v>
      </c>
      <c r="L290" s="2" t="s">
        <v>977</v>
      </c>
      <c r="M290" s="2">
        <v>33.49</v>
      </c>
      <c r="N290" s="2">
        <v>2.0</v>
      </c>
      <c r="O290" s="2" t="s">
        <v>29</v>
      </c>
      <c r="P290" s="2">
        <v>2.0</v>
      </c>
      <c r="Q290" s="2">
        <v>45.0</v>
      </c>
      <c r="R290" s="3">
        <v>45660.0</v>
      </c>
      <c r="S290" s="2" t="s">
        <v>1377</v>
      </c>
    </row>
    <row r="291" ht="14.25" customHeight="1">
      <c r="A291" s="2" t="s">
        <v>483</v>
      </c>
      <c r="B291" s="2" t="s">
        <v>179</v>
      </c>
      <c r="C291" s="2" t="s">
        <v>320</v>
      </c>
      <c r="D291" s="2">
        <v>39.0</v>
      </c>
      <c r="E291" s="2" t="s">
        <v>45</v>
      </c>
      <c r="F291" s="2" t="s">
        <v>35</v>
      </c>
      <c r="G291" s="2" t="s">
        <v>484</v>
      </c>
      <c r="H291" s="2" t="s">
        <v>485</v>
      </c>
      <c r="I291" s="2" t="s">
        <v>1378</v>
      </c>
      <c r="J291" s="3">
        <v>45024.0</v>
      </c>
      <c r="K291" s="2" t="s">
        <v>1379</v>
      </c>
      <c r="L291" s="2" t="s">
        <v>55</v>
      </c>
      <c r="M291" s="2">
        <v>405.0</v>
      </c>
      <c r="N291" s="2">
        <v>4.0</v>
      </c>
      <c r="O291" s="2" t="s">
        <v>89</v>
      </c>
      <c r="P291" s="2">
        <v>7.0</v>
      </c>
      <c r="Q291" s="2">
        <v>70.0</v>
      </c>
      <c r="R291" s="3">
        <v>45029.0</v>
      </c>
      <c r="S291" s="2" t="s">
        <v>1380</v>
      </c>
    </row>
    <row r="292" ht="14.25" customHeight="1">
      <c r="A292" s="2" t="s">
        <v>394</v>
      </c>
      <c r="B292" s="2" t="s">
        <v>395</v>
      </c>
      <c r="C292" s="2" t="s">
        <v>396</v>
      </c>
      <c r="D292" s="2">
        <v>70.0</v>
      </c>
      <c r="E292" s="2" t="s">
        <v>22</v>
      </c>
      <c r="F292" s="2" t="s">
        <v>23</v>
      </c>
      <c r="G292" s="2" t="s">
        <v>397</v>
      </c>
      <c r="H292" s="2" t="s">
        <v>398</v>
      </c>
      <c r="I292" s="2" t="s">
        <v>1381</v>
      </c>
      <c r="J292" s="3">
        <v>45455.0</v>
      </c>
      <c r="K292" s="2" t="s">
        <v>1382</v>
      </c>
      <c r="L292" s="2" t="s">
        <v>316</v>
      </c>
      <c r="M292" s="2">
        <v>481.48</v>
      </c>
      <c r="N292" s="2">
        <v>3.0</v>
      </c>
      <c r="O292" s="2" t="s">
        <v>78</v>
      </c>
      <c r="P292" s="2">
        <v>5.0</v>
      </c>
      <c r="Q292" s="2">
        <v>49.0</v>
      </c>
      <c r="R292" s="3">
        <v>45462.0</v>
      </c>
      <c r="S292" s="2" t="s">
        <v>1383</v>
      </c>
    </row>
    <row r="293" ht="14.25" customHeight="1">
      <c r="A293" s="2" t="s">
        <v>386</v>
      </c>
      <c r="B293" s="2" t="s">
        <v>387</v>
      </c>
      <c r="C293" s="2" t="s">
        <v>388</v>
      </c>
      <c r="D293" s="2">
        <v>40.0</v>
      </c>
      <c r="E293" s="2" t="s">
        <v>45</v>
      </c>
      <c r="F293" s="2" t="s">
        <v>161</v>
      </c>
      <c r="G293" s="2" t="s">
        <v>389</v>
      </c>
      <c r="H293" s="2" t="s">
        <v>390</v>
      </c>
      <c r="I293" s="2" t="s">
        <v>1384</v>
      </c>
      <c r="J293" s="3">
        <v>45058.0</v>
      </c>
      <c r="K293" s="2" t="s">
        <v>1385</v>
      </c>
      <c r="L293" s="2" t="s">
        <v>556</v>
      </c>
      <c r="M293" s="2">
        <v>133.62</v>
      </c>
      <c r="N293" s="2">
        <v>2.0</v>
      </c>
      <c r="O293" s="2" t="s">
        <v>89</v>
      </c>
      <c r="P293" s="2">
        <v>4.0</v>
      </c>
      <c r="Q293" s="2">
        <v>36.0</v>
      </c>
      <c r="R293" s="3">
        <v>45059.0</v>
      </c>
      <c r="S293" s="2" t="s">
        <v>1386</v>
      </c>
    </row>
    <row r="294" ht="14.25" customHeight="1">
      <c r="A294" s="2" t="s">
        <v>1072</v>
      </c>
      <c r="B294" s="2" t="s">
        <v>211</v>
      </c>
      <c r="C294" s="2" t="s">
        <v>1073</v>
      </c>
      <c r="D294" s="2">
        <v>55.0</v>
      </c>
      <c r="E294" s="2" t="s">
        <v>34</v>
      </c>
      <c r="F294" s="2" t="s">
        <v>152</v>
      </c>
      <c r="G294" s="2" t="s">
        <v>1074</v>
      </c>
      <c r="H294" s="2" t="s">
        <v>1075</v>
      </c>
      <c r="I294" s="2" t="s">
        <v>1387</v>
      </c>
      <c r="J294" s="3">
        <v>45414.0</v>
      </c>
      <c r="K294" s="2" t="s">
        <v>1388</v>
      </c>
      <c r="L294" s="2" t="s">
        <v>263</v>
      </c>
      <c r="M294" s="2">
        <v>62.42</v>
      </c>
      <c r="N294" s="2">
        <v>4.0</v>
      </c>
      <c r="O294" s="2" t="s">
        <v>89</v>
      </c>
      <c r="P294" s="2">
        <v>6.0</v>
      </c>
      <c r="Q294" s="2">
        <v>43.0</v>
      </c>
      <c r="R294" s="3">
        <v>45420.0</v>
      </c>
      <c r="S294" s="2" t="s">
        <v>1389</v>
      </c>
    </row>
    <row r="295" ht="14.25" customHeight="1">
      <c r="A295" s="2" t="s">
        <v>1161</v>
      </c>
      <c r="B295" s="2" t="s">
        <v>1162</v>
      </c>
      <c r="C295" s="2" t="s">
        <v>1163</v>
      </c>
      <c r="D295" s="2">
        <v>59.0</v>
      </c>
      <c r="E295" s="2" t="s">
        <v>45</v>
      </c>
      <c r="F295" s="2" t="s">
        <v>161</v>
      </c>
      <c r="G295" s="2" t="s">
        <v>1164</v>
      </c>
      <c r="H295" s="2" t="s">
        <v>1165</v>
      </c>
      <c r="I295" s="2" t="s">
        <v>1390</v>
      </c>
      <c r="J295" s="3">
        <v>45527.0</v>
      </c>
      <c r="K295" s="2" t="s">
        <v>1391</v>
      </c>
      <c r="L295" s="2" t="s">
        <v>349</v>
      </c>
      <c r="M295" s="2">
        <v>496.59</v>
      </c>
      <c r="N295" s="2">
        <v>2.0</v>
      </c>
      <c r="O295" s="2" t="s">
        <v>29</v>
      </c>
      <c r="P295" s="2">
        <v>3.0</v>
      </c>
      <c r="Q295" s="2">
        <v>55.0</v>
      </c>
      <c r="R295" s="3">
        <v>45528.0</v>
      </c>
      <c r="S295" s="2" t="s">
        <v>1392</v>
      </c>
    </row>
    <row r="296" ht="14.25" customHeight="1">
      <c r="A296" s="2" t="s">
        <v>513</v>
      </c>
      <c r="B296" s="2" t="s">
        <v>514</v>
      </c>
      <c r="C296" s="2" t="s">
        <v>515</v>
      </c>
      <c r="D296" s="2">
        <v>42.0</v>
      </c>
      <c r="E296" s="2" t="s">
        <v>45</v>
      </c>
      <c r="F296" s="2" t="s">
        <v>69</v>
      </c>
      <c r="G296" s="2" t="s">
        <v>516</v>
      </c>
      <c r="H296" s="2" t="s">
        <v>517</v>
      </c>
      <c r="I296" s="2" t="s">
        <v>1393</v>
      </c>
      <c r="J296" s="3">
        <v>45233.0</v>
      </c>
      <c r="K296" s="2" t="s">
        <v>1394</v>
      </c>
      <c r="L296" s="2" t="s">
        <v>376</v>
      </c>
      <c r="M296" s="2">
        <v>431.44</v>
      </c>
      <c r="N296" s="2">
        <v>4.0</v>
      </c>
      <c r="O296" s="2" t="s">
        <v>56</v>
      </c>
      <c r="P296" s="2">
        <v>3.0</v>
      </c>
      <c r="Q296" s="2">
        <v>65.0</v>
      </c>
      <c r="R296" s="3">
        <v>45239.0</v>
      </c>
      <c r="S296" s="2" t="s">
        <v>1395</v>
      </c>
    </row>
    <row r="297" ht="14.25" customHeight="1">
      <c r="A297" s="2" t="s">
        <v>378</v>
      </c>
      <c r="B297" s="2" t="s">
        <v>379</v>
      </c>
      <c r="C297" s="2" t="s">
        <v>380</v>
      </c>
      <c r="D297" s="2">
        <v>47.0</v>
      </c>
      <c r="E297" s="2" t="s">
        <v>34</v>
      </c>
      <c r="F297" s="2" t="s">
        <v>83</v>
      </c>
      <c r="G297" s="2" t="s">
        <v>381</v>
      </c>
      <c r="H297" s="2" t="s">
        <v>382</v>
      </c>
      <c r="I297" s="2" t="s">
        <v>1396</v>
      </c>
      <c r="J297" s="3">
        <v>45513.0</v>
      </c>
      <c r="K297" s="2" t="s">
        <v>1397</v>
      </c>
      <c r="L297" s="2" t="s">
        <v>679</v>
      </c>
      <c r="M297" s="2">
        <v>424.82</v>
      </c>
      <c r="N297" s="2">
        <v>2.0</v>
      </c>
      <c r="O297" s="2" t="s">
        <v>56</v>
      </c>
      <c r="P297" s="2">
        <v>2.0</v>
      </c>
      <c r="Q297" s="2">
        <v>57.0</v>
      </c>
      <c r="R297" s="3">
        <v>45520.0</v>
      </c>
      <c r="S297" s="2" t="s">
        <v>1398</v>
      </c>
    </row>
    <row r="298" ht="14.25" customHeight="1">
      <c r="A298" s="2" t="s">
        <v>1072</v>
      </c>
      <c r="B298" s="2" t="s">
        <v>211</v>
      </c>
      <c r="C298" s="2" t="s">
        <v>1073</v>
      </c>
      <c r="D298" s="2">
        <v>55.0</v>
      </c>
      <c r="E298" s="2" t="s">
        <v>34</v>
      </c>
      <c r="F298" s="2" t="s">
        <v>152</v>
      </c>
      <c r="G298" s="2" t="s">
        <v>1074</v>
      </c>
      <c r="H298" s="2" t="s">
        <v>1075</v>
      </c>
      <c r="I298" s="2" t="s">
        <v>1399</v>
      </c>
      <c r="J298" s="3">
        <v>45567.0</v>
      </c>
      <c r="K298" s="2" t="s">
        <v>1400</v>
      </c>
      <c r="L298" s="2" t="s">
        <v>488</v>
      </c>
      <c r="M298" s="2">
        <v>421.7</v>
      </c>
      <c r="N298" s="2">
        <v>3.0</v>
      </c>
      <c r="O298" s="2" t="s">
        <v>29</v>
      </c>
      <c r="P298" s="2">
        <v>5.0</v>
      </c>
      <c r="Q298" s="2">
        <v>54.0</v>
      </c>
      <c r="R298" s="3">
        <v>45571.0</v>
      </c>
      <c r="S298" s="2" t="s">
        <v>1401</v>
      </c>
    </row>
    <row r="299" ht="14.25" customHeight="1">
      <c r="A299" s="2" t="s">
        <v>1231</v>
      </c>
      <c r="B299" s="2" t="s">
        <v>1232</v>
      </c>
      <c r="C299" s="2" t="s">
        <v>1233</v>
      </c>
      <c r="D299" s="2">
        <v>55.0</v>
      </c>
      <c r="E299" s="2" t="s">
        <v>34</v>
      </c>
      <c r="F299" s="2" t="s">
        <v>152</v>
      </c>
      <c r="G299" s="2" t="s">
        <v>1234</v>
      </c>
      <c r="H299" s="2" t="s">
        <v>1235</v>
      </c>
      <c r="I299" s="2" t="s">
        <v>1402</v>
      </c>
      <c r="J299" s="3">
        <v>45157.0</v>
      </c>
      <c r="K299" s="2" t="s">
        <v>1403</v>
      </c>
      <c r="L299" s="2" t="s">
        <v>337</v>
      </c>
      <c r="M299" s="2">
        <v>372.62</v>
      </c>
      <c r="N299" s="2">
        <v>1.0</v>
      </c>
      <c r="O299" s="2" t="s">
        <v>89</v>
      </c>
      <c r="P299" s="2">
        <v>5.0</v>
      </c>
      <c r="Q299" s="2">
        <v>45.0</v>
      </c>
      <c r="R299" s="3">
        <v>45164.0</v>
      </c>
      <c r="S299" s="2" t="s">
        <v>1404</v>
      </c>
    </row>
    <row r="300" ht="14.25" customHeight="1">
      <c r="A300" s="2" t="s">
        <v>1203</v>
      </c>
      <c r="B300" s="2" t="s">
        <v>1204</v>
      </c>
      <c r="C300" s="2" t="s">
        <v>1205</v>
      </c>
      <c r="D300" s="2">
        <v>50.0</v>
      </c>
      <c r="E300" s="2" t="s">
        <v>45</v>
      </c>
      <c r="F300" s="2" t="s">
        <v>161</v>
      </c>
      <c r="G300" s="2" t="s">
        <v>1206</v>
      </c>
      <c r="H300" s="2" t="s">
        <v>1207</v>
      </c>
      <c r="I300" s="2" t="s">
        <v>1405</v>
      </c>
      <c r="J300" s="3">
        <v>45557.0</v>
      </c>
      <c r="K300" s="2" t="s">
        <v>1406</v>
      </c>
      <c r="L300" s="2" t="s">
        <v>175</v>
      </c>
      <c r="M300" s="2">
        <v>104.18</v>
      </c>
      <c r="N300" s="2">
        <v>1.0</v>
      </c>
      <c r="O300" s="2" t="s">
        <v>29</v>
      </c>
      <c r="P300" s="2">
        <v>3.0</v>
      </c>
      <c r="Q300" s="2">
        <v>60.0</v>
      </c>
      <c r="R300" s="3">
        <v>45563.0</v>
      </c>
      <c r="S300" s="2" t="s">
        <v>1407</v>
      </c>
    </row>
    <row r="301" ht="14.25" customHeight="1">
      <c r="A301" s="2" t="s">
        <v>832</v>
      </c>
      <c r="B301" s="2" t="s">
        <v>833</v>
      </c>
      <c r="C301" s="2" t="s">
        <v>834</v>
      </c>
      <c r="D301" s="2">
        <v>26.0</v>
      </c>
      <c r="E301" s="2" t="s">
        <v>34</v>
      </c>
      <c r="F301" s="2" t="s">
        <v>152</v>
      </c>
      <c r="G301" s="2" t="s">
        <v>835</v>
      </c>
      <c r="H301" s="2" t="s">
        <v>836</v>
      </c>
      <c r="I301" s="2" t="s">
        <v>1408</v>
      </c>
      <c r="J301" s="3">
        <v>45104.0</v>
      </c>
      <c r="K301" s="2" t="s">
        <v>1409</v>
      </c>
      <c r="L301" s="2" t="s">
        <v>128</v>
      </c>
      <c r="M301" s="2">
        <v>175.93</v>
      </c>
      <c r="N301" s="2">
        <v>2.0</v>
      </c>
      <c r="O301" s="2" t="s">
        <v>29</v>
      </c>
      <c r="P301" s="2">
        <v>5.0</v>
      </c>
      <c r="Q301" s="2">
        <v>49.0</v>
      </c>
      <c r="R301" s="3">
        <v>45106.0</v>
      </c>
      <c r="S301" s="2" t="s">
        <v>1410</v>
      </c>
    </row>
    <row r="302" ht="14.25" customHeight="1">
      <c r="A302" s="2" t="s">
        <v>1096</v>
      </c>
      <c r="B302" s="2" t="s">
        <v>1097</v>
      </c>
      <c r="C302" s="2" t="s">
        <v>1098</v>
      </c>
      <c r="D302" s="2">
        <v>18.0</v>
      </c>
      <c r="E302" s="2" t="s">
        <v>22</v>
      </c>
      <c r="F302" s="2" t="s">
        <v>69</v>
      </c>
      <c r="G302" s="2" t="s">
        <v>1099</v>
      </c>
      <c r="H302" s="2" t="s">
        <v>1100</v>
      </c>
      <c r="I302" s="2" t="s">
        <v>1411</v>
      </c>
      <c r="J302" s="3">
        <v>45563.0</v>
      </c>
      <c r="K302" s="2" t="s">
        <v>1412</v>
      </c>
      <c r="L302" s="2" t="s">
        <v>263</v>
      </c>
      <c r="M302" s="2">
        <v>62.42</v>
      </c>
      <c r="N302" s="2">
        <v>1.0</v>
      </c>
      <c r="O302" s="2" t="s">
        <v>29</v>
      </c>
      <c r="P302" s="2">
        <v>3.0</v>
      </c>
      <c r="Q302" s="2">
        <v>46.0</v>
      </c>
      <c r="R302" s="3">
        <v>45565.0</v>
      </c>
      <c r="S302" s="2" t="s">
        <v>1413</v>
      </c>
    </row>
    <row r="303" ht="14.25" customHeight="1">
      <c r="A303" s="2" t="s">
        <v>413</v>
      </c>
      <c r="B303" s="2" t="s">
        <v>414</v>
      </c>
      <c r="C303" s="2" t="s">
        <v>415</v>
      </c>
      <c r="D303" s="2">
        <v>52.0</v>
      </c>
      <c r="E303" s="2" t="s">
        <v>45</v>
      </c>
      <c r="F303" s="2" t="s">
        <v>213</v>
      </c>
      <c r="G303" s="2" t="s">
        <v>416</v>
      </c>
      <c r="H303" s="2" t="s">
        <v>417</v>
      </c>
      <c r="I303" s="2" t="s">
        <v>1414</v>
      </c>
      <c r="J303" s="3">
        <v>45279.0</v>
      </c>
      <c r="K303" s="2" t="s">
        <v>1415</v>
      </c>
      <c r="L303" s="2" t="s">
        <v>192</v>
      </c>
      <c r="M303" s="2">
        <v>20.7</v>
      </c>
      <c r="N303" s="2">
        <v>2.0</v>
      </c>
      <c r="O303" s="2" t="s">
        <v>29</v>
      </c>
      <c r="P303" s="2">
        <v>7.0</v>
      </c>
      <c r="Q303" s="2">
        <v>39.0</v>
      </c>
      <c r="R303" s="3">
        <v>45286.0</v>
      </c>
      <c r="S303" s="2" t="s">
        <v>1416</v>
      </c>
    </row>
    <row r="304" ht="14.25" customHeight="1">
      <c r="A304" s="2" t="s">
        <v>149</v>
      </c>
      <c r="B304" s="2" t="s">
        <v>150</v>
      </c>
      <c r="C304" s="2" t="s">
        <v>151</v>
      </c>
      <c r="D304" s="2">
        <v>24.0</v>
      </c>
      <c r="E304" s="2" t="s">
        <v>22</v>
      </c>
      <c r="F304" s="2" t="s">
        <v>152</v>
      </c>
      <c r="G304" s="2" t="s">
        <v>153</v>
      </c>
      <c r="H304" s="2" t="s">
        <v>154</v>
      </c>
      <c r="I304" s="2" t="s">
        <v>1417</v>
      </c>
      <c r="J304" s="3">
        <v>45206.0</v>
      </c>
      <c r="K304" s="2" t="s">
        <v>1418</v>
      </c>
      <c r="L304" s="2" t="s">
        <v>138</v>
      </c>
      <c r="M304" s="2">
        <v>190.1</v>
      </c>
      <c r="N304" s="2">
        <v>1.0</v>
      </c>
      <c r="O304" s="2" t="s">
        <v>78</v>
      </c>
      <c r="P304" s="2">
        <v>3.0</v>
      </c>
      <c r="Q304" s="2">
        <v>63.0</v>
      </c>
      <c r="R304" s="3">
        <v>45207.0</v>
      </c>
      <c r="S304" s="2" t="s">
        <v>1419</v>
      </c>
    </row>
    <row r="305" ht="14.25" customHeight="1">
      <c r="A305" s="2" t="s">
        <v>1184</v>
      </c>
      <c r="B305" s="2" t="s">
        <v>33</v>
      </c>
      <c r="C305" s="2" t="s">
        <v>1185</v>
      </c>
      <c r="D305" s="2">
        <v>34.0</v>
      </c>
      <c r="E305" s="2" t="s">
        <v>45</v>
      </c>
      <c r="F305" s="2" t="s">
        <v>213</v>
      </c>
      <c r="G305" s="2" t="s">
        <v>1186</v>
      </c>
      <c r="H305" s="2" t="s">
        <v>1187</v>
      </c>
      <c r="I305" s="2" t="s">
        <v>1420</v>
      </c>
      <c r="J305" s="3">
        <v>45324.0</v>
      </c>
      <c r="K305" s="2" t="s">
        <v>1421</v>
      </c>
      <c r="L305" s="2" t="s">
        <v>284</v>
      </c>
      <c r="M305" s="2">
        <v>158.53</v>
      </c>
      <c r="N305" s="2">
        <v>3.0</v>
      </c>
      <c r="O305" s="2" t="s">
        <v>78</v>
      </c>
      <c r="P305" s="2">
        <v>6.0</v>
      </c>
      <c r="Q305" s="2">
        <v>38.0</v>
      </c>
      <c r="R305" s="3">
        <v>45331.0</v>
      </c>
      <c r="S305" s="2" t="s">
        <v>1422</v>
      </c>
    </row>
    <row r="306" ht="14.25" customHeight="1">
      <c r="A306" s="2" t="s">
        <v>1214</v>
      </c>
      <c r="B306" s="2" t="s">
        <v>1215</v>
      </c>
      <c r="C306" s="2" t="s">
        <v>1216</v>
      </c>
      <c r="D306" s="2">
        <v>19.0</v>
      </c>
      <c r="E306" s="2" t="s">
        <v>34</v>
      </c>
      <c r="F306" s="2" t="s">
        <v>69</v>
      </c>
      <c r="G306" s="2" t="s">
        <v>1217</v>
      </c>
      <c r="H306" s="2" t="s">
        <v>1218</v>
      </c>
      <c r="I306" s="2" t="s">
        <v>1423</v>
      </c>
      <c r="J306" s="3">
        <v>45272.0</v>
      </c>
      <c r="K306" s="2" t="s">
        <v>1424</v>
      </c>
      <c r="L306" s="2" t="s">
        <v>411</v>
      </c>
      <c r="M306" s="2">
        <v>44.5</v>
      </c>
      <c r="N306" s="2">
        <v>1.0</v>
      </c>
      <c r="O306" s="2" t="s">
        <v>89</v>
      </c>
      <c r="P306" s="2">
        <v>4.0</v>
      </c>
      <c r="Q306" s="2">
        <v>49.0</v>
      </c>
      <c r="R306" s="3">
        <v>45278.0</v>
      </c>
      <c r="S306" s="2" t="s">
        <v>1425</v>
      </c>
    </row>
    <row r="307" ht="14.25" customHeight="1">
      <c r="A307" s="2" t="s">
        <v>318</v>
      </c>
      <c r="B307" s="2" t="s">
        <v>319</v>
      </c>
      <c r="C307" s="2" t="s">
        <v>320</v>
      </c>
      <c r="D307" s="2">
        <v>29.0</v>
      </c>
      <c r="E307" s="2" t="s">
        <v>45</v>
      </c>
      <c r="F307" s="2" t="s">
        <v>83</v>
      </c>
      <c r="G307" s="2" t="s">
        <v>321</v>
      </c>
      <c r="H307" s="2" t="s">
        <v>322</v>
      </c>
      <c r="I307" s="2" t="s">
        <v>1426</v>
      </c>
      <c r="J307" s="3">
        <v>45616.0</v>
      </c>
      <c r="K307" s="2" t="s">
        <v>1427</v>
      </c>
      <c r="L307" s="2" t="s">
        <v>301</v>
      </c>
      <c r="M307" s="2">
        <v>129.75</v>
      </c>
      <c r="N307" s="2">
        <v>2.0</v>
      </c>
      <c r="O307" s="2" t="s">
        <v>56</v>
      </c>
      <c r="P307" s="2">
        <v>4.0</v>
      </c>
      <c r="Q307" s="2">
        <v>53.0</v>
      </c>
      <c r="R307" s="3">
        <v>45620.0</v>
      </c>
      <c r="S307" s="2" t="s">
        <v>1428</v>
      </c>
    </row>
    <row r="308" ht="14.25" customHeight="1">
      <c r="A308" s="2" t="s">
        <v>1072</v>
      </c>
      <c r="B308" s="2" t="s">
        <v>211</v>
      </c>
      <c r="C308" s="2" t="s">
        <v>1073</v>
      </c>
      <c r="D308" s="2">
        <v>55.0</v>
      </c>
      <c r="E308" s="2" t="s">
        <v>34</v>
      </c>
      <c r="F308" s="2" t="s">
        <v>152</v>
      </c>
      <c r="G308" s="2" t="s">
        <v>1074</v>
      </c>
      <c r="H308" s="2" t="s">
        <v>1075</v>
      </c>
      <c r="I308" s="2" t="s">
        <v>1429</v>
      </c>
      <c r="J308" s="3">
        <v>45324.0</v>
      </c>
      <c r="K308" s="2" t="s">
        <v>1430</v>
      </c>
      <c r="L308" s="2" t="s">
        <v>128</v>
      </c>
      <c r="M308" s="2">
        <v>175.93</v>
      </c>
      <c r="N308" s="2">
        <v>2.0</v>
      </c>
      <c r="O308" s="2" t="s">
        <v>56</v>
      </c>
      <c r="P308" s="2">
        <v>6.0</v>
      </c>
      <c r="Q308" s="2">
        <v>50.0</v>
      </c>
      <c r="R308" s="3">
        <v>45325.0</v>
      </c>
      <c r="S308" s="2" t="s">
        <v>1431</v>
      </c>
    </row>
    <row r="309" ht="14.25" customHeight="1">
      <c r="A309" s="2" t="s">
        <v>840</v>
      </c>
      <c r="B309" s="2" t="s">
        <v>841</v>
      </c>
      <c r="C309" s="2" t="s">
        <v>380</v>
      </c>
      <c r="D309" s="2">
        <v>37.0</v>
      </c>
      <c r="E309" s="2" t="s">
        <v>45</v>
      </c>
      <c r="F309" s="2" t="s">
        <v>213</v>
      </c>
      <c r="G309" s="2" t="s">
        <v>842</v>
      </c>
      <c r="H309" s="2" t="s">
        <v>843</v>
      </c>
      <c r="I309" s="2" t="s">
        <v>1432</v>
      </c>
      <c r="J309" s="3">
        <v>45671.0</v>
      </c>
      <c r="K309" s="2" t="s">
        <v>1433</v>
      </c>
      <c r="L309" s="2" t="s">
        <v>488</v>
      </c>
      <c r="M309" s="2">
        <v>421.7</v>
      </c>
      <c r="N309" s="2">
        <v>5.0</v>
      </c>
      <c r="O309" s="2" t="s">
        <v>51</v>
      </c>
      <c r="P309" s="2">
        <v>2.0</v>
      </c>
      <c r="Q309" s="2">
        <v>56.0</v>
      </c>
      <c r="R309" s="3">
        <v>45674.0</v>
      </c>
      <c r="S309" s="2" t="s">
        <v>1434</v>
      </c>
    </row>
    <row r="310" ht="14.25" customHeight="1">
      <c r="A310" s="2" t="s">
        <v>585</v>
      </c>
      <c r="B310" s="2" t="s">
        <v>586</v>
      </c>
      <c r="C310" s="2" t="s">
        <v>587</v>
      </c>
      <c r="D310" s="2">
        <v>21.0</v>
      </c>
      <c r="E310" s="2" t="s">
        <v>22</v>
      </c>
      <c r="F310" s="2" t="s">
        <v>35</v>
      </c>
      <c r="G310" s="2" t="s">
        <v>588</v>
      </c>
      <c r="H310" s="2" t="s">
        <v>589</v>
      </c>
      <c r="I310" s="2" t="s">
        <v>1435</v>
      </c>
      <c r="J310" s="3">
        <v>45064.0</v>
      </c>
      <c r="K310" s="2" t="s">
        <v>1436</v>
      </c>
      <c r="L310" s="2" t="s">
        <v>630</v>
      </c>
      <c r="M310" s="2">
        <v>445.81</v>
      </c>
      <c r="N310" s="2">
        <v>1.0</v>
      </c>
      <c r="O310" s="2" t="s">
        <v>78</v>
      </c>
      <c r="P310" s="2">
        <v>7.0</v>
      </c>
      <c r="Q310" s="2">
        <v>41.0</v>
      </c>
      <c r="R310" s="3">
        <v>45071.0</v>
      </c>
      <c r="S310" s="2" t="s">
        <v>1437</v>
      </c>
    </row>
    <row r="311" ht="14.25" customHeight="1">
      <c r="A311" s="2" t="s">
        <v>672</v>
      </c>
      <c r="B311" s="2" t="s">
        <v>673</v>
      </c>
      <c r="C311" s="2" t="s">
        <v>674</v>
      </c>
      <c r="D311" s="2">
        <v>68.0</v>
      </c>
      <c r="E311" s="2" t="s">
        <v>22</v>
      </c>
      <c r="F311" s="2" t="s">
        <v>213</v>
      </c>
      <c r="G311" s="2" t="s">
        <v>675</v>
      </c>
      <c r="H311" s="2" t="s">
        <v>676</v>
      </c>
      <c r="I311" s="2" t="s">
        <v>1438</v>
      </c>
      <c r="J311" s="3">
        <v>44973.0</v>
      </c>
      <c r="K311" s="2" t="s">
        <v>1439</v>
      </c>
      <c r="L311" s="2" t="s">
        <v>546</v>
      </c>
      <c r="M311" s="2">
        <v>425.59</v>
      </c>
      <c r="N311" s="2">
        <v>2.0</v>
      </c>
      <c r="O311" s="2" t="s">
        <v>56</v>
      </c>
      <c r="P311" s="2">
        <v>2.0</v>
      </c>
      <c r="Q311" s="2">
        <v>67.0</v>
      </c>
      <c r="R311" s="3">
        <v>44977.0</v>
      </c>
      <c r="S311" s="2" t="s">
        <v>1440</v>
      </c>
    </row>
    <row r="312" ht="14.25" customHeight="1">
      <c r="A312" s="2" t="s">
        <v>351</v>
      </c>
      <c r="B312" s="2" t="s">
        <v>352</v>
      </c>
      <c r="C312" s="2" t="s">
        <v>353</v>
      </c>
      <c r="D312" s="2">
        <v>32.0</v>
      </c>
      <c r="E312" s="2" t="s">
        <v>34</v>
      </c>
      <c r="F312" s="2" t="s">
        <v>161</v>
      </c>
      <c r="G312" s="2" t="s">
        <v>354</v>
      </c>
      <c r="H312" s="2" t="s">
        <v>355</v>
      </c>
      <c r="I312" s="2" t="s">
        <v>1441</v>
      </c>
      <c r="J312" s="3">
        <v>45515.0</v>
      </c>
      <c r="K312" s="2" t="s">
        <v>1442</v>
      </c>
      <c r="L312" s="2" t="s">
        <v>546</v>
      </c>
      <c r="M312" s="2">
        <v>425.59</v>
      </c>
      <c r="N312" s="2">
        <v>1.0</v>
      </c>
      <c r="O312" s="2" t="s">
        <v>29</v>
      </c>
      <c r="P312" s="2">
        <v>1.0</v>
      </c>
      <c r="Q312" s="2">
        <v>62.0</v>
      </c>
      <c r="R312" s="3">
        <v>45518.0</v>
      </c>
      <c r="S312" s="2" t="s">
        <v>1443</v>
      </c>
    </row>
    <row r="313" ht="14.25" customHeight="1">
      <c r="A313" s="2" t="s">
        <v>1072</v>
      </c>
      <c r="B313" s="2" t="s">
        <v>211</v>
      </c>
      <c r="C313" s="2" t="s">
        <v>1073</v>
      </c>
      <c r="D313" s="2">
        <v>55.0</v>
      </c>
      <c r="E313" s="2" t="s">
        <v>34</v>
      </c>
      <c r="F313" s="2" t="s">
        <v>152</v>
      </c>
      <c r="G313" s="2" t="s">
        <v>1074</v>
      </c>
      <c r="H313" s="2" t="s">
        <v>1075</v>
      </c>
      <c r="I313" s="2" t="s">
        <v>1444</v>
      </c>
      <c r="J313" s="3">
        <v>44976.0</v>
      </c>
      <c r="K313" s="2" t="s">
        <v>1445</v>
      </c>
      <c r="L313" s="2" t="s">
        <v>243</v>
      </c>
      <c r="M313" s="2">
        <v>128.14</v>
      </c>
      <c r="N313" s="2">
        <v>1.0</v>
      </c>
      <c r="O313" s="2" t="s">
        <v>89</v>
      </c>
      <c r="P313" s="2">
        <v>1.0</v>
      </c>
      <c r="Q313" s="2">
        <v>39.0</v>
      </c>
      <c r="R313" s="3">
        <v>44982.0</v>
      </c>
      <c r="S313" s="2" t="s">
        <v>1446</v>
      </c>
    </row>
    <row r="314" ht="14.25" customHeight="1">
      <c r="A314" s="2" t="s">
        <v>1203</v>
      </c>
      <c r="B314" s="2" t="s">
        <v>1204</v>
      </c>
      <c r="C314" s="2" t="s">
        <v>1205</v>
      </c>
      <c r="D314" s="2">
        <v>50.0</v>
      </c>
      <c r="E314" s="2" t="s">
        <v>45</v>
      </c>
      <c r="F314" s="2" t="s">
        <v>161</v>
      </c>
      <c r="G314" s="2" t="s">
        <v>1206</v>
      </c>
      <c r="H314" s="2" t="s">
        <v>1207</v>
      </c>
      <c r="I314" s="2" t="s">
        <v>1447</v>
      </c>
      <c r="J314" s="3">
        <v>45684.0</v>
      </c>
      <c r="K314" s="2" t="s">
        <v>1448</v>
      </c>
      <c r="L314" s="2" t="s">
        <v>650</v>
      </c>
      <c r="M314" s="2">
        <v>235.63</v>
      </c>
      <c r="N314" s="2">
        <v>1.0</v>
      </c>
      <c r="O314" s="2" t="s">
        <v>78</v>
      </c>
      <c r="P314" s="2">
        <v>7.0</v>
      </c>
      <c r="Q314" s="2">
        <v>46.0</v>
      </c>
      <c r="R314" s="3">
        <v>45689.0</v>
      </c>
      <c r="S314" s="2" t="s">
        <v>1449</v>
      </c>
    </row>
    <row r="315" ht="14.25" customHeight="1">
      <c r="A315" s="2" t="s">
        <v>1450</v>
      </c>
      <c r="B315" s="2" t="s">
        <v>266</v>
      </c>
      <c r="C315" s="2" t="s">
        <v>1451</v>
      </c>
      <c r="D315" s="2">
        <v>30.0</v>
      </c>
      <c r="E315" s="2" t="s">
        <v>22</v>
      </c>
      <c r="F315" s="2" t="s">
        <v>213</v>
      </c>
      <c r="G315" s="2" t="s">
        <v>1452</v>
      </c>
      <c r="H315" s="2" t="s">
        <v>1453</v>
      </c>
      <c r="I315" s="2" t="s">
        <v>1454</v>
      </c>
      <c r="J315" s="3">
        <v>45400.0</v>
      </c>
      <c r="K315" s="2" t="s">
        <v>1455</v>
      </c>
      <c r="L315" s="2" t="s">
        <v>280</v>
      </c>
      <c r="M315" s="2">
        <v>157.64</v>
      </c>
      <c r="N315" s="2">
        <v>2.0</v>
      </c>
      <c r="O315" s="2" t="s">
        <v>78</v>
      </c>
      <c r="P315" s="2">
        <v>1.0</v>
      </c>
      <c r="Q315" s="2">
        <v>57.0</v>
      </c>
      <c r="R315" s="3">
        <v>45401.0</v>
      </c>
      <c r="S315" s="2" t="s">
        <v>1456</v>
      </c>
    </row>
    <row r="316" ht="14.25" customHeight="1">
      <c r="A316" s="2" t="s">
        <v>887</v>
      </c>
      <c r="B316" s="2" t="s">
        <v>141</v>
      </c>
      <c r="C316" s="2" t="s">
        <v>888</v>
      </c>
      <c r="D316" s="2">
        <v>29.0</v>
      </c>
      <c r="E316" s="2" t="s">
        <v>22</v>
      </c>
      <c r="F316" s="2" t="s">
        <v>35</v>
      </c>
      <c r="G316" s="2" t="s">
        <v>889</v>
      </c>
      <c r="H316" s="2" t="s">
        <v>890</v>
      </c>
      <c r="I316" s="2" t="s">
        <v>1457</v>
      </c>
      <c r="J316" s="3">
        <v>45108.0</v>
      </c>
      <c r="K316" s="2" t="s">
        <v>1458</v>
      </c>
      <c r="L316" s="2" t="s">
        <v>227</v>
      </c>
      <c r="M316" s="2">
        <v>132.97</v>
      </c>
      <c r="N316" s="2">
        <v>3.0</v>
      </c>
      <c r="O316" s="2" t="s">
        <v>51</v>
      </c>
      <c r="P316" s="2">
        <v>3.0</v>
      </c>
      <c r="Q316" s="2">
        <v>36.0</v>
      </c>
      <c r="R316" s="3">
        <v>45110.0</v>
      </c>
      <c r="S316" s="2" t="s">
        <v>1459</v>
      </c>
    </row>
    <row r="317" ht="14.25" customHeight="1">
      <c r="A317" s="2" t="s">
        <v>351</v>
      </c>
      <c r="B317" s="2" t="s">
        <v>352</v>
      </c>
      <c r="C317" s="2" t="s">
        <v>353</v>
      </c>
      <c r="D317" s="2">
        <v>32.0</v>
      </c>
      <c r="E317" s="2" t="s">
        <v>34</v>
      </c>
      <c r="F317" s="2" t="s">
        <v>161</v>
      </c>
      <c r="G317" s="2" t="s">
        <v>354</v>
      </c>
      <c r="H317" s="2" t="s">
        <v>355</v>
      </c>
      <c r="I317" s="2" t="s">
        <v>1460</v>
      </c>
      <c r="J317" s="3">
        <v>45143.0</v>
      </c>
      <c r="K317" s="2" t="s">
        <v>1461</v>
      </c>
      <c r="L317" s="2" t="s">
        <v>316</v>
      </c>
      <c r="M317" s="2">
        <v>481.48</v>
      </c>
      <c r="N317" s="2">
        <v>1.0</v>
      </c>
      <c r="O317" s="2" t="s">
        <v>51</v>
      </c>
      <c r="P317" s="2">
        <v>4.0</v>
      </c>
      <c r="Q317" s="2">
        <v>67.0</v>
      </c>
      <c r="R317" s="3">
        <v>45150.0</v>
      </c>
      <c r="S317" s="2" t="s">
        <v>1462</v>
      </c>
    </row>
    <row r="318" ht="14.25" customHeight="1">
      <c r="A318" s="2" t="s">
        <v>130</v>
      </c>
      <c r="B318" s="2" t="s">
        <v>131</v>
      </c>
      <c r="C318" s="2" t="s">
        <v>132</v>
      </c>
      <c r="D318" s="2">
        <v>25.0</v>
      </c>
      <c r="E318" s="2" t="s">
        <v>45</v>
      </c>
      <c r="F318" s="2" t="s">
        <v>133</v>
      </c>
      <c r="G318" s="2" t="s">
        <v>134</v>
      </c>
      <c r="H318" s="2" t="s">
        <v>135</v>
      </c>
      <c r="I318" s="2" t="s">
        <v>1463</v>
      </c>
      <c r="J318" s="3">
        <v>45211.0</v>
      </c>
      <c r="K318" s="2" t="s">
        <v>1464</v>
      </c>
      <c r="L318" s="2" t="s">
        <v>316</v>
      </c>
      <c r="M318" s="2">
        <v>481.48</v>
      </c>
      <c r="N318" s="2">
        <v>2.0</v>
      </c>
      <c r="O318" s="2" t="s">
        <v>89</v>
      </c>
      <c r="P318" s="2">
        <v>7.0</v>
      </c>
      <c r="Q318" s="2">
        <v>66.0</v>
      </c>
      <c r="R318" s="3">
        <v>45218.0</v>
      </c>
      <c r="S318" s="2" t="s">
        <v>1465</v>
      </c>
    </row>
    <row r="319" ht="14.25" customHeight="1">
      <c r="A319" s="2" t="s">
        <v>1466</v>
      </c>
      <c r="B319" s="2" t="s">
        <v>586</v>
      </c>
      <c r="C319" s="2" t="s">
        <v>1467</v>
      </c>
      <c r="D319" s="2">
        <v>57.0</v>
      </c>
      <c r="E319" s="2" t="s">
        <v>45</v>
      </c>
      <c r="F319" s="2" t="s">
        <v>133</v>
      </c>
      <c r="G319" s="2" t="s">
        <v>1468</v>
      </c>
      <c r="H319" s="2" t="s">
        <v>1469</v>
      </c>
      <c r="I319" s="2" t="s">
        <v>1470</v>
      </c>
      <c r="J319" s="3">
        <v>45147.0</v>
      </c>
      <c r="K319" s="2" t="s">
        <v>1471</v>
      </c>
      <c r="L319" s="2" t="s">
        <v>284</v>
      </c>
      <c r="M319" s="2">
        <v>158.53</v>
      </c>
      <c r="N319" s="2">
        <v>5.0</v>
      </c>
      <c r="O319" s="2" t="s">
        <v>78</v>
      </c>
      <c r="P319" s="2">
        <v>1.0</v>
      </c>
      <c r="Q319" s="2">
        <v>46.0</v>
      </c>
      <c r="R319" s="3">
        <v>45151.0</v>
      </c>
      <c r="S319" s="2" t="s">
        <v>1472</v>
      </c>
    </row>
    <row r="320" ht="14.25" customHeight="1">
      <c r="A320" s="2" t="s">
        <v>1311</v>
      </c>
      <c r="B320" s="2" t="s">
        <v>1312</v>
      </c>
      <c r="C320" s="2" t="s">
        <v>1313</v>
      </c>
      <c r="D320" s="2">
        <v>43.0</v>
      </c>
      <c r="E320" s="2" t="s">
        <v>22</v>
      </c>
      <c r="F320" s="2" t="s">
        <v>133</v>
      </c>
      <c r="G320" s="2" t="s">
        <v>1314</v>
      </c>
      <c r="H320" s="2" t="s">
        <v>1315</v>
      </c>
      <c r="I320" s="2" t="s">
        <v>1473</v>
      </c>
      <c r="J320" s="3">
        <v>45637.0</v>
      </c>
      <c r="K320" s="2" t="s">
        <v>1474</v>
      </c>
      <c r="L320" s="2" t="s">
        <v>166</v>
      </c>
      <c r="M320" s="2">
        <v>272.51</v>
      </c>
      <c r="N320" s="2">
        <v>2.0</v>
      </c>
      <c r="O320" s="2" t="s">
        <v>78</v>
      </c>
      <c r="P320" s="2">
        <v>5.0</v>
      </c>
      <c r="Q320" s="2">
        <v>37.0</v>
      </c>
      <c r="R320" s="3">
        <v>45640.0</v>
      </c>
      <c r="S320" s="2" t="s">
        <v>1475</v>
      </c>
    </row>
    <row r="321" ht="14.25" customHeight="1">
      <c r="A321" s="2" t="s">
        <v>1203</v>
      </c>
      <c r="B321" s="2" t="s">
        <v>1204</v>
      </c>
      <c r="C321" s="2" t="s">
        <v>1205</v>
      </c>
      <c r="D321" s="2">
        <v>50.0</v>
      </c>
      <c r="E321" s="2" t="s">
        <v>45</v>
      </c>
      <c r="F321" s="2" t="s">
        <v>161</v>
      </c>
      <c r="G321" s="2" t="s">
        <v>1206</v>
      </c>
      <c r="H321" s="2" t="s">
        <v>1207</v>
      </c>
      <c r="I321" s="2" t="s">
        <v>1476</v>
      </c>
      <c r="J321" s="3">
        <v>45656.0</v>
      </c>
      <c r="K321" s="2" t="s">
        <v>1477</v>
      </c>
      <c r="L321" s="2" t="s">
        <v>175</v>
      </c>
      <c r="M321" s="2">
        <v>104.18</v>
      </c>
      <c r="N321" s="2">
        <v>2.0</v>
      </c>
      <c r="O321" s="2" t="s">
        <v>51</v>
      </c>
      <c r="P321" s="2">
        <v>5.0</v>
      </c>
      <c r="Q321" s="2">
        <v>65.0</v>
      </c>
      <c r="R321" s="3">
        <v>45657.0</v>
      </c>
      <c r="S321" s="2" t="s">
        <v>1478</v>
      </c>
    </row>
    <row r="322" ht="14.25" customHeight="1">
      <c r="A322" s="2" t="s">
        <v>158</v>
      </c>
      <c r="B322" s="2" t="s">
        <v>159</v>
      </c>
      <c r="C322" s="2" t="s">
        <v>160</v>
      </c>
      <c r="D322" s="2">
        <v>46.0</v>
      </c>
      <c r="E322" s="2" t="s">
        <v>22</v>
      </c>
      <c r="F322" s="2" t="s">
        <v>161</v>
      </c>
      <c r="G322" s="2" t="s">
        <v>162</v>
      </c>
      <c r="H322" s="2" t="s">
        <v>163</v>
      </c>
      <c r="I322" s="2" t="s">
        <v>1479</v>
      </c>
      <c r="J322" s="3">
        <v>45479.0</v>
      </c>
      <c r="K322" s="2" t="s">
        <v>1480</v>
      </c>
      <c r="L322" s="2" t="s">
        <v>767</v>
      </c>
      <c r="M322" s="2">
        <v>20.0</v>
      </c>
      <c r="N322" s="2">
        <v>2.0</v>
      </c>
      <c r="O322" s="2" t="s">
        <v>89</v>
      </c>
      <c r="P322" s="2">
        <v>3.0</v>
      </c>
      <c r="Q322" s="2">
        <v>38.0</v>
      </c>
      <c r="R322" s="3">
        <v>45485.0</v>
      </c>
      <c r="S322" s="2" t="s">
        <v>1481</v>
      </c>
    </row>
    <row r="323" ht="14.25" customHeight="1">
      <c r="A323" s="2" t="s">
        <v>428</v>
      </c>
      <c r="B323" s="2" t="s">
        <v>429</v>
      </c>
      <c r="C323" s="2" t="s">
        <v>430</v>
      </c>
      <c r="D323" s="2">
        <v>28.0</v>
      </c>
      <c r="E323" s="2" t="s">
        <v>45</v>
      </c>
      <c r="F323" s="2" t="s">
        <v>69</v>
      </c>
      <c r="G323" s="2" t="s">
        <v>431</v>
      </c>
      <c r="H323" s="2" t="s">
        <v>432</v>
      </c>
      <c r="I323" s="2" t="s">
        <v>1482</v>
      </c>
      <c r="J323" s="3">
        <v>45501.0</v>
      </c>
      <c r="K323" s="2" t="s">
        <v>1483</v>
      </c>
      <c r="L323" s="2" t="s">
        <v>679</v>
      </c>
      <c r="M323" s="2">
        <v>424.82</v>
      </c>
      <c r="N323" s="2">
        <v>1.0</v>
      </c>
      <c r="O323" s="2" t="s">
        <v>29</v>
      </c>
      <c r="P323" s="2">
        <v>5.0</v>
      </c>
      <c r="Q323" s="2">
        <v>49.0</v>
      </c>
      <c r="R323" s="3">
        <v>45508.0</v>
      </c>
      <c r="S323" s="2" t="s">
        <v>1484</v>
      </c>
    </row>
    <row r="324" ht="14.25" customHeight="1">
      <c r="A324" s="2" t="s">
        <v>1300</v>
      </c>
      <c r="B324" s="2" t="s">
        <v>1301</v>
      </c>
      <c r="C324" s="2" t="s">
        <v>1302</v>
      </c>
      <c r="D324" s="2">
        <v>63.0</v>
      </c>
      <c r="E324" s="2" t="s">
        <v>22</v>
      </c>
      <c r="F324" s="2" t="s">
        <v>161</v>
      </c>
      <c r="G324" s="2" t="s">
        <v>1303</v>
      </c>
      <c r="H324" s="2" t="s">
        <v>1304</v>
      </c>
      <c r="I324" s="2" t="s">
        <v>1485</v>
      </c>
      <c r="J324" s="3">
        <v>45107.0</v>
      </c>
      <c r="K324" s="2" t="s">
        <v>1486</v>
      </c>
      <c r="L324" s="2" t="s">
        <v>147</v>
      </c>
      <c r="M324" s="2">
        <v>220.27</v>
      </c>
      <c r="N324" s="2">
        <v>5.0</v>
      </c>
      <c r="O324" s="2" t="s">
        <v>78</v>
      </c>
      <c r="P324" s="2">
        <v>6.0</v>
      </c>
      <c r="Q324" s="2">
        <v>57.0</v>
      </c>
      <c r="R324" s="3">
        <v>45109.0</v>
      </c>
      <c r="S324" s="2" t="s">
        <v>1487</v>
      </c>
    </row>
    <row r="325" ht="14.25" customHeight="1">
      <c r="A325" s="2" t="s">
        <v>386</v>
      </c>
      <c r="B325" s="2" t="s">
        <v>387</v>
      </c>
      <c r="C325" s="2" t="s">
        <v>388</v>
      </c>
      <c r="D325" s="2">
        <v>40.0</v>
      </c>
      <c r="E325" s="2" t="s">
        <v>45</v>
      </c>
      <c r="F325" s="2" t="s">
        <v>161</v>
      </c>
      <c r="G325" s="2" t="s">
        <v>389</v>
      </c>
      <c r="H325" s="2" t="s">
        <v>390</v>
      </c>
      <c r="I325" s="2" t="s">
        <v>1488</v>
      </c>
      <c r="J325" s="3">
        <v>45527.0</v>
      </c>
      <c r="K325" s="2" t="s">
        <v>1489</v>
      </c>
      <c r="L325" s="2" t="s">
        <v>546</v>
      </c>
      <c r="M325" s="2">
        <v>425.59</v>
      </c>
      <c r="N325" s="2">
        <v>5.0</v>
      </c>
      <c r="O325" s="2" t="s">
        <v>56</v>
      </c>
      <c r="P325" s="2">
        <v>4.0</v>
      </c>
      <c r="Q325" s="2">
        <v>43.0</v>
      </c>
      <c r="R325" s="3">
        <v>45531.0</v>
      </c>
      <c r="S325" s="2" t="s">
        <v>1490</v>
      </c>
    </row>
    <row r="326" ht="14.25" customHeight="1">
      <c r="A326" s="2" t="s">
        <v>1450</v>
      </c>
      <c r="B326" s="2" t="s">
        <v>266</v>
      </c>
      <c r="C326" s="2" t="s">
        <v>1451</v>
      </c>
      <c r="D326" s="2">
        <v>30.0</v>
      </c>
      <c r="E326" s="2" t="s">
        <v>22</v>
      </c>
      <c r="F326" s="2" t="s">
        <v>213</v>
      </c>
      <c r="G326" s="2" t="s">
        <v>1452</v>
      </c>
      <c r="H326" s="2" t="s">
        <v>1453</v>
      </c>
      <c r="I326" s="2" t="s">
        <v>1491</v>
      </c>
      <c r="J326" s="3">
        <v>45420.0</v>
      </c>
      <c r="K326" s="2" t="s">
        <v>1492</v>
      </c>
      <c r="L326" s="2" t="s">
        <v>107</v>
      </c>
      <c r="M326" s="2">
        <v>48.45</v>
      </c>
      <c r="N326" s="2">
        <v>3.0</v>
      </c>
      <c r="O326" s="2" t="s">
        <v>89</v>
      </c>
      <c r="P326" s="2">
        <v>2.0</v>
      </c>
      <c r="Q326" s="2">
        <v>63.0</v>
      </c>
      <c r="R326" s="3">
        <v>45422.0</v>
      </c>
      <c r="S326" s="2" t="s">
        <v>1493</v>
      </c>
    </row>
    <row r="327" ht="14.25" customHeight="1">
      <c r="A327" s="2" t="s">
        <v>1231</v>
      </c>
      <c r="B327" s="2" t="s">
        <v>1232</v>
      </c>
      <c r="C327" s="2" t="s">
        <v>1233</v>
      </c>
      <c r="D327" s="2">
        <v>55.0</v>
      </c>
      <c r="E327" s="2" t="s">
        <v>34</v>
      </c>
      <c r="F327" s="2" t="s">
        <v>152</v>
      </c>
      <c r="G327" s="2" t="s">
        <v>1234</v>
      </c>
      <c r="H327" s="2" t="s">
        <v>1235</v>
      </c>
      <c r="I327" s="2" t="s">
        <v>1494</v>
      </c>
      <c r="J327" s="3">
        <v>45186.0</v>
      </c>
      <c r="K327" s="2" t="s">
        <v>1495</v>
      </c>
      <c r="L327" s="2" t="s">
        <v>175</v>
      </c>
      <c r="M327" s="2">
        <v>104.18</v>
      </c>
      <c r="N327" s="2">
        <v>2.0</v>
      </c>
      <c r="O327" s="2" t="s">
        <v>29</v>
      </c>
      <c r="P327" s="2">
        <v>4.0</v>
      </c>
      <c r="Q327" s="2">
        <v>43.0</v>
      </c>
      <c r="R327" s="3">
        <v>45190.0</v>
      </c>
      <c r="S327" s="2" t="s">
        <v>1496</v>
      </c>
    </row>
    <row r="328" ht="14.25" customHeight="1">
      <c r="A328" s="2" t="s">
        <v>1239</v>
      </c>
      <c r="B328" s="2" t="s">
        <v>59</v>
      </c>
      <c r="C328" s="2" t="s">
        <v>1240</v>
      </c>
      <c r="D328" s="2">
        <v>40.0</v>
      </c>
      <c r="E328" s="2" t="s">
        <v>22</v>
      </c>
      <c r="F328" s="2" t="s">
        <v>69</v>
      </c>
      <c r="G328" s="2" t="s">
        <v>1241</v>
      </c>
      <c r="H328" s="2" t="s">
        <v>1242</v>
      </c>
      <c r="I328" s="2" t="s">
        <v>1497</v>
      </c>
      <c r="J328" s="3">
        <v>45195.0</v>
      </c>
      <c r="K328" s="2" t="s">
        <v>1498</v>
      </c>
      <c r="L328" s="2" t="s">
        <v>630</v>
      </c>
      <c r="M328" s="2">
        <v>445.81</v>
      </c>
      <c r="N328" s="2">
        <v>1.0</v>
      </c>
      <c r="O328" s="2" t="s">
        <v>56</v>
      </c>
      <c r="P328" s="2">
        <v>1.0</v>
      </c>
      <c r="Q328" s="2">
        <v>51.0</v>
      </c>
      <c r="R328" s="3">
        <v>45198.0</v>
      </c>
      <c r="S328" s="2" t="s">
        <v>1499</v>
      </c>
    </row>
    <row r="329" ht="14.25" customHeight="1">
      <c r="A329" s="2" t="s">
        <v>1335</v>
      </c>
      <c r="B329" s="2" t="s">
        <v>501</v>
      </c>
      <c r="C329" s="2" t="s">
        <v>1336</v>
      </c>
      <c r="D329" s="2">
        <v>40.0</v>
      </c>
      <c r="E329" s="2" t="s">
        <v>45</v>
      </c>
      <c r="F329" s="2" t="s">
        <v>213</v>
      </c>
      <c r="G329" s="2" t="s">
        <v>1337</v>
      </c>
      <c r="H329" s="2" t="s">
        <v>1338</v>
      </c>
      <c r="I329" s="2" t="s">
        <v>1500</v>
      </c>
      <c r="J329" s="3">
        <v>45573.0</v>
      </c>
      <c r="K329" s="2" t="s">
        <v>1501</v>
      </c>
      <c r="L329" s="2" t="s">
        <v>227</v>
      </c>
      <c r="M329" s="2">
        <v>132.97</v>
      </c>
      <c r="N329" s="2">
        <v>2.0</v>
      </c>
      <c r="O329" s="2" t="s">
        <v>89</v>
      </c>
      <c r="P329" s="2">
        <v>6.0</v>
      </c>
      <c r="Q329" s="2">
        <v>69.0</v>
      </c>
      <c r="R329" s="3">
        <v>45578.0</v>
      </c>
      <c r="S329" s="2" t="s">
        <v>1502</v>
      </c>
    </row>
    <row r="330" ht="14.25" customHeight="1">
      <c r="A330" s="2" t="s">
        <v>1231</v>
      </c>
      <c r="B330" s="2" t="s">
        <v>1232</v>
      </c>
      <c r="C330" s="2" t="s">
        <v>1233</v>
      </c>
      <c r="D330" s="2">
        <v>55.0</v>
      </c>
      <c r="E330" s="2" t="s">
        <v>34</v>
      </c>
      <c r="F330" s="2" t="s">
        <v>152</v>
      </c>
      <c r="G330" s="2" t="s">
        <v>1234</v>
      </c>
      <c r="H330" s="2" t="s">
        <v>1235</v>
      </c>
      <c r="I330" s="2" t="s">
        <v>1503</v>
      </c>
      <c r="J330" s="3">
        <v>45384.0</v>
      </c>
      <c r="K330" s="2" t="s">
        <v>1504</v>
      </c>
      <c r="L330" s="2" t="s">
        <v>488</v>
      </c>
      <c r="M330" s="2">
        <v>421.7</v>
      </c>
      <c r="N330" s="2">
        <v>4.0</v>
      </c>
      <c r="O330" s="2" t="s">
        <v>29</v>
      </c>
      <c r="P330" s="2">
        <v>5.0</v>
      </c>
      <c r="Q330" s="2">
        <v>55.0</v>
      </c>
      <c r="R330" s="3">
        <v>45389.0</v>
      </c>
      <c r="S330" s="2" t="s">
        <v>1505</v>
      </c>
    </row>
    <row r="331" ht="14.25" customHeight="1">
      <c r="A331" s="2" t="s">
        <v>1231</v>
      </c>
      <c r="B331" s="2" t="s">
        <v>1232</v>
      </c>
      <c r="C331" s="2" t="s">
        <v>1233</v>
      </c>
      <c r="D331" s="2">
        <v>55.0</v>
      </c>
      <c r="E331" s="2" t="s">
        <v>34</v>
      </c>
      <c r="F331" s="2" t="s">
        <v>152</v>
      </c>
      <c r="G331" s="2" t="s">
        <v>1234</v>
      </c>
      <c r="H331" s="2" t="s">
        <v>1235</v>
      </c>
      <c r="I331" s="2" t="s">
        <v>1506</v>
      </c>
      <c r="J331" s="3">
        <v>45388.0</v>
      </c>
      <c r="K331" s="2" t="s">
        <v>1507</v>
      </c>
      <c r="L331" s="2" t="s">
        <v>566</v>
      </c>
      <c r="M331" s="2">
        <v>477.52</v>
      </c>
      <c r="N331" s="2">
        <v>1.0</v>
      </c>
      <c r="O331" s="2" t="s">
        <v>56</v>
      </c>
      <c r="P331" s="2">
        <v>7.0</v>
      </c>
      <c r="Q331" s="2">
        <v>48.0</v>
      </c>
      <c r="R331" s="3">
        <v>45393.0</v>
      </c>
      <c r="S331" s="2" t="s">
        <v>1508</v>
      </c>
    </row>
    <row r="332" ht="14.25" customHeight="1">
      <c r="A332" s="2" t="s">
        <v>451</v>
      </c>
      <c r="B332" s="2" t="s">
        <v>452</v>
      </c>
      <c r="C332" s="2" t="s">
        <v>453</v>
      </c>
      <c r="D332" s="2">
        <v>63.0</v>
      </c>
      <c r="E332" s="2" t="s">
        <v>22</v>
      </c>
      <c r="F332" s="2" t="s">
        <v>133</v>
      </c>
      <c r="G332" s="2" t="s">
        <v>454</v>
      </c>
      <c r="H332" s="2" t="s">
        <v>455</v>
      </c>
      <c r="I332" s="2" t="s">
        <v>1509</v>
      </c>
      <c r="J332" s="3">
        <v>45623.0</v>
      </c>
      <c r="K332" s="2" t="s">
        <v>1510</v>
      </c>
      <c r="L332" s="2" t="s">
        <v>767</v>
      </c>
      <c r="M332" s="2">
        <v>20.0</v>
      </c>
      <c r="N332" s="2">
        <v>2.0</v>
      </c>
      <c r="O332" s="2" t="s">
        <v>56</v>
      </c>
      <c r="P332" s="2">
        <v>5.0</v>
      </c>
      <c r="Q332" s="2">
        <v>55.0</v>
      </c>
      <c r="R332" s="3">
        <v>45629.0</v>
      </c>
      <c r="S332" s="2" t="s">
        <v>1511</v>
      </c>
    </row>
    <row r="333" ht="14.25" customHeight="1">
      <c r="A333" s="2" t="s">
        <v>248</v>
      </c>
      <c r="B333" s="2" t="s">
        <v>249</v>
      </c>
      <c r="C333" s="2" t="s">
        <v>250</v>
      </c>
      <c r="D333" s="2">
        <v>60.0</v>
      </c>
      <c r="E333" s="2" t="s">
        <v>45</v>
      </c>
      <c r="F333" s="2" t="s">
        <v>23</v>
      </c>
      <c r="G333" s="2" t="s">
        <v>251</v>
      </c>
      <c r="H333" s="2" t="s">
        <v>252</v>
      </c>
      <c r="I333" s="2" t="s">
        <v>1512</v>
      </c>
      <c r="J333" s="3">
        <v>45498.0</v>
      </c>
      <c r="K333" s="2" t="s">
        <v>1513</v>
      </c>
      <c r="L333" s="2" t="s">
        <v>650</v>
      </c>
      <c r="M333" s="2">
        <v>235.63</v>
      </c>
      <c r="N333" s="2">
        <v>1.0</v>
      </c>
      <c r="O333" s="2" t="s">
        <v>89</v>
      </c>
      <c r="P333" s="2">
        <v>1.0</v>
      </c>
      <c r="Q333" s="2">
        <v>38.0</v>
      </c>
      <c r="R333" s="3">
        <v>45504.0</v>
      </c>
      <c r="S333" s="2" t="s">
        <v>1514</v>
      </c>
    </row>
    <row r="334" ht="14.25" customHeight="1">
      <c r="A334" s="2" t="s">
        <v>1203</v>
      </c>
      <c r="B334" s="2" t="s">
        <v>1204</v>
      </c>
      <c r="C334" s="2" t="s">
        <v>1205</v>
      </c>
      <c r="D334" s="2">
        <v>50.0</v>
      </c>
      <c r="E334" s="2" t="s">
        <v>45</v>
      </c>
      <c r="F334" s="2" t="s">
        <v>161</v>
      </c>
      <c r="G334" s="2" t="s">
        <v>1206</v>
      </c>
      <c r="H334" s="2" t="s">
        <v>1207</v>
      </c>
      <c r="I334" s="2" t="s">
        <v>1515</v>
      </c>
      <c r="J334" s="3">
        <v>45289.0</v>
      </c>
      <c r="K334" s="2" t="s">
        <v>1516</v>
      </c>
      <c r="L334" s="2" t="s">
        <v>977</v>
      </c>
      <c r="M334" s="2">
        <v>33.49</v>
      </c>
      <c r="N334" s="2">
        <v>4.0</v>
      </c>
      <c r="O334" s="2" t="s">
        <v>51</v>
      </c>
      <c r="P334" s="2">
        <v>4.0</v>
      </c>
      <c r="Q334" s="2">
        <v>67.0</v>
      </c>
      <c r="R334" s="3">
        <v>45294.0</v>
      </c>
      <c r="S334" s="2" t="s">
        <v>1517</v>
      </c>
    </row>
    <row r="335" ht="14.25" customHeight="1">
      <c r="A335" s="2" t="s">
        <v>326</v>
      </c>
      <c r="B335" s="2" t="s">
        <v>327</v>
      </c>
      <c r="C335" s="2" t="s">
        <v>328</v>
      </c>
      <c r="D335" s="2">
        <v>23.0</v>
      </c>
      <c r="E335" s="2" t="s">
        <v>22</v>
      </c>
      <c r="F335" s="2" t="s">
        <v>23</v>
      </c>
      <c r="G335" s="2" t="s">
        <v>329</v>
      </c>
      <c r="H335" s="2" t="s">
        <v>330</v>
      </c>
      <c r="I335" s="2" t="s">
        <v>1518</v>
      </c>
      <c r="J335" s="3">
        <v>45271.0</v>
      </c>
      <c r="K335" s="2" t="s">
        <v>1519</v>
      </c>
      <c r="L335" s="2" t="s">
        <v>507</v>
      </c>
      <c r="M335" s="2">
        <v>136.3</v>
      </c>
      <c r="N335" s="2">
        <v>4.0</v>
      </c>
      <c r="O335" s="2" t="s">
        <v>89</v>
      </c>
      <c r="P335" s="2">
        <v>1.0</v>
      </c>
      <c r="Q335" s="2">
        <v>35.0</v>
      </c>
      <c r="R335" s="3">
        <v>45275.0</v>
      </c>
      <c r="S335" s="2" t="s">
        <v>1520</v>
      </c>
    </row>
    <row r="336" ht="14.25" customHeight="1">
      <c r="A336" s="2" t="s">
        <v>979</v>
      </c>
      <c r="B336" s="2" t="s">
        <v>980</v>
      </c>
      <c r="C336" s="2" t="s">
        <v>981</v>
      </c>
      <c r="D336" s="2">
        <v>49.0</v>
      </c>
      <c r="E336" s="2" t="s">
        <v>22</v>
      </c>
      <c r="F336" s="2" t="s">
        <v>35</v>
      </c>
      <c r="G336" s="2" t="s">
        <v>982</v>
      </c>
      <c r="H336" s="2" t="s">
        <v>983</v>
      </c>
      <c r="I336" s="2" t="s">
        <v>1521</v>
      </c>
      <c r="J336" s="3">
        <v>45122.0</v>
      </c>
      <c r="K336" s="2" t="s">
        <v>1522</v>
      </c>
      <c r="L336" s="2" t="s">
        <v>239</v>
      </c>
      <c r="M336" s="2">
        <v>282.63</v>
      </c>
      <c r="N336" s="2">
        <v>4.0</v>
      </c>
      <c r="O336" s="2" t="s">
        <v>89</v>
      </c>
      <c r="P336" s="2">
        <v>1.0</v>
      </c>
      <c r="Q336" s="2">
        <v>48.0</v>
      </c>
      <c r="R336" s="3">
        <v>45125.0</v>
      </c>
      <c r="S336" s="2" t="s">
        <v>1523</v>
      </c>
    </row>
    <row r="337" ht="14.25" customHeight="1">
      <c r="A337" s="2" t="s">
        <v>832</v>
      </c>
      <c r="B337" s="2" t="s">
        <v>833</v>
      </c>
      <c r="C337" s="2" t="s">
        <v>834</v>
      </c>
      <c r="D337" s="2">
        <v>26.0</v>
      </c>
      <c r="E337" s="2" t="s">
        <v>34</v>
      </c>
      <c r="F337" s="2" t="s">
        <v>152</v>
      </c>
      <c r="G337" s="2" t="s">
        <v>835</v>
      </c>
      <c r="H337" s="2" t="s">
        <v>836</v>
      </c>
      <c r="I337" s="2" t="s">
        <v>1524</v>
      </c>
      <c r="J337" s="3">
        <v>45627.0</v>
      </c>
      <c r="K337" s="2" t="s">
        <v>1525</v>
      </c>
      <c r="L337" s="2" t="s">
        <v>166</v>
      </c>
      <c r="M337" s="2">
        <v>272.51</v>
      </c>
      <c r="N337" s="2">
        <v>5.0</v>
      </c>
      <c r="O337" s="2" t="s">
        <v>89</v>
      </c>
      <c r="P337" s="2">
        <v>4.0</v>
      </c>
      <c r="Q337" s="2">
        <v>45.0</v>
      </c>
      <c r="R337" s="3">
        <v>45630.0</v>
      </c>
      <c r="S337" s="2" t="s">
        <v>1526</v>
      </c>
    </row>
    <row r="338" ht="14.25" customHeight="1">
      <c r="A338" s="2" t="s">
        <v>824</v>
      </c>
      <c r="B338" s="2" t="s">
        <v>825</v>
      </c>
      <c r="C338" s="2" t="s">
        <v>826</v>
      </c>
      <c r="D338" s="2">
        <v>60.0</v>
      </c>
      <c r="E338" s="2" t="s">
        <v>22</v>
      </c>
      <c r="F338" s="2" t="s">
        <v>133</v>
      </c>
      <c r="G338" s="2" t="s">
        <v>827</v>
      </c>
      <c r="H338" s="2" t="s">
        <v>828</v>
      </c>
      <c r="I338" s="2" t="s">
        <v>1527</v>
      </c>
      <c r="J338" s="3">
        <v>45053.0</v>
      </c>
      <c r="K338" s="2" t="s">
        <v>1528</v>
      </c>
      <c r="L338" s="2" t="s">
        <v>98</v>
      </c>
      <c r="M338" s="2">
        <v>275.44</v>
      </c>
      <c r="N338" s="2">
        <v>2.0</v>
      </c>
      <c r="O338" s="2" t="s">
        <v>51</v>
      </c>
      <c r="P338" s="2">
        <v>4.0</v>
      </c>
      <c r="Q338" s="2">
        <v>54.0</v>
      </c>
      <c r="R338" s="3">
        <v>45059.0</v>
      </c>
      <c r="S338" s="2" t="s">
        <v>1529</v>
      </c>
    </row>
    <row r="339" ht="14.25" customHeight="1">
      <c r="A339" s="2" t="s">
        <v>359</v>
      </c>
      <c r="B339" s="2" t="s">
        <v>360</v>
      </c>
      <c r="C339" s="2" t="s">
        <v>361</v>
      </c>
      <c r="D339" s="2">
        <v>31.0</v>
      </c>
      <c r="E339" s="2" t="s">
        <v>45</v>
      </c>
      <c r="F339" s="2" t="s">
        <v>133</v>
      </c>
      <c r="G339" s="2" t="s">
        <v>362</v>
      </c>
      <c r="H339" s="2" t="s">
        <v>363</v>
      </c>
      <c r="I339" s="2" t="s">
        <v>1530</v>
      </c>
      <c r="J339" s="3">
        <v>45148.0</v>
      </c>
      <c r="K339" s="2" t="s">
        <v>1531</v>
      </c>
      <c r="L339" s="2" t="s">
        <v>511</v>
      </c>
      <c r="M339" s="2">
        <v>441.03</v>
      </c>
      <c r="N339" s="2">
        <v>2.0</v>
      </c>
      <c r="O339" s="2" t="s">
        <v>29</v>
      </c>
      <c r="P339" s="2">
        <v>3.0</v>
      </c>
      <c r="Q339" s="2">
        <v>62.0</v>
      </c>
      <c r="R339" s="3">
        <v>45151.0</v>
      </c>
      <c r="S339" s="2" t="s">
        <v>1532</v>
      </c>
    </row>
    <row r="340" ht="14.25" customHeight="1">
      <c r="A340" s="2" t="s">
        <v>386</v>
      </c>
      <c r="B340" s="2" t="s">
        <v>387</v>
      </c>
      <c r="C340" s="2" t="s">
        <v>388</v>
      </c>
      <c r="D340" s="2">
        <v>40.0</v>
      </c>
      <c r="E340" s="2" t="s">
        <v>45</v>
      </c>
      <c r="F340" s="2" t="s">
        <v>161</v>
      </c>
      <c r="G340" s="2" t="s">
        <v>389</v>
      </c>
      <c r="H340" s="2" t="s">
        <v>390</v>
      </c>
      <c r="I340" s="2" t="s">
        <v>1533</v>
      </c>
      <c r="J340" s="3">
        <v>45285.0</v>
      </c>
      <c r="K340" s="2" t="s">
        <v>1534</v>
      </c>
      <c r="L340" s="2" t="s">
        <v>301</v>
      </c>
      <c r="M340" s="2">
        <v>129.75</v>
      </c>
      <c r="N340" s="2">
        <v>2.0</v>
      </c>
      <c r="O340" s="2" t="s">
        <v>51</v>
      </c>
      <c r="P340" s="2">
        <v>1.0</v>
      </c>
      <c r="Q340" s="2">
        <v>62.0</v>
      </c>
      <c r="R340" s="3">
        <v>45290.0</v>
      </c>
      <c r="S340" s="2" t="s">
        <v>1535</v>
      </c>
    </row>
    <row r="341" ht="14.25" customHeight="1">
      <c r="A341" s="2" t="s">
        <v>1325</v>
      </c>
      <c r="B341" s="2" t="s">
        <v>1326</v>
      </c>
      <c r="C341" s="2" t="s">
        <v>388</v>
      </c>
      <c r="D341" s="2">
        <v>18.0</v>
      </c>
      <c r="E341" s="2" t="s">
        <v>34</v>
      </c>
      <c r="F341" s="2" t="s">
        <v>213</v>
      </c>
      <c r="G341" s="2" t="s">
        <v>1327</v>
      </c>
      <c r="H341" s="2" t="s">
        <v>1328</v>
      </c>
      <c r="I341" s="2" t="s">
        <v>1536</v>
      </c>
      <c r="J341" s="3">
        <v>45682.0</v>
      </c>
      <c r="K341" s="2" t="s">
        <v>1537</v>
      </c>
      <c r="L341" s="2" t="s">
        <v>566</v>
      </c>
      <c r="M341" s="2">
        <v>477.52</v>
      </c>
      <c r="N341" s="2">
        <v>3.0</v>
      </c>
      <c r="O341" s="2" t="s">
        <v>78</v>
      </c>
      <c r="P341" s="2">
        <v>7.0</v>
      </c>
      <c r="Q341" s="2">
        <v>41.0</v>
      </c>
      <c r="R341" s="3">
        <v>45686.0</v>
      </c>
      <c r="S341" s="2" t="s">
        <v>1538</v>
      </c>
    </row>
    <row r="342" ht="14.25" customHeight="1">
      <c r="A342" s="2" t="s">
        <v>493</v>
      </c>
      <c r="B342" s="2" t="s">
        <v>494</v>
      </c>
      <c r="C342" s="2" t="s">
        <v>380</v>
      </c>
      <c r="D342" s="2">
        <v>57.0</v>
      </c>
      <c r="E342" s="2" t="s">
        <v>34</v>
      </c>
      <c r="F342" s="2" t="s">
        <v>213</v>
      </c>
      <c r="G342" s="2" t="s">
        <v>495</v>
      </c>
      <c r="H342" s="2" t="s">
        <v>496</v>
      </c>
      <c r="I342" s="2" t="s">
        <v>1539</v>
      </c>
      <c r="J342" s="3">
        <v>45453.0</v>
      </c>
      <c r="K342" s="2" t="s">
        <v>1540</v>
      </c>
      <c r="L342" s="2" t="s">
        <v>934</v>
      </c>
      <c r="M342" s="2">
        <v>107.47</v>
      </c>
      <c r="N342" s="2">
        <v>3.0</v>
      </c>
      <c r="O342" s="2" t="s">
        <v>89</v>
      </c>
      <c r="P342" s="2">
        <v>4.0</v>
      </c>
      <c r="Q342" s="2">
        <v>59.0</v>
      </c>
      <c r="R342" s="3">
        <v>45454.0</v>
      </c>
      <c r="S342" s="2" t="s">
        <v>1541</v>
      </c>
    </row>
    <row r="343" ht="14.25" customHeight="1">
      <c r="A343" s="2" t="s">
        <v>760</v>
      </c>
      <c r="B343" s="2" t="s">
        <v>761</v>
      </c>
      <c r="C343" s="2" t="s">
        <v>762</v>
      </c>
      <c r="D343" s="2">
        <v>27.0</v>
      </c>
      <c r="E343" s="2" t="s">
        <v>22</v>
      </c>
      <c r="F343" s="2" t="s">
        <v>35</v>
      </c>
      <c r="G343" s="2" t="s">
        <v>763</v>
      </c>
      <c r="H343" s="2" t="s">
        <v>764</v>
      </c>
      <c r="I343" s="2" t="s">
        <v>1542</v>
      </c>
      <c r="J343" s="3">
        <v>45185.0</v>
      </c>
      <c r="K343" s="2" t="s">
        <v>1543</v>
      </c>
      <c r="L343" s="2" t="s">
        <v>284</v>
      </c>
      <c r="M343" s="2">
        <v>158.53</v>
      </c>
      <c r="N343" s="2">
        <v>2.0</v>
      </c>
      <c r="O343" s="2" t="s">
        <v>29</v>
      </c>
      <c r="P343" s="2">
        <v>2.0</v>
      </c>
      <c r="Q343" s="2">
        <v>56.0</v>
      </c>
      <c r="R343" s="3">
        <v>45187.0</v>
      </c>
      <c r="S343" s="2" t="s">
        <v>1544</v>
      </c>
    </row>
    <row r="344" ht="14.25" customHeight="1">
      <c r="A344" s="2" t="s">
        <v>1450</v>
      </c>
      <c r="B344" s="2" t="s">
        <v>266</v>
      </c>
      <c r="C344" s="2" t="s">
        <v>1451</v>
      </c>
      <c r="D344" s="2">
        <v>30.0</v>
      </c>
      <c r="E344" s="2" t="s">
        <v>22</v>
      </c>
      <c r="F344" s="2" t="s">
        <v>213</v>
      </c>
      <c r="G344" s="2" t="s">
        <v>1452</v>
      </c>
      <c r="H344" s="2" t="s">
        <v>1453</v>
      </c>
      <c r="I344" s="2" t="s">
        <v>1545</v>
      </c>
      <c r="J344" s="3">
        <v>45423.0</v>
      </c>
      <c r="K344" s="2" t="s">
        <v>1546</v>
      </c>
      <c r="L344" s="2" t="s">
        <v>511</v>
      </c>
      <c r="M344" s="2">
        <v>441.03</v>
      </c>
      <c r="N344" s="2">
        <v>2.0</v>
      </c>
      <c r="O344" s="2" t="s">
        <v>56</v>
      </c>
      <c r="P344" s="2">
        <v>4.0</v>
      </c>
      <c r="Q344" s="2">
        <v>55.0</v>
      </c>
      <c r="R344" s="3">
        <v>45429.0</v>
      </c>
      <c r="S344" s="2" t="s">
        <v>1547</v>
      </c>
    </row>
    <row r="345" ht="14.25" customHeight="1">
      <c r="A345" s="2" t="s">
        <v>743</v>
      </c>
      <c r="B345" s="2" t="s">
        <v>744</v>
      </c>
      <c r="C345" s="2" t="s">
        <v>745</v>
      </c>
      <c r="D345" s="2">
        <v>43.0</v>
      </c>
      <c r="E345" s="2" t="s">
        <v>45</v>
      </c>
      <c r="F345" s="2" t="s">
        <v>152</v>
      </c>
      <c r="G345" s="2" t="s">
        <v>746</v>
      </c>
      <c r="H345" s="2" t="s">
        <v>747</v>
      </c>
      <c r="I345" s="2" t="s">
        <v>1548</v>
      </c>
      <c r="J345" s="3">
        <v>44966.0</v>
      </c>
      <c r="K345" s="2" t="s">
        <v>1549</v>
      </c>
      <c r="L345" s="2" t="s">
        <v>474</v>
      </c>
      <c r="M345" s="2">
        <v>87.09</v>
      </c>
      <c r="N345" s="2">
        <v>5.0</v>
      </c>
      <c r="O345" s="2" t="s">
        <v>56</v>
      </c>
      <c r="P345" s="2">
        <v>7.0</v>
      </c>
      <c r="Q345" s="2">
        <v>56.0</v>
      </c>
      <c r="R345" s="3">
        <v>44971.0</v>
      </c>
      <c r="S345" s="2" t="s">
        <v>1550</v>
      </c>
    </row>
    <row r="346" ht="14.25" customHeight="1">
      <c r="A346" s="2" t="s">
        <v>229</v>
      </c>
      <c r="B346" s="2" t="s">
        <v>59</v>
      </c>
      <c r="C346" s="2" t="s">
        <v>230</v>
      </c>
      <c r="D346" s="2">
        <v>52.0</v>
      </c>
      <c r="E346" s="2" t="s">
        <v>45</v>
      </c>
      <c r="F346" s="2" t="s">
        <v>35</v>
      </c>
      <c r="G346" s="2" t="s">
        <v>231</v>
      </c>
      <c r="H346" s="2" t="s">
        <v>232</v>
      </c>
      <c r="I346" s="2" t="s">
        <v>1551</v>
      </c>
      <c r="J346" s="3">
        <v>45303.0</v>
      </c>
      <c r="K346" s="2" t="s">
        <v>1552</v>
      </c>
      <c r="L346" s="2" t="s">
        <v>175</v>
      </c>
      <c r="M346" s="2">
        <v>104.18</v>
      </c>
      <c r="N346" s="2">
        <v>4.0</v>
      </c>
      <c r="O346" s="2" t="s">
        <v>56</v>
      </c>
      <c r="P346" s="2">
        <v>3.0</v>
      </c>
      <c r="Q346" s="2">
        <v>40.0</v>
      </c>
      <c r="R346" s="3">
        <v>45308.0</v>
      </c>
      <c r="S346" s="2" t="s">
        <v>1553</v>
      </c>
    </row>
    <row r="347" ht="14.25" customHeight="1">
      <c r="A347" s="2" t="s">
        <v>513</v>
      </c>
      <c r="B347" s="2" t="s">
        <v>514</v>
      </c>
      <c r="C347" s="2" t="s">
        <v>515</v>
      </c>
      <c r="D347" s="2">
        <v>42.0</v>
      </c>
      <c r="E347" s="2" t="s">
        <v>45</v>
      </c>
      <c r="F347" s="2" t="s">
        <v>69</v>
      </c>
      <c r="G347" s="2" t="s">
        <v>516</v>
      </c>
      <c r="H347" s="2" t="s">
        <v>517</v>
      </c>
      <c r="I347" s="2" t="s">
        <v>1554</v>
      </c>
      <c r="J347" s="3">
        <v>45666.0</v>
      </c>
      <c r="K347" s="2" t="s">
        <v>1555</v>
      </c>
      <c r="L347" s="2" t="s">
        <v>977</v>
      </c>
      <c r="M347" s="2">
        <v>33.49</v>
      </c>
      <c r="N347" s="2">
        <v>1.0</v>
      </c>
      <c r="O347" s="2" t="s">
        <v>78</v>
      </c>
      <c r="P347" s="2">
        <v>4.0</v>
      </c>
      <c r="Q347" s="2">
        <v>61.0</v>
      </c>
      <c r="R347" s="3">
        <v>45668.0</v>
      </c>
      <c r="S347" s="2" t="s">
        <v>1446</v>
      </c>
    </row>
    <row r="348" ht="14.25" customHeight="1">
      <c r="A348" s="2" t="s">
        <v>1450</v>
      </c>
      <c r="B348" s="2" t="s">
        <v>266</v>
      </c>
      <c r="C348" s="2" t="s">
        <v>1451</v>
      </c>
      <c r="D348" s="2">
        <v>30.0</v>
      </c>
      <c r="E348" s="2" t="s">
        <v>22</v>
      </c>
      <c r="F348" s="2" t="s">
        <v>213</v>
      </c>
      <c r="G348" s="2" t="s">
        <v>1452</v>
      </c>
      <c r="H348" s="2" t="s">
        <v>1453</v>
      </c>
      <c r="I348" s="2" t="s">
        <v>1556</v>
      </c>
      <c r="J348" s="3">
        <v>45386.0</v>
      </c>
      <c r="K348" s="2" t="s">
        <v>1557</v>
      </c>
      <c r="L348" s="2" t="s">
        <v>646</v>
      </c>
      <c r="M348" s="2">
        <v>433.62</v>
      </c>
      <c r="N348" s="2">
        <v>4.0</v>
      </c>
      <c r="O348" s="2" t="s">
        <v>56</v>
      </c>
      <c r="P348" s="2">
        <v>1.0</v>
      </c>
      <c r="Q348" s="2">
        <v>56.0</v>
      </c>
      <c r="R348" s="3">
        <v>45392.0</v>
      </c>
      <c r="S348" s="2" t="s">
        <v>1558</v>
      </c>
    </row>
    <row r="349" ht="14.25" customHeight="1">
      <c r="A349" s="2" t="s">
        <v>1184</v>
      </c>
      <c r="B349" s="2" t="s">
        <v>33</v>
      </c>
      <c r="C349" s="2" t="s">
        <v>1185</v>
      </c>
      <c r="D349" s="2">
        <v>34.0</v>
      </c>
      <c r="E349" s="2" t="s">
        <v>45</v>
      </c>
      <c r="F349" s="2" t="s">
        <v>213</v>
      </c>
      <c r="G349" s="2" t="s">
        <v>1186</v>
      </c>
      <c r="H349" s="2" t="s">
        <v>1187</v>
      </c>
      <c r="I349" s="2" t="s">
        <v>1559</v>
      </c>
      <c r="J349" s="3">
        <v>45085.0</v>
      </c>
      <c r="K349" s="2" t="s">
        <v>1560</v>
      </c>
      <c r="L349" s="2" t="s">
        <v>192</v>
      </c>
      <c r="M349" s="2">
        <v>20.7</v>
      </c>
      <c r="N349" s="2">
        <v>1.0</v>
      </c>
      <c r="O349" s="2" t="s">
        <v>56</v>
      </c>
      <c r="P349" s="2">
        <v>5.0</v>
      </c>
      <c r="Q349" s="2">
        <v>51.0</v>
      </c>
      <c r="R349" s="3">
        <v>45086.0</v>
      </c>
      <c r="S349" s="2" t="s">
        <v>1561</v>
      </c>
    </row>
    <row r="350" ht="14.25" customHeight="1">
      <c r="A350" s="2" t="s">
        <v>436</v>
      </c>
      <c r="B350" s="2" t="s">
        <v>92</v>
      </c>
      <c r="C350" s="2" t="s">
        <v>437</v>
      </c>
      <c r="D350" s="2">
        <v>36.0</v>
      </c>
      <c r="E350" s="2" t="s">
        <v>34</v>
      </c>
      <c r="F350" s="2" t="s">
        <v>23</v>
      </c>
      <c r="G350" s="2" t="s">
        <v>438</v>
      </c>
      <c r="H350" s="2" t="s">
        <v>439</v>
      </c>
      <c r="I350" s="2" t="s">
        <v>1562</v>
      </c>
      <c r="J350" s="3">
        <v>45028.0</v>
      </c>
      <c r="K350" s="2" t="s">
        <v>1563</v>
      </c>
      <c r="L350" s="2" t="s">
        <v>511</v>
      </c>
      <c r="M350" s="2">
        <v>441.03</v>
      </c>
      <c r="N350" s="2">
        <v>2.0</v>
      </c>
      <c r="O350" s="2" t="s">
        <v>89</v>
      </c>
      <c r="P350" s="2">
        <v>4.0</v>
      </c>
      <c r="Q350" s="2">
        <v>60.0</v>
      </c>
      <c r="R350" s="3">
        <v>45033.0</v>
      </c>
      <c r="S350" s="2" t="s">
        <v>1564</v>
      </c>
    </row>
    <row r="351" ht="14.25" customHeight="1">
      <c r="A351" s="2" t="s">
        <v>1203</v>
      </c>
      <c r="B351" s="2" t="s">
        <v>1204</v>
      </c>
      <c r="C351" s="2" t="s">
        <v>1205</v>
      </c>
      <c r="D351" s="2">
        <v>50.0</v>
      </c>
      <c r="E351" s="2" t="s">
        <v>45</v>
      </c>
      <c r="F351" s="2" t="s">
        <v>161</v>
      </c>
      <c r="G351" s="2" t="s">
        <v>1206</v>
      </c>
      <c r="H351" s="2" t="s">
        <v>1207</v>
      </c>
      <c r="I351" s="2" t="s">
        <v>1565</v>
      </c>
      <c r="J351" s="3">
        <v>45183.0</v>
      </c>
      <c r="K351" s="2" t="s">
        <v>1566</v>
      </c>
      <c r="L351" s="2" t="s">
        <v>646</v>
      </c>
      <c r="M351" s="2">
        <v>433.62</v>
      </c>
      <c r="N351" s="2">
        <v>2.0</v>
      </c>
      <c r="O351" s="2" t="s">
        <v>56</v>
      </c>
      <c r="P351" s="2">
        <v>1.0</v>
      </c>
      <c r="Q351" s="2">
        <v>46.0</v>
      </c>
      <c r="R351" s="3">
        <v>45186.0</v>
      </c>
      <c r="S351" s="2" t="s">
        <v>1567</v>
      </c>
    </row>
    <row r="352" ht="14.25" customHeight="1">
      <c r="A352" s="2" t="s">
        <v>202</v>
      </c>
      <c r="B352" s="2" t="s">
        <v>203</v>
      </c>
      <c r="C352" s="2" t="s">
        <v>204</v>
      </c>
      <c r="D352" s="2">
        <v>39.0</v>
      </c>
      <c r="E352" s="2" t="s">
        <v>34</v>
      </c>
      <c r="F352" s="2" t="s">
        <v>152</v>
      </c>
      <c r="G352" s="2" t="s">
        <v>205</v>
      </c>
      <c r="H352" s="2" t="s">
        <v>206</v>
      </c>
      <c r="I352" s="2" t="s">
        <v>1568</v>
      </c>
      <c r="J352" s="3">
        <v>45387.0</v>
      </c>
      <c r="K352" s="2" t="s">
        <v>1569</v>
      </c>
      <c r="L352" s="2" t="s">
        <v>679</v>
      </c>
      <c r="M352" s="2">
        <v>424.82</v>
      </c>
      <c r="N352" s="2">
        <v>5.0</v>
      </c>
      <c r="O352" s="2" t="s">
        <v>89</v>
      </c>
      <c r="P352" s="2">
        <v>7.0</v>
      </c>
      <c r="Q352" s="2">
        <v>37.0</v>
      </c>
      <c r="R352" s="3">
        <v>45393.0</v>
      </c>
      <c r="S352" s="2" t="s">
        <v>1570</v>
      </c>
    </row>
    <row r="353" ht="14.25" customHeight="1">
      <c r="A353" s="2" t="s">
        <v>664</v>
      </c>
      <c r="B353" s="2" t="s">
        <v>665</v>
      </c>
      <c r="C353" s="2" t="s">
        <v>666</v>
      </c>
      <c r="D353" s="2">
        <v>38.0</v>
      </c>
      <c r="E353" s="2" t="s">
        <v>34</v>
      </c>
      <c r="F353" s="2" t="s">
        <v>213</v>
      </c>
      <c r="G353" s="2" t="s">
        <v>667</v>
      </c>
      <c r="H353" s="2" t="s">
        <v>668</v>
      </c>
      <c r="I353" s="2" t="s">
        <v>1571</v>
      </c>
      <c r="J353" s="3">
        <v>45496.0</v>
      </c>
      <c r="K353" s="2" t="s">
        <v>1572</v>
      </c>
      <c r="L353" s="2" t="s">
        <v>646</v>
      </c>
      <c r="M353" s="2">
        <v>433.62</v>
      </c>
      <c r="N353" s="2">
        <v>3.0</v>
      </c>
      <c r="O353" s="2" t="s">
        <v>89</v>
      </c>
      <c r="P353" s="2">
        <v>2.0</v>
      </c>
      <c r="Q353" s="2">
        <v>39.0</v>
      </c>
      <c r="R353" s="3">
        <v>45499.0</v>
      </c>
      <c r="S353" s="2" t="s">
        <v>1573</v>
      </c>
    </row>
    <row r="354" ht="14.25" customHeight="1">
      <c r="A354" s="2" t="s">
        <v>840</v>
      </c>
      <c r="B354" s="2" t="s">
        <v>841</v>
      </c>
      <c r="C354" s="2" t="s">
        <v>380</v>
      </c>
      <c r="D354" s="2">
        <v>37.0</v>
      </c>
      <c r="E354" s="2" t="s">
        <v>45</v>
      </c>
      <c r="F354" s="2" t="s">
        <v>213</v>
      </c>
      <c r="G354" s="2" t="s">
        <v>842</v>
      </c>
      <c r="H354" s="2" t="s">
        <v>843</v>
      </c>
      <c r="I354" s="2" t="s">
        <v>1574</v>
      </c>
      <c r="J354" s="3">
        <v>45187.0</v>
      </c>
      <c r="K354" s="2" t="s">
        <v>1575</v>
      </c>
      <c r="L354" s="2" t="s">
        <v>650</v>
      </c>
      <c r="M354" s="2">
        <v>235.63</v>
      </c>
      <c r="N354" s="2">
        <v>1.0</v>
      </c>
      <c r="O354" s="2" t="s">
        <v>78</v>
      </c>
      <c r="P354" s="2">
        <v>5.0</v>
      </c>
      <c r="Q354" s="2">
        <v>59.0</v>
      </c>
      <c r="R354" s="3">
        <v>45192.0</v>
      </c>
      <c r="S354" s="2" t="s">
        <v>1576</v>
      </c>
    </row>
    <row r="355" ht="14.25" customHeight="1">
      <c r="A355" s="2" t="s">
        <v>1335</v>
      </c>
      <c r="B355" s="2" t="s">
        <v>501</v>
      </c>
      <c r="C355" s="2" t="s">
        <v>1336</v>
      </c>
      <c r="D355" s="2">
        <v>40.0</v>
      </c>
      <c r="E355" s="2" t="s">
        <v>45</v>
      </c>
      <c r="F355" s="2" t="s">
        <v>213</v>
      </c>
      <c r="G355" s="2" t="s">
        <v>1337</v>
      </c>
      <c r="H355" s="2" t="s">
        <v>1338</v>
      </c>
      <c r="I355" s="2" t="s">
        <v>1577</v>
      </c>
      <c r="J355" s="3">
        <v>45190.0</v>
      </c>
      <c r="K355" s="2" t="s">
        <v>1578</v>
      </c>
      <c r="L355" s="2" t="s">
        <v>488</v>
      </c>
      <c r="M355" s="2">
        <v>421.7</v>
      </c>
      <c r="N355" s="2">
        <v>5.0</v>
      </c>
      <c r="O355" s="2" t="s">
        <v>51</v>
      </c>
      <c r="P355" s="2">
        <v>6.0</v>
      </c>
      <c r="Q355" s="2">
        <v>58.0</v>
      </c>
      <c r="R355" s="3">
        <v>45197.0</v>
      </c>
      <c r="S355" s="2" t="s">
        <v>1579</v>
      </c>
    </row>
    <row r="356" ht="14.25" customHeight="1">
      <c r="A356" s="2" t="s">
        <v>493</v>
      </c>
      <c r="B356" s="2" t="s">
        <v>494</v>
      </c>
      <c r="C356" s="2" t="s">
        <v>380</v>
      </c>
      <c r="D356" s="2">
        <v>57.0</v>
      </c>
      <c r="E356" s="2" t="s">
        <v>34</v>
      </c>
      <c r="F356" s="2" t="s">
        <v>213</v>
      </c>
      <c r="G356" s="2" t="s">
        <v>495</v>
      </c>
      <c r="H356" s="2" t="s">
        <v>496</v>
      </c>
      <c r="I356" s="2" t="s">
        <v>1580</v>
      </c>
      <c r="J356" s="3">
        <v>45479.0</v>
      </c>
      <c r="K356" s="2" t="s">
        <v>1581</v>
      </c>
      <c r="L356" s="2" t="s">
        <v>333</v>
      </c>
      <c r="M356" s="2">
        <v>77.84</v>
      </c>
      <c r="N356" s="2">
        <v>4.0</v>
      </c>
      <c r="O356" s="2" t="s">
        <v>78</v>
      </c>
      <c r="P356" s="2">
        <v>2.0</v>
      </c>
      <c r="Q356" s="2">
        <v>59.0</v>
      </c>
      <c r="R356" s="3">
        <v>45485.0</v>
      </c>
      <c r="S356" s="2" t="s">
        <v>1582</v>
      </c>
    </row>
    <row r="357" ht="14.25" customHeight="1">
      <c r="A357" s="2" t="s">
        <v>1231</v>
      </c>
      <c r="B357" s="2" t="s">
        <v>1232</v>
      </c>
      <c r="C357" s="2" t="s">
        <v>1233</v>
      </c>
      <c r="D357" s="2">
        <v>55.0</v>
      </c>
      <c r="E357" s="2" t="s">
        <v>34</v>
      </c>
      <c r="F357" s="2" t="s">
        <v>152</v>
      </c>
      <c r="G357" s="2" t="s">
        <v>1234</v>
      </c>
      <c r="H357" s="2" t="s">
        <v>1235</v>
      </c>
      <c r="I357" s="2" t="s">
        <v>1583</v>
      </c>
      <c r="J357" s="3">
        <v>44982.0</v>
      </c>
      <c r="K357" s="2" t="s">
        <v>1584</v>
      </c>
      <c r="L357" s="2" t="s">
        <v>474</v>
      </c>
      <c r="M357" s="2">
        <v>87.09</v>
      </c>
      <c r="N357" s="2">
        <v>2.0</v>
      </c>
      <c r="O357" s="2" t="s">
        <v>51</v>
      </c>
      <c r="P357" s="2">
        <v>3.0</v>
      </c>
      <c r="Q357" s="2">
        <v>62.0</v>
      </c>
      <c r="R357" s="3">
        <v>44987.0</v>
      </c>
      <c r="S357" s="2" t="s">
        <v>1585</v>
      </c>
    </row>
    <row r="358" ht="14.25" customHeight="1">
      <c r="A358" s="2" t="s">
        <v>1311</v>
      </c>
      <c r="B358" s="2" t="s">
        <v>1312</v>
      </c>
      <c r="C358" s="2" t="s">
        <v>1313</v>
      </c>
      <c r="D358" s="2">
        <v>43.0</v>
      </c>
      <c r="E358" s="2" t="s">
        <v>22</v>
      </c>
      <c r="F358" s="2" t="s">
        <v>133</v>
      </c>
      <c r="G358" s="2" t="s">
        <v>1314</v>
      </c>
      <c r="H358" s="2" t="s">
        <v>1315</v>
      </c>
      <c r="I358" s="2" t="s">
        <v>1586</v>
      </c>
      <c r="J358" s="3">
        <v>45397.0</v>
      </c>
      <c r="K358" s="2" t="s">
        <v>1587</v>
      </c>
      <c r="L358" s="2" t="s">
        <v>175</v>
      </c>
      <c r="M358" s="2">
        <v>104.18</v>
      </c>
      <c r="N358" s="2">
        <v>3.0</v>
      </c>
      <c r="O358" s="2" t="s">
        <v>89</v>
      </c>
      <c r="P358" s="2">
        <v>6.0</v>
      </c>
      <c r="Q358" s="2">
        <v>60.0</v>
      </c>
      <c r="R358" s="3">
        <v>45398.0</v>
      </c>
      <c r="S358" s="2" t="s">
        <v>1588</v>
      </c>
    </row>
    <row r="359" ht="14.25" customHeight="1">
      <c r="A359" s="2" t="s">
        <v>816</v>
      </c>
      <c r="B359" s="2" t="s">
        <v>817</v>
      </c>
      <c r="C359" s="2" t="s">
        <v>818</v>
      </c>
      <c r="D359" s="2">
        <v>42.0</v>
      </c>
      <c r="E359" s="2" t="s">
        <v>22</v>
      </c>
      <c r="F359" s="2" t="s">
        <v>69</v>
      </c>
      <c r="G359" s="2" t="s">
        <v>819</v>
      </c>
      <c r="H359" s="2" t="s">
        <v>820</v>
      </c>
      <c r="I359" s="2" t="s">
        <v>1589</v>
      </c>
      <c r="J359" s="3">
        <v>45474.0</v>
      </c>
      <c r="K359" s="2" t="s">
        <v>1590</v>
      </c>
      <c r="L359" s="2" t="s">
        <v>934</v>
      </c>
      <c r="M359" s="2">
        <v>107.47</v>
      </c>
      <c r="N359" s="2">
        <v>3.0</v>
      </c>
      <c r="O359" s="2" t="s">
        <v>56</v>
      </c>
      <c r="P359" s="2">
        <v>4.0</v>
      </c>
      <c r="Q359" s="2">
        <v>63.0</v>
      </c>
      <c r="R359" s="3">
        <v>45481.0</v>
      </c>
      <c r="S359" s="2" t="s">
        <v>1591</v>
      </c>
    </row>
    <row r="360" ht="14.25" customHeight="1">
      <c r="A360" s="2" t="s">
        <v>1072</v>
      </c>
      <c r="B360" s="2" t="s">
        <v>211</v>
      </c>
      <c r="C360" s="2" t="s">
        <v>1073</v>
      </c>
      <c r="D360" s="2">
        <v>55.0</v>
      </c>
      <c r="E360" s="2" t="s">
        <v>34</v>
      </c>
      <c r="F360" s="2" t="s">
        <v>152</v>
      </c>
      <c r="G360" s="2" t="s">
        <v>1074</v>
      </c>
      <c r="H360" s="2" t="s">
        <v>1075</v>
      </c>
      <c r="I360" s="2" t="s">
        <v>1592</v>
      </c>
      <c r="J360" s="3">
        <v>45045.0</v>
      </c>
      <c r="K360" s="2" t="s">
        <v>1593</v>
      </c>
      <c r="L360" s="2" t="s">
        <v>107</v>
      </c>
      <c r="M360" s="2">
        <v>48.45</v>
      </c>
      <c r="N360" s="2">
        <v>3.0</v>
      </c>
      <c r="O360" s="2" t="s">
        <v>56</v>
      </c>
      <c r="P360" s="2">
        <v>6.0</v>
      </c>
      <c r="Q360" s="2">
        <v>58.0</v>
      </c>
      <c r="R360" s="3">
        <v>45046.0</v>
      </c>
      <c r="S360" s="2" t="s">
        <v>1594</v>
      </c>
    </row>
    <row r="361" ht="14.25" customHeight="1">
      <c r="A361" s="2" t="s">
        <v>428</v>
      </c>
      <c r="B361" s="2" t="s">
        <v>429</v>
      </c>
      <c r="C361" s="2" t="s">
        <v>430</v>
      </c>
      <c r="D361" s="2">
        <v>28.0</v>
      </c>
      <c r="E361" s="2" t="s">
        <v>45</v>
      </c>
      <c r="F361" s="2" t="s">
        <v>69</v>
      </c>
      <c r="G361" s="2" t="s">
        <v>431</v>
      </c>
      <c r="H361" s="2" t="s">
        <v>432</v>
      </c>
      <c r="I361" s="2" t="s">
        <v>1595</v>
      </c>
      <c r="J361" s="3">
        <v>45600.0</v>
      </c>
      <c r="K361" s="2" t="s">
        <v>1596</v>
      </c>
      <c r="L361" s="2" t="s">
        <v>119</v>
      </c>
      <c r="M361" s="2">
        <v>257.06</v>
      </c>
      <c r="N361" s="2">
        <v>4.0</v>
      </c>
      <c r="O361" s="2" t="s">
        <v>89</v>
      </c>
      <c r="P361" s="2">
        <v>6.0</v>
      </c>
      <c r="Q361" s="2">
        <v>69.0</v>
      </c>
      <c r="R361" s="3">
        <v>45603.0</v>
      </c>
      <c r="S361" s="2" t="s">
        <v>1597</v>
      </c>
    </row>
    <row r="362" ht="14.25" customHeight="1">
      <c r="A362" s="2" t="s">
        <v>539</v>
      </c>
      <c r="B362" s="2" t="s">
        <v>540</v>
      </c>
      <c r="C362" s="2" t="s">
        <v>541</v>
      </c>
      <c r="D362" s="2">
        <v>33.0</v>
      </c>
      <c r="E362" s="2" t="s">
        <v>45</v>
      </c>
      <c r="F362" s="2" t="s">
        <v>161</v>
      </c>
      <c r="G362" s="2" t="s">
        <v>542</v>
      </c>
      <c r="H362" s="2" t="s">
        <v>543</v>
      </c>
      <c r="I362" s="2" t="s">
        <v>1598</v>
      </c>
      <c r="J362" s="3">
        <v>45553.0</v>
      </c>
      <c r="K362" s="2" t="s">
        <v>1599</v>
      </c>
      <c r="L362" s="2" t="s">
        <v>583</v>
      </c>
      <c r="M362" s="2">
        <v>403.03</v>
      </c>
      <c r="N362" s="2">
        <v>4.0</v>
      </c>
      <c r="O362" s="2" t="s">
        <v>89</v>
      </c>
      <c r="P362" s="2">
        <v>7.0</v>
      </c>
      <c r="Q362" s="2">
        <v>65.0</v>
      </c>
      <c r="R362" s="3">
        <v>45556.0</v>
      </c>
      <c r="S362" s="2" t="s">
        <v>1600</v>
      </c>
    </row>
    <row r="363" ht="14.25" customHeight="1">
      <c r="A363" s="2" t="s">
        <v>664</v>
      </c>
      <c r="B363" s="2" t="s">
        <v>665</v>
      </c>
      <c r="C363" s="2" t="s">
        <v>666</v>
      </c>
      <c r="D363" s="2">
        <v>38.0</v>
      </c>
      <c r="E363" s="2" t="s">
        <v>34</v>
      </c>
      <c r="F363" s="2" t="s">
        <v>213</v>
      </c>
      <c r="G363" s="2" t="s">
        <v>667</v>
      </c>
      <c r="H363" s="2" t="s">
        <v>668</v>
      </c>
      <c r="I363" s="2" t="s">
        <v>1601</v>
      </c>
      <c r="J363" s="3">
        <v>45059.0</v>
      </c>
      <c r="K363" s="2" t="s">
        <v>1602</v>
      </c>
      <c r="L363" s="2" t="s">
        <v>107</v>
      </c>
      <c r="M363" s="2">
        <v>48.45</v>
      </c>
      <c r="N363" s="2">
        <v>1.0</v>
      </c>
      <c r="O363" s="2" t="s">
        <v>89</v>
      </c>
      <c r="P363" s="2">
        <v>2.0</v>
      </c>
      <c r="Q363" s="2">
        <v>41.0</v>
      </c>
      <c r="R363" s="3">
        <v>45062.0</v>
      </c>
      <c r="S363" s="2" t="s">
        <v>1603</v>
      </c>
    </row>
    <row r="364" ht="14.25" customHeight="1">
      <c r="A364" s="2" t="s">
        <v>672</v>
      </c>
      <c r="B364" s="2" t="s">
        <v>673</v>
      </c>
      <c r="C364" s="2" t="s">
        <v>674</v>
      </c>
      <c r="D364" s="2">
        <v>68.0</v>
      </c>
      <c r="E364" s="2" t="s">
        <v>22</v>
      </c>
      <c r="F364" s="2" t="s">
        <v>213</v>
      </c>
      <c r="G364" s="2" t="s">
        <v>675</v>
      </c>
      <c r="H364" s="2" t="s">
        <v>676</v>
      </c>
      <c r="I364" s="2" t="s">
        <v>1604</v>
      </c>
      <c r="J364" s="3">
        <v>45007.0</v>
      </c>
      <c r="K364" s="2" t="s">
        <v>1605</v>
      </c>
      <c r="L364" s="2" t="s">
        <v>411</v>
      </c>
      <c r="M364" s="2">
        <v>44.5</v>
      </c>
      <c r="N364" s="2">
        <v>5.0</v>
      </c>
      <c r="O364" s="2" t="s">
        <v>89</v>
      </c>
      <c r="P364" s="2">
        <v>4.0</v>
      </c>
      <c r="Q364" s="2">
        <v>55.0</v>
      </c>
      <c r="R364" s="3">
        <v>45012.0</v>
      </c>
      <c r="S364" s="2" t="s">
        <v>1606</v>
      </c>
    </row>
    <row r="365" ht="14.25" customHeight="1">
      <c r="A365" s="2" t="s">
        <v>1607</v>
      </c>
      <c r="B365" s="2" t="s">
        <v>266</v>
      </c>
      <c r="C365" s="2" t="s">
        <v>1608</v>
      </c>
      <c r="D365" s="2">
        <v>62.0</v>
      </c>
      <c r="E365" s="2" t="s">
        <v>34</v>
      </c>
      <c r="F365" s="2" t="s">
        <v>35</v>
      </c>
      <c r="G365" s="2" t="s">
        <v>1609</v>
      </c>
      <c r="H365" s="2" t="s">
        <v>1610</v>
      </c>
      <c r="I365" s="2" t="s">
        <v>1611</v>
      </c>
      <c r="J365" s="3">
        <v>45678.0</v>
      </c>
      <c r="K365" s="2" t="s">
        <v>1612</v>
      </c>
      <c r="L365" s="2" t="s">
        <v>243</v>
      </c>
      <c r="M365" s="2">
        <v>128.14</v>
      </c>
      <c r="N365" s="2">
        <v>5.0</v>
      </c>
      <c r="O365" s="2" t="s">
        <v>78</v>
      </c>
      <c r="P365" s="2">
        <v>7.0</v>
      </c>
      <c r="Q365" s="2">
        <v>68.0</v>
      </c>
      <c r="R365" s="3">
        <v>45685.0</v>
      </c>
      <c r="S365" s="2" t="s">
        <v>1613</v>
      </c>
    </row>
    <row r="366" ht="14.25" customHeight="1">
      <c r="A366" s="2" t="s">
        <v>743</v>
      </c>
      <c r="B366" s="2" t="s">
        <v>744</v>
      </c>
      <c r="C366" s="2" t="s">
        <v>745</v>
      </c>
      <c r="D366" s="2">
        <v>43.0</v>
      </c>
      <c r="E366" s="2" t="s">
        <v>45</v>
      </c>
      <c r="F366" s="2" t="s">
        <v>152</v>
      </c>
      <c r="G366" s="2" t="s">
        <v>746</v>
      </c>
      <c r="H366" s="2" t="s">
        <v>747</v>
      </c>
      <c r="I366" s="2" t="s">
        <v>1614</v>
      </c>
      <c r="J366" s="3">
        <v>44978.0</v>
      </c>
      <c r="K366" s="2" t="s">
        <v>1615</v>
      </c>
      <c r="L366" s="2" t="s">
        <v>423</v>
      </c>
      <c r="M366" s="2">
        <v>369.03</v>
      </c>
      <c r="N366" s="2">
        <v>2.0</v>
      </c>
      <c r="O366" s="2" t="s">
        <v>89</v>
      </c>
      <c r="P366" s="2">
        <v>6.0</v>
      </c>
      <c r="Q366" s="2">
        <v>55.0</v>
      </c>
      <c r="R366" s="3">
        <v>44981.0</v>
      </c>
      <c r="S366" s="2" t="s">
        <v>1616</v>
      </c>
    </row>
    <row r="367" ht="14.25" customHeight="1">
      <c r="A367" s="2" t="s">
        <v>1231</v>
      </c>
      <c r="B367" s="2" t="s">
        <v>1232</v>
      </c>
      <c r="C367" s="2" t="s">
        <v>1233</v>
      </c>
      <c r="D367" s="2">
        <v>55.0</v>
      </c>
      <c r="E367" s="2" t="s">
        <v>34</v>
      </c>
      <c r="F367" s="2" t="s">
        <v>152</v>
      </c>
      <c r="G367" s="2" t="s">
        <v>1234</v>
      </c>
      <c r="H367" s="2" t="s">
        <v>1235</v>
      </c>
      <c r="I367" s="2" t="s">
        <v>1617</v>
      </c>
      <c r="J367" s="3">
        <v>45421.0</v>
      </c>
      <c r="K367" s="2" t="s">
        <v>1618</v>
      </c>
      <c r="L367" s="2" t="s">
        <v>119</v>
      </c>
      <c r="M367" s="2">
        <v>257.06</v>
      </c>
      <c r="N367" s="2">
        <v>1.0</v>
      </c>
      <c r="O367" s="2" t="s">
        <v>78</v>
      </c>
      <c r="P367" s="2">
        <v>4.0</v>
      </c>
      <c r="Q367" s="2">
        <v>42.0</v>
      </c>
      <c r="R367" s="3">
        <v>45423.0</v>
      </c>
      <c r="S367" s="2" t="s">
        <v>1619</v>
      </c>
    </row>
    <row r="368" ht="14.25" customHeight="1">
      <c r="A368" s="2" t="s">
        <v>194</v>
      </c>
      <c r="B368" s="2" t="s">
        <v>195</v>
      </c>
      <c r="C368" s="2" t="s">
        <v>196</v>
      </c>
      <c r="D368" s="2">
        <v>23.0</v>
      </c>
      <c r="E368" s="2" t="s">
        <v>22</v>
      </c>
      <c r="F368" s="2" t="s">
        <v>83</v>
      </c>
      <c r="G368" s="2" t="s">
        <v>197</v>
      </c>
      <c r="H368" s="2" t="s">
        <v>198</v>
      </c>
      <c r="I368" s="2" t="s">
        <v>1620</v>
      </c>
      <c r="J368" s="3">
        <v>45225.0</v>
      </c>
      <c r="K368" s="2" t="s">
        <v>1621</v>
      </c>
      <c r="L368" s="2" t="s">
        <v>864</v>
      </c>
      <c r="M368" s="2">
        <v>292.15</v>
      </c>
      <c r="N368" s="2">
        <v>3.0</v>
      </c>
      <c r="O368" s="2" t="s">
        <v>56</v>
      </c>
      <c r="P368" s="2">
        <v>3.0</v>
      </c>
      <c r="Q368" s="2">
        <v>51.0</v>
      </c>
      <c r="R368" s="3">
        <v>45227.0</v>
      </c>
      <c r="S368" s="2" t="s">
        <v>1622</v>
      </c>
    </row>
    <row r="369" ht="14.25" customHeight="1">
      <c r="A369" s="2" t="s">
        <v>1239</v>
      </c>
      <c r="B369" s="2" t="s">
        <v>59</v>
      </c>
      <c r="C369" s="2" t="s">
        <v>1240</v>
      </c>
      <c r="D369" s="2">
        <v>40.0</v>
      </c>
      <c r="E369" s="2" t="s">
        <v>22</v>
      </c>
      <c r="F369" s="2" t="s">
        <v>69</v>
      </c>
      <c r="G369" s="2" t="s">
        <v>1241</v>
      </c>
      <c r="H369" s="2" t="s">
        <v>1242</v>
      </c>
      <c r="I369" s="2" t="s">
        <v>1623</v>
      </c>
      <c r="J369" s="3">
        <v>45193.0</v>
      </c>
      <c r="K369" s="2" t="s">
        <v>1624</v>
      </c>
      <c r="L369" s="2" t="s">
        <v>239</v>
      </c>
      <c r="M369" s="2">
        <v>282.63</v>
      </c>
      <c r="N369" s="2">
        <v>2.0</v>
      </c>
      <c r="O369" s="2" t="s">
        <v>51</v>
      </c>
      <c r="P369" s="2">
        <v>6.0</v>
      </c>
      <c r="Q369" s="2">
        <v>62.0</v>
      </c>
      <c r="R369" s="3">
        <v>45194.0</v>
      </c>
      <c r="S369" s="2" t="s">
        <v>1625</v>
      </c>
    </row>
    <row r="370" ht="14.25" customHeight="1">
      <c r="A370" s="2" t="s">
        <v>158</v>
      </c>
      <c r="B370" s="2" t="s">
        <v>159</v>
      </c>
      <c r="C370" s="2" t="s">
        <v>160</v>
      </c>
      <c r="D370" s="2">
        <v>46.0</v>
      </c>
      <c r="E370" s="2" t="s">
        <v>22</v>
      </c>
      <c r="F370" s="2" t="s">
        <v>161</v>
      </c>
      <c r="G370" s="2" t="s">
        <v>162</v>
      </c>
      <c r="H370" s="2" t="s">
        <v>163</v>
      </c>
      <c r="I370" s="2" t="s">
        <v>1626</v>
      </c>
      <c r="J370" s="3">
        <v>45473.0</v>
      </c>
      <c r="K370" s="2" t="s">
        <v>1627</v>
      </c>
      <c r="L370" s="2" t="s">
        <v>166</v>
      </c>
      <c r="M370" s="2">
        <v>272.51</v>
      </c>
      <c r="N370" s="2">
        <v>3.0</v>
      </c>
      <c r="O370" s="2" t="s">
        <v>29</v>
      </c>
      <c r="P370" s="2">
        <v>5.0</v>
      </c>
      <c r="Q370" s="2">
        <v>66.0</v>
      </c>
      <c r="R370" s="3">
        <v>45479.0</v>
      </c>
      <c r="S370" s="2" t="s">
        <v>1628</v>
      </c>
    </row>
    <row r="371" ht="14.25" customHeight="1">
      <c r="A371" s="2" t="s">
        <v>413</v>
      </c>
      <c r="B371" s="2" t="s">
        <v>414</v>
      </c>
      <c r="C371" s="2" t="s">
        <v>415</v>
      </c>
      <c r="D371" s="2">
        <v>52.0</v>
      </c>
      <c r="E371" s="2" t="s">
        <v>45</v>
      </c>
      <c r="F371" s="2" t="s">
        <v>213</v>
      </c>
      <c r="G371" s="2" t="s">
        <v>416</v>
      </c>
      <c r="H371" s="2" t="s">
        <v>417</v>
      </c>
      <c r="I371" s="2" t="s">
        <v>1629</v>
      </c>
      <c r="J371" s="3">
        <v>44975.0</v>
      </c>
      <c r="K371" s="2" t="s">
        <v>1630</v>
      </c>
      <c r="L371" s="2" t="s">
        <v>74</v>
      </c>
      <c r="M371" s="2">
        <v>330.11</v>
      </c>
      <c r="N371" s="2">
        <v>2.0</v>
      </c>
      <c r="O371" s="2" t="s">
        <v>56</v>
      </c>
      <c r="P371" s="2">
        <v>3.0</v>
      </c>
      <c r="Q371" s="2">
        <v>55.0</v>
      </c>
      <c r="R371" s="3">
        <v>44976.0</v>
      </c>
      <c r="S371" s="2" t="s">
        <v>1631</v>
      </c>
    </row>
    <row r="372" ht="14.25" customHeight="1">
      <c r="A372" s="2" t="s">
        <v>149</v>
      </c>
      <c r="B372" s="2" t="s">
        <v>150</v>
      </c>
      <c r="C372" s="2" t="s">
        <v>151</v>
      </c>
      <c r="D372" s="2">
        <v>24.0</v>
      </c>
      <c r="E372" s="2" t="s">
        <v>22</v>
      </c>
      <c r="F372" s="2" t="s">
        <v>152</v>
      </c>
      <c r="G372" s="2" t="s">
        <v>153</v>
      </c>
      <c r="H372" s="2" t="s">
        <v>154</v>
      </c>
      <c r="I372" s="2" t="s">
        <v>1632</v>
      </c>
      <c r="J372" s="3">
        <v>45485.0</v>
      </c>
      <c r="K372" s="2" t="s">
        <v>1633</v>
      </c>
      <c r="L372" s="2" t="s">
        <v>227</v>
      </c>
      <c r="M372" s="2">
        <v>132.97</v>
      </c>
      <c r="N372" s="2">
        <v>2.0</v>
      </c>
      <c r="O372" s="2" t="s">
        <v>51</v>
      </c>
      <c r="P372" s="2">
        <v>4.0</v>
      </c>
      <c r="Q372" s="2">
        <v>40.0</v>
      </c>
      <c r="R372" s="3">
        <v>45487.0</v>
      </c>
      <c r="S372" s="2" t="s">
        <v>1634</v>
      </c>
    </row>
    <row r="373" ht="14.25" customHeight="1">
      <c r="A373" s="2" t="s">
        <v>528</v>
      </c>
      <c r="B373" s="2" t="s">
        <v>529</v>
      </c>
      <c r="C373" s="2" t="s">
        <v>530</v>
      </c>
      <c r="D373" s="2">
        <v>32.0</v>
      </c>
      <c r="E373" s="2" t="s">
        <v>45</v>
      </c>
      <c r="F373" s="2" t="s">
        <v>83</v>
      </c>
      <c r="G373" s="2" t="s">
        <v>531</v>
      </c>
      <c r="H373" s="2" t="s">
        <v>532</v>
      </c>
      <c r="I373" s="2" t="s">
        <v>1635</v>
      </c>
      <c r="J373" s="3">
        <v>45006.0</v>
      </c>
      <c r="K373" s="2" t="s">
        <v>1636</v>
      </c>
      <c r="L373" s="2" t="s">
        <v>474</v>
      </c>
      <c r="M373" s="2">
        <v>87.09</v>
      </c>
      <c r="N373" s="2">
        <v>2.0</v>
      </c>
      <c r="O373" s="2" t="s">
        <v>56</v>
      </c>
      <c r="P373" s="2">
        <v>4.0</v>
      </c>
      <c r="Q373" s="2">
        <v>67.0</v>
      </c>
      <c r="R373" s="3">
        <v>45010.0</v>
      </c>
      <c r="S373" s="2" t="s">
        <v>1637</v>
      </c>
    </row>
    <row r="374" ht="14.25" customHeight="1">
      <c r="A374" s="2" t="s">
        <v>326</v>
      </c>
      <c r="B374" s="2" t="s">
        <v>327</v>
      </c>
      <c r="C374" s="2" t="s">
        <v>328</v>
      </c>
      <c r="D374" s="2">
        <v>23.0</v>
      </c>
      <c r="E374" s="2" t="s">
        <v>22</v>
      </c>
      <c r="F374" s="2" t="s">
        <v>23</v>
      </c>
      <c r="G374" s="2" t="s">
        <v>329</v>
      </c>
      <c r="H374" s="2" t="s">
        <v>330</v>
      </c>
      <c r="I374" s="2" t="s">
        <v>1638</v>
      </c>
      <c r="J374" s="3">
        <v>45622.0</v>
      </c>
      <c r="K374" s="2" t="s">
        <v>1639</v>
      </c>
      <c r="L374" s="2" t="s">
        <v>934</v>
      </c>
      <c r="M374" s="2">
        <v>107.47</v>
      </c>
      <c r="N374" s="2">
        <v>5.0</v>
      </c>
      <c r="O374" s="2" t="s">
        <v>29</v>
      </c>
      <c r="P374" s="2">
        <v>4.0</v>
      </c>
      <c r="Q374" s="2">
        <v>37.0</v>
      </c>
      <c r="R374" s="3">
        <v>45628.0</v>
      </c>
      <c r="S374" s="2" t="s">
        <v>1640</v>
      </c>
    </row>
    <row r="375" ht="14.25" customHeight="1">
      <c r="A375" s="2" t="s">
        <v>724</v>
      </c>
      <c r="B375" s="2" t="s">
        <v>725</v>
      </c>
      <c r="C375" s="2" t="s">
        <v>726</v>
      </c>
      <c r="D375" s="2">
        <v>30.0</v>
      </c>
      <c r="E375" s="2" t="s">
        <v>22</v>
      </c>
      <c r="F375" s="2" t="s">
        <v>152</v>
      </c>
      <c r="G375" s="2" t="s">
        <v>727</v>
      </c>
      <c r="H375" s="2" t="s">
        <v>728</v>
      </c>
      <c r="I375" s="2" t="s">
        <v>1641</v>
      </c>
      <c r="J375" s="3">
        <v>45417.0</v>
      </c>
      <c r="K375" s="2" t="s">
        <v>1642</v>
      </c>
      <c r="L375" s="2" t="s">
        <v>934</v>
      </c>
      <c r="M375" s="2">
        <v>107.47</v>
      </c>
      <c r="N375" s="2">
        <v>5.0</v>
      </c>
      <c r="O375" s="2" t="s">
        <v>89</v>
      </c>
      <c r="P375" s="2">
        <v>4.0</v>
      </c>
      <c r="Q375" s="2">
        <v>47.0</v>
      </c>
      <c r="R375" s="3">
        <v>45424.0</v>
      </c>
      <c r="S375" s="2" t="s">
        <v>1643</v>
      </c>
    </row>
    <row r="376" ht="14.25" customHeight="1">
      <c r="A376" s="2" t="s">
        <v>639</v>
      </c>
      <c r="B376" s="2" t="s">
        <v>640</v>
      </c>
      <c r="C376" s="2" t="s">
        <v>641</v>
      </c>
      <c r="D376" s="2">
        <v>45.0</v>
      </c>
      <c r="E376" s="2" t="s">
        <v>45</v>
      </c>
      <c r="F376" s="2" t="s">
        <v>83</v>
      </c>
      <c r="G376" s="2" t="s">
        <v>642</v>
      </c>
      <c r="H376" s="2" t="s">
        <v>643</v>
      </c>
      <c r="I376" s="2" t="s">
        <v>1644</v>
      </c>
      <c r="J376" s="3">
        <v>45446.0</v>
      </c>
      <c r="K376" s="2" t="s">
        <v>1645</v>
      </c>
      <c r="L376" s="2" t="s">
        <v>556</v>
      </c>
      <c r="M376" s="2">
        <v>133.62</v>
      </c>
      <c r="N376" s="2">
        <v>1.0</v>
      </c>
      <c r="O376" s="2" t="s">
        <v>51</v>
      </c>
      <c r="P376" s="2">
        <v>5.0</v>
      </c>
      <c r="Q376" s="2">
        <v>39.0</v>
      </c>
      <c r="R376" s="3">
        <v>45451.0</v>
      </c>
      <c r="S376" s="2" t="s">
        <v>1646</v>
      </c>
    </row>
    <row r="377" ht="14.25" customHeight="1">
      <c r="A377" s="2" t="s">
        <v>428</v>
      </c>
      <c r="B377" s="2" t="s">
        <v>429</v>
      </c>
      <c r="C377" s="2" t="s">
        <v>430</v>
      </c>
      <c r="D377" s="2">
        <v>28.0</v>
      </c>
      <c r="E377" s="2" t="s">
        <v>45</v>
      </c>
      <c r="F377" s="2" t="s">
        <v>69</v>
      </c>
      <c r="G377" s="2" t="s">
        <v>431</v>
      </c>
      <c r="H377" s="2" t="s">
        <v>432</v>
      </c>
      <c r="I377" s="2" t="s">
        <v>1647</v>
      </c>
      <c r="J377" s="3">
        <v>45247.0</v>
      </c>
      <c r="K377" s="2" t="s">
        <v>1648</v>
      </c>
      <c r="L377" s="2" t="s">
        <v>98</v>
      </c>
      <c r="M377" s="2">
        <v>275.44</v>
      </c>
      <c r="N377" s="2">
        <v>2.0</v>
      </c>
      <c r="O377" s="2" t="s">
        <v>78</v>
      </c>
      <c r="P377" s="2">
        <v>3.0</v>
      </c>
      <c r="Q377" s="2">
        <v>43.0</v>
      </c>
      <c r="R377" s="3">
        <v>45251.0</v>
      </c>
      <c r="S377" s="2" t="s">
        <v>1649</v>
      </c>
    </row>
    <row r="378" ht="14.25" customHeight="1">
      <c r="A378" s="2" t="s">
        <v>918</v>
      </c>
      <c r="B378" s="2" t="s">
        <v>919</v>
      </c>
      <c r="C378" s="2" t="s">
        <v>920</v>
      </c>
      <c r="D378" s="2">
        <v>24.0</v>
      </c>
      <c r="E378" s="2" t="s">
        <v>45</v>
      </c>
      <c r="F378" s="2" t="s">
        <v>213</v>
      </c>
      <c r="G378" s="2" t="s">
        <v>921</v>
      </c>
      <c r="H378" s="2" t="s">
        <v>922</v>
      </c>
      <c r="I378" s="2" t="s">
        <v>1650</v>
      </c>
      <c r="J378" s="3">
        <v>45113.0</v>
      </c>
      <c r="K378" s="2" t="s">
        <v>1651</v>
      </c>
      <c r="L378" s="2" t="s">
        <v>74</v>
      </c>
      <c r="M378" s="2">
        <v>330.11</v>
      </c>
      <c r="N378" s="2">
        <v>3.0</v>
      </c>
      <c r="O378" s="2" t="s">
        <v>51</v>
      </c>
      <c r="P378" s="2">
        <v>2.0</v>
      </c>
      <c r="Q378" s="2">
        <v>56.0</v>
      </c>
      <c r="R378" s="3">
        <v>45117.0</v>
      </c>
      <c r="S378" s="2" t="s">
        <v>1652</v>
      </c>
    </row>
    <row r="379" ht="14.25" customHeight="1">
      <c r="A379" s="2" t="s">
        <v>428</v>
      </c>
      <c r="B379" s="2" t="s">
        <v>429</v>
      </c>
      <c r="C379" s="2" t="s">
        <v>430</v>
      </c>
      <c r="D379" s="2">
        <v>28.0</v>
      </c>
      <c r="E379" s="2" t="s">
        <v>45</v>
      </c>
      <c r="F379" s="2" t="s">
        <v>69</v>
      </c>
      <c r="G379" s="2" t="s">
        <v>431</v>
      </c>
      <c r="H379" s="2" t="s">
        <v>432</v>
      </c>
      <c r="I379" s="2" t="s">
        <v>1653</v>
      </c>
      <c r="J379" s="3">
        <v>45307.0</v>
      </c>
      <c r="K379" s="2" t="s">
        <v>1654</v>
      </c>
      <c r="L379" s="2" t="s">
        <v>166</v>
      </c>
      <c r="M379" s="2">
        <v>272.51</v>
      </c>
      <c r="N379" s="2">
        <v>3.0</v>
      </c>
      <c r="O379" s="2" t="s">
        <v>29</v>
      </c>
      <c r="P379" s="2">
        <v>6.0</v>
      </c>
      <c r="Q379" s="2">
        <v>44.0</v>
      </c>
      <c r="R379" s="3">
        <v>45310.0</v>
      </c>
      <c r="S379" s="2" t="s">
        <v>1655</v>
      </c>
    </row>
    <row r="380" ht="14.25" customHeight="1">
      <c r="A380" s="2" t="s">
        <v>698</v>
      </c>
      <c r="B380" s="2" t="s">
        <v>699</v>
      </c>
      <c r="C380" s="2" t="s">
        <v>700</v>
      </c>
      <c r="D380" s="2">
        <v>26.0</v>
      </c>
      <c r="E380" s="2" t="s">
        <v>45</v>
      </c>
      <c r="F380" s="2" t="s">
        <v>69</v>
      </c>
      <c r="G380" s="2" t="s">
        <v>701</v>
      </c>
      <c r="H380" s="2" t="s">
        <v>702</v>
      </c>
      <c r="I380" s="2" t="s">
        <v>1656</v>
      </c>
      <c r="J380" s="3">
        <v>45238.0</v>
      </c>
      <c r="K380" s="2" t="s">
        <v>1657</v>
      </c>
      <c r="L380" s="2" t="s">
        <v>128</v>
      </c>
      <c r="M380" s="2">
        <v>175.93</v>
      </c>
      <c r="N380" s="2">
        <v>4.0</v>
      </c>
      <c r="O380" s="2" t="s">
        <v>78</v>
      </c>
      <c r="P380" s="2">
        <v>6.0</v>
      </c>
      <c r="Q380" s="2">
        <v>54.0</v>
      </c>
      <c r="R380" s="3">
        <v>45240.0</v>
      </c>
      <c r="S380" s="2" t="s">
        <v>1658</v>
      </c>
    </row>
    <row r="381" ht="14.25" customHeight="1">
      <c r="A381" s="2" t="s">
        <v>1607</v>
      </c>
      <c r="B381" s="2" t="s">
        <v>266</v>
      </c>
      <c r="C381" s="2" t="s">
        <v>1608</v>
      </c>
      <c r="D381" s="2">
        <v>62.0</v>
      </c>
      <c r="E381" s="2" t="s">
        <v>34</v>
      </c>
      <c r="F381" s="2" t="s">
        <v>35</v>
      </c>
      <c r="G381" s="2" t="s">
        <v>1609</v>
      </c>
      <c r="H381" s="2" t="s">
        <v>1610</v>
      </c>
      <c r="I381" s="2" t="s">
        <v>1659</v>
      </c>
      <c r="J381" s="3">
        <v>45459.0</v>
      </c>
      <c r="K381" s="2" t="s">
        <v>1660</v>
      </c>
      <c r="L381" s="2" t="s">
        <v>423</v>
      </c>
      <c r="M381" s="2">
        <v>369.03</v>
      </c>
      <c r="N381" s="2">
        <v>3.0</v>
      </c>
      <c r="O381" s="2" t="s">
        <v>29</v>
      </c>
      <c r="P381" s="2">
        <v>6.0</v>
      </c>
      <c r="Q381" s="2">
        <v>57.0</v>
      </c>
      <c r="R381" s="3">
        <v>45461.0</v>
      </c>
      <c r="S381" s="2" t="s">
        <v>1661</v>
      </c>
    </row>
    <row r="382" ht="14.25" customHeight="1">
      <c r="A382" s="2" t="s">
        <v>1335</v>
      </c>
      <c r="B382" s="2" t="s">
        <v>501</v>
      </c>
      <c r="C382" s="2" t="s">
        <v>1336</v>
      </c>
      <c r="D382" s="2">
        <v>40.0</v>
      </c>
      <c r="E382" s="2" t="s">
        <v>45</v>
      </c>
      <c r="F382" s="2" t="s">
        <v>213</v>
      </c>
      <c r="G382" s="2" t="s">
        <v>1337</v>
      </c>
      <c r="H382" s="2" t="s">
        <v>1338</v>
      </c>
      <c r="I382" s="2" t="s">
        <v>1662</v>
      </c>
      <c r="J382" s="3">
        <v>45040.0</v>
      </c>
      <c r="K382" s="2" t="s">
        <v>1663</v>
      </c>
      <c r="L382" s="2" t="s">
        <v>337</v>
      </c>
      <c r="M382" s="2">
        <v>372.62</v>
      </c>
      <c r="N382" s="2">
        <v>2.0</v>
      </c>
      <c r="O382" s="2" t="s">
        <v>78</v>
      </c>
      <c r="P382" s="2">
        <v>2.0</v>
      </c>
      <c r="Q382" s="2">
        <v>47.0</v>
      </c>
      <c r="R382" s="3">
        <v>45041.0</v>
      </c>
      <c r="S382" s="2" t="s">
        <v>1664</v>
      </c>
    </row>
    <row r="383" ht="14.25" customHeight="1">
      <c r="A383" s="2" t="s">
        <v>342</v>
      </c>
      <c r="B383" s="2" t="s">
        <v>343</v>
      </c>
      <c r="C383" s="2" t="s">
        <v>344</v>
      </c>
      <c r="D383" s="2">
        <v>70.0</v>
      </c>
      <c r="E383" s="2" t="s">
        <v>22</v>
      </c>
      <c r="F383" s="2" t="s">
        <v>161</v>
      </c>
      <c r="G383" s="2" t="s">
        <v>345</v>
      </c>
      <c r="H383" s="2" t="s">
        <v>346</v>
      </c>
      <c r="I383" s="2" t="s">
        <v>1665</v>
      </c>
      <c r="J383" s="3">
        <v>45270.0</v>
      </c>
      <c r="K383" s="2" t="s">
        <v>1666</v>
      </c>
      <c r="L383" s="2" t="s">
        <v>411</v>
      </c>
      <c r="M383" s="2">
        <v>44.5</v>
      </c>
      <c r="N383" s="2">
        <v>1.0</v>
      </c>
      <c r="O383" s="2" t="s">
        <v>56</v>
      </c>
      <c r="P383" s="2">
        <v>1.0</v>
      </c>
      <c r="Q383" s="2">
        <v>37.0</v>
      </c>
      <c r="R383" s="3">
        <v>45277.0</v>
      </c>
      <c r="S383" s="2" t="s">
        <v>1667</v>
      </c>
    </row>
    <row r="384" ht="14.25" customHeight="1">
      <c r="A384" s="2" t="s">
        <v>468</v>
      </c>
      <c r="B384" s="2" t="s">
        <v>101</v>
      </c>
      <c r="C384" s="2" t="s">
        <v>469</v>
      </c>
      <c r="D384" s="2">
        <v>33.0</v>
      </c>
      <c r="E384" s="2" t="s">
        <v>22</v>
      </c>
      <c r="F384" s="2" t="s">
        <v>161</v>
      </c>
      <c r="G384" s="2" t="s">
        <v>470</v>
      </c>
      <c r="H384" s="2" t="s">
        <v>471</v>
      </c>
      <c r="I384" s="2" t="s">
        <v>1668</v>
      </c>
      <c r="J384" s="3">
        <v>45060.0</v>
      </c>
      <c r="K384" s="2" t="s">
        <v>1669</v>
      </c>
      <c r="L384" s="2" t="s">
        <v>280</v>
      </c>
      <c r="M384" s="2">
        <v>157.64</v>
      </c>
      <c r="N384" s="2">
        <v>1.0</v>
      </c>
      <c r="O384" s="2" t="s">
        <v>89</v>
      </c>
      <c r="P384" s="2">
        <v>7.0</v>
      </c>
      <c r="Q384" s="2">
        <v>48.0</v>
      </c>
      <c r="R384" s="3">
        <v>45067.0</v>
      </c>
      <c r="S384" s="2" t="s">
        <v>1670</v>
      </c>
    </row>
    <row r="385" ht="14.25" customHeight="1">
      <c r="A385" s="2" t="s">
        <v>185</v>
      </c>
      <c r="B385" s="2" t="s">
        <v>186</v>
      </c>
      <c r="C385" s="2" t="s">
        <v>187</v>
      </c>
      <c r="D385" s="2">
        <v>34.0</v>
      </c>
      <c r="E385" s="2" t="s">
        <v>22</v>
      </c>
      <c r="F385" s="2" t="s">
        <v>83</v>
      </c>
      <c r="G385" s="2" t="s">
        <v>188</v>
      </c>
      <c r="H385" s="2" t="s">
        <v>189</v>
      </c>
      <c r="I385" s="2" t="s">
        <v>1671</v>
      </c>
      <c r="J385" s="3">
        <v>45243.0</v>
      </c>
      <c r="K385" s="2" t="s">
        <v>1672</v>
      </c>
      <c r="L385" s="2" t="s">
        <v>192</v>
      </c>
      <c r="M385" s="2">
        <v>20.7</v>
      </c>
      <c r="N385" s="2">
        <v>3.0</v>
      </c>
      <c r="O385" s="2" t="s">
        <v>29</v>
      </c>
      <c r="P385" s="2">
        <v>5.0</v>
      </c>
      <c r="Q385" s="2">
        <v>46.0</v>
      </c>
      <c r="R385" s="3">
        <v>45245.0</v>
      </c>
      <c r="S385" s="2" t="s">
        <v>1673</v>
      </c>
    </row>
    <row r="386" ht="14.25" customHeight="1">
      <c r="A386" s="2" t="s">
        <v>632</v>
      </c>
      <c r="B386" s="2" t="s">
        <v>141</v>
      </c>
      <c r="C386" s="2" t="s">
        <v>633</v>
      </c>
      <c r="D386" s="2">
        <v>44.0</v>
      </c>
      <c r="E386" s="2" t="s">
        <v>45</v>
      </c>
      <c r="F386" s="2" t="s">
        <v>83</v>
      </c>
      <c r="G386" s="2" t="s">
        <v>634</v>
      </c>
      <c r="H386" s="2" t="s">
        <v>635</v>
      </c>
      <c r="I386" s="2" t="s">
        <v>1674</v>
      </c>
      <c r="J386" s="3">
        <v>45264.0</v>
      </c>
      <c r="K386" s="2" t="s">
        <v>1675</v>
      </c>
      <c r="L386" s="2" t="s">
        <v>243</v>
      </c>
      <c r="M386" s="2">
        <v>128.14</v>
      </c>
      <c r="N386" s="2">
        <v>3.0</v>
      </c>
      <c r="O386" s="2" t="s">
        <v>78</v>
      </c>
      <c r="P386" s="2">
        <v>2.0</v>
      </c>
      <c r="Q386" s="2">
        <v>49.0</v>
      </c>
      <c r="R386" s="3">
        <v>45270.0</v>
      </c>
      <c r="S386" s="2" t="s">
        <v>1676</v>
      </c>
    </row>
    <row r="387" ht="14.25" customHeight="1">
      <c r="A387" s="2" t="s">
        <v>639</v>
      </c>
      <c r="B387" s="2" t="s">
        <v>640</v>
      </c>
      <c r="C387" s="2" t="s">
        <v>641</v>
      </c>
      <c r="D387" s="2">
        <v>45.0</v>
      </c>
      <c r="E387" s="2" t="s">
        <v>45</v>
      </c>
      <c r="F387" s="2" t="s">
        <v>83</v>
      </c>
      <c r="G387" s="2" t="s">
        <v>642</v>
      </c>
      <c r="H387" s="2" t="s">
        <v>643</v>
      </c>
      <c r="I387" s="2" t="s">
        <v>1677</v>
      </c>
      <c r="J387" s="3">
        <v>45404.0</v>
      </c>
      <c r="K387" s="2" t="s">
        <v>1678</v>
      </c>
      <c r="L387" s="2" t="s">
        <v>280</v>
      </c>
      <c r="M387" s="2">
        <v>157.64</v>
      </c>
      <c r="N387" s="2">
        <v>3.0</v>
      </c>
      <c r="O387" s="2" t="s">
        <v>29</v>
      </c>
      <c r="P387" s="2">
        <v>4.0</v>
      </c>
      <c r="Q387" s="2">
        <v>66.0</v>
      </c>
      <c r="R387" s="3">
        <v>45405.0</v>
      </c>
      <c r="S387" s="2" t="s">
        <v>1392</v>
      </c>
    </row>
    <row r="388" ht="14.25" customHeight="1">
      <c r="A388" s="2" t="s">
        <v>31</v>
      </c>
      <c r="B388" s="2" t="s">
        <v>32</v>
      </c>
      <c r="C388" s="2" t="s">
        <v>33</v>
      </c>
      <c r="D388" s="2">
        <v>53.0</v>
      </c>
      <c r="E388" s="2" t="s">
        <v>34</v>
      </c>
      <c r="F388" s="2" t="s">
        <v>35</v>
      </c>
      <c r="G388" s="2" t="s">
        <v>36</v>
      </c>
      <c r="H388" s="2" t="s">
        <v>37</v>
      </c>
      <c r="I388" s="2" t="s">
        <v>1679</v>
      </c>
      <c r="J388" s="3">
        <v>45469.0</v>
      </c>
      <c r="K388" s="2" t="s">
        <v>1680</v>
      </c>
      <c r="L388" s="2" t="s">
        <v>337</v>
      </c>
      <c r="M388" s="2">
        <v>372.62</v>
      </c>
      <c r="N388" s="2">
        <v>1.0</v>
      </c>
      <c r="O388" s="2" t="s">
        <v>89</v>
      </c>
      <c r="P388" s="2">
        <v>1.0</v>
      </c>
      <c r="Q388" s="2">
        <v>66.0</v>
      </c>
      <c r="R388" s="3">
        <v>45471.0</v>
      </c>
      <c r="S388" s="2" t="s">
        <v>1681</v>
      </c>
    </row>
    <row r="389" ht="14.25" customHeight="1">
      <c r="A389" s="2" t="s">
        <v>1607</v>
      </c>
      <c r="B389" s="2" t="s">
        <v>266</v>
      </c>
      <c r="C389" s="2" t="s">
        <v>1608</v>
      </c>
      <c r="D389" s="2">
        <v>62.0</v>
      </c>
      <c r="E389" s="2" t="s">
        <v>34</v>
      </c>
      <c r="F389" s="2" t="s">
        <v>35</v>
      </c>
      <c r="G389" s="2" t="s">
        <v>1609</v>
      </c>
      <c r="H389" s="2" t="s">
        <v>1610</v>
      </c>
      <c r="I389" s="2" t="s">
        <v>1682</v>
      </c>
      <c r="J389" s="3">
        <v>45116.0</v>
      </c>
      <c r="K389" s="2" t="s">
        <v>1683</v>
      </c>
      <c r="L389" s="2" t="s">
        <v>88</v>
      </c>
      <c r="M389" s="2">
        <v>363.64</v>
      </c>
      <c r="N389" s="2">
        <v>4.0</v>
      </c>
      <c r="O389" s="2" t="s">
        <v>56</v>
      </c>
      <c r="P389" s="2">
        <v>6.0</v>
      </c>
      <c r="Q389" s="2">
        <v>56.0</v>
      </c>
      <c r="R389" s="3">
        <v>45121.0</v>
      </c>
      <c r="S389" s="2" t="s">
        <v>1684</v>
      </c>
    </row>
    <row r="390" ht="14.25" customHeight="1">
      <c r="A390" s="2" t="s">
        <v>229</v>
      </c>
      <c r="B390" s="2" t="s">
        <v>59</v>
      </c>
      <c r="C390" s="2" t="s">
        <v>230</v>
      </c>
      <c r="D390" s="2">
        <v>52.0</v>
      </c>
      <c r="E390" s="2" t="s">
        <v>45</v>
      </c>
      <c r="F390" s="2" t="s">
        <v>35</v>
      </c>
      <c r="G390" s="2" t="s">
        <v>231</v>
      </c>
      <c r="H390" s="2" t="s">
        <v>232</v>
      </c>
      <c r="I390" s="2" t="s">
        <v>1685</v>
      </c>
      <c r="J390" s="3">
        <v>45397.0</v>
      </c>
      <c r="K390" s="2" t="s">
        <v>1686</v>
      </c>
      <c r="L390" s="2" t="s">
        <v>466</v>
      </c>
      <c r="M390" s="2">
        <v>286.07</v>
      </c>
      <c r="N390" s="2">
        <v>5.0</v>
      </c>
      <c r="O390" s="2" t="s">
        <v>56</v>
      </c>
      <c r="P390" s="2">
        <v>1.0</v>
      </c>
      <c r="Q390" s="2">
        <v>41.0</v>
      </c>
      <c r="R390" s="3">
        <v>45404.0</v>
      </c>
      <c r="S390" s="2" t="s">
        <v>1687</v>
      </c>
    </row>
    <row r="391" ht="14.25" customHeight="1">
      <c r="A391" s="2" t="s">
        <v>539</v>
      </c>
      <c r="B391" s="2" t="s">
        <v>540</v>
      </c>
      <c r="C391" s="2" t="s">
        <v>541</v>
      </c>
      <c r="D391" s="2">
        <v>33.0</v>
      </c>
      <c r="E391" s="2" t="s">
        <v>45</v>
      </c>
      <c r="F391" s="2" t="s">
        <v>161</v>
      </c>
      <c r="G391" s="2" t="s">
        <v>542</v>
      </c>
      <c r="H391" s="2" t="s">
        <v>543</v>
      </c>
      <c r="I391" s="2" t="s">
        <v>1688</v>
      </c>
      <c r="J391" s="3">
        <v>45302.0</v>
      </c>
      <c r="K391" s="2" t="s">
        <v>1689</v>
      </c>
      <c r="L391" s="2" t="s">
        <v>239</v>
      </c>
      <c r="M391" s="2">
        <v>282.63</v>
      </c>
      <c r="N391" s="2">
        <v>3.0</v>
      </c>
      <c r="O391" s="2" t="s">
        <v>56</v>
      </c>
      <c r="P391" s="2">
        <v>4.0</v>
      </c>
      <c r="Q391" s="2">
        <v>66.0</v>
      </c>
      <c r="R391" s="3">
        <v>45307.0</v>
      </c>
      <c r="S391" s="2" t="s">
        <v>737</v>
      </c>
    </row>
    <row r="392" ht="14.25" customHeight="1">
      <c r="A392" s="2" t="s">
        <v>1450</v>
      </c>
      <c r="B392" s="2" t="s">
        <v>266</v>
      </c>
      <c r="C392" s="2" t="s">
        <v>1451</v>
      </c>
      <c r="D392" s="2">
        <v>30.0</v>
      </c>
      <c r="E392" s="2" t="s">
        <v>22</v>
      </c>
      <c r="F392" s="2" t="s">
        <v>213</v>
      </c>
      <c r="G392" s="2" t="s">
        <v>1452</v>
      </c>
      <c r="H392" s="2" t="s">
        <v>1453</v>
      </c>
      <c r="I392" s="2" t="s">
        <v>1690</v>
      </c>
      <c r="J392" s="3">
        <v>45361.0</v>
      </c>
      <c r="K392" s="2" t="s">
        <v>1691</v>
      </c>
      <c r="L392" s="2" t="s">
        <v>337</v>
      </c>
      <c r="M392" s="2">
        <v>372.62</v>
      </c>
      <c r="N392" s="2">
        <v>5.0</v>
      </c>
      <c r="O392" s="2" t="s">
        <v>29</v>
      </c>
      <c r="P392" s="2">
        <v>4.0</v>
      </c>
      <c r="Q392" s="2">
        <v>66.0</v>
      </c>
      <c r="R392" s="3">
        <v>45364.0</v>
      </c>
      <c r="S392" s="2" t="s">
        <v>1692</v>
      </c>
    </row>
    <row r="393" ht="14.25" customHeight="1">
      <c r="A393" s="2" t="s">
        <v>168</v>
      </c>
      <c r="B393" s="2" t="s">
        <v>169</v>
      </c>
      <c r="C393" s="2" t="s">
        <v>170</v>
      </c>
      <c r="D393" s="2">
        <v>36.0</v>
      </c>
      <c r="E393" s="2" t="s">
        <v>45</v>
      </c>
      <c r="F393" s="2" t="s">
        <v>133</v>
      </c>
      <c r="G393" s="2" t="s">
        <v>171</v>
      </c>
      <c r="H393" s="2" t="s">
        <v>172</v>
      </c>
      <c r="I393" s="2" t="s">
        <v>1693</v>
      </c>
      <c r="J393" s="3">
        <v>45091.0</v>
      </c>
      <c r="K393" s="2" t="s">
        <v>1694</v>
      </c>
      <c r="L393" s="2" t="s">
        <v>679</v>
      </c>
      <c r="M393" s="2">
        <v>424.82</v>
      </c>
      <c r="N393" s="2">
        <v>4.0</v>
      </c>
      <c r="O393" s="2" t="s">
        <v>89</v>
      </c>
      <c r="P393" s="2">
        <v>5.0</v>
      </c>
      <c r="Q393" s="2">
        <v>58.0</v>
      </c>
      <c r="R393" s="3">
        <v>45098.0</v>
      </c>
      <c r="S393" s="2" t="s">
        <v>1695</v>
      </c>
    </row>
    <row r="394" ht="14.25" customHeight="1">
      <c r="A394" s="2" t="s">
        <v>394</v>
      </c>
      <c r="B394" s="2" t="s">
        <v>395</v>
      </c>
      <c r="C394" s="2" t="s">
        <v>396</v>
      </c>
      <c r="D394" s="2">
        <v>70.0</v>
      </c>
      <c r="E394" s="2" t="s">
        <v>22</v>
      </c>
      <c r="F394" s="2" t="s">
        <v>23</v>
      </c>
      <c r="G394" s="2" t="s">
        <v>397</v>
      </c>
      <c r="H394" s="2" t="s">
        <v>398</v>
      </c>
      <c r="I394" s="2" t="s">
        <v>1696</v>
      </c>
      <c r="J394" s="3">
        <v>45172.0</v>
      </c>
      <c r="K394" s="2" t="s">
        <v>1697</v>
      </c>
      <c r="L394" s="2" t="s">
        <v>488</v>
      </c>
      <c r="M394" s="2">
        <v>421.7</v>
      </c>
      <c r="N394" s="2">
        <v>3.0</v>
      </c>
      <c r="O394" s="2" t="s">
        <v>56</v>
      </c>
      <c r="P394" s="2">
        <v>3.0</v>
      </c>
      <c r="Q394" s="2">
        <v>56.0</v>
      </c>
      <c r="R394" s="3">
        <v>45177.0</v>
      </c>
      <c r="S394" s="2" t="s">
        <v>1698</v>
      </c>
    </row>
    <row r="395" ht="14.25" customHeight="1">
      <c r="A395" s="2" t="s">
        <v>709</v>
      </c>
      <c r="B395" s="2" t="s">
        <v>710</v>
      </c>
      <c r="C395" s="2" t="s">
        <v>711</v>
      </c>
      <c r="D395" s="2">
        <v>32.0</v>
      </c>
      <c r="E395" s="2" t="s">
        <v>34</v>
      </c>
      <c r="F395" s="2" t="s">
        <v>23</v>
      </c>
      <c r="G395" s="2" t="s">
        <v>712</v>
      </c>
      <c r="H395" s="2" t="s">
        <v>713</v>
      </c>
      <c r="I395" s="2" t="s">
        <v>1699</v>
      </c>
      <c r="J395" s="3">
        <v>45343.0</v>
      </c>
      <c r="K395" s="2" t="s">
        <v>1700</v>
      </c>
      <c r="L395" s="2" t="s">
        <v>864</v>
      </c>
      <c r="M395" s="2">
        <v>292.15</v>
      </c>
      <c r="N395" s="2">
        <v>2.0</v>
      </c>
      <c r="O395" s="2" t="s">
        <v>51</v>
      </c>
      <c r="P395" s="2">
        <v>6.0</v>
      </c>
      <c r="Q395" s="2">
        <v>60.0</v>
      </c>
      <c r="R395" s="3">
        <v>45348.0</v>
      </c>
      <c r="S395" s="2" t="s">
        <v>1701</v>
      </c>
    </row>
    <row r="396" ht="14.25" customHeight="1">
      <c r="A396" s="2" t="s">
        <v>210</v>
      </c>
      <c r="B396" s="2" t="s">
        <v>211</v>
      </c>
      <c r="C396" s="2" t="s">
        <v>212</v>
      </c>
      <c r="D396" s="2">
        <v>33.0</v>
      </c>
      <c r="E396" s="2" t="s">
        <v>45</v>
      </c>
      <c r="F396" s="2" t="s">
        <v>213</v>
      </c>
      <c r="G396" s="2" t="s">
        <v>214</v>
      </c>
      <c r="H396" s="2" t="s">
        <v>215</v>
      </c>
      <c r="I396" s="2" t="s">
        <v>1702</v>
      </c>
      <c r="J396" s="3">
        <v>45657.0</v>
      </c>
      <c r="K396" s="2" t="s">
        <v>1703</v>
      </c>
      <c r="L396" s="2" t="s">
        <v>337</v>
      </c>
      <c r="M396" s="2">
        <v>372.62</v>
      </c>
      <c r="N396" s="2">
        <v>1.0</v>
      </c>
      <c r="O396" s="2" t="s">
        <v>51</v>
      </c>
      <c r="P396" s="2">
        <v>5.0</v>
      </c>
      <c r="Q396" s="2">
        <v>50.0</v>
      </c>
      <c r="R396" s="3">
        <v>45661.0</v>
      </c>
      <c r="S396" s="2" t="s">
        <v>1704</v>
      </c>
    </row>
    <row r="397" ht="14.25" customHeight="1">
      <c r="A397" s="2" t="s">
        <v>1607</v>
      </c>
      <c r="B397" s="2" t="s">
        <v>266</v>
      </c>
      <c r="C397" s="2" t="s">
        <v>1608</v>
      </c>
      <c r="D397" s="2">
        <v>62.0</v>
      </c>
      <c r="E397" s="2" t="s">
        <v>34</v>
      </c>
      <c r="F397" s="2" t="s">
        <v>35</v>
      </c>
      <c r="G397" s="2" t="s">
        <v>1609</v>
      </c>
      <c r="H397" s="2" t="s">
        <v>1610</v>
      </c>
      <c r="I397" s="2" t="s">
        <v>1705</v>
      </c>
      <c r="J397" s="3">
        <v>45340.0</v>
      </c>
      <c r="K397" s="2" t="s">
        <v>1706</v>
      </c>
      <c r="L397" s="2" t="s">
        <v>107</v>
      </c>
      <c r="M397" s="2">
        <v>48.45</v>
      </c>
      <c r="N397" s="2">
        <v>3.0</v>
      </c>
      <c r="O397" s="2" t="s">
        <v>51</v>
      </c>
      <c r="P397" s="2">
        <v>5.0</v>
      </c>
      <c r="Q397" s="2">
        <v>42.0</v>
      </c>
      <c r="R397" s="3">
        <v>45347.0</v>
      </c>
      <c r="S397" s="2" t="s">
        <v>1707</v>
      </c>
    </row>
    <row r="398" ht="14.25" customHeight="1">
      <c r="A398" s="2" t="s">
        <v>664</v>
      </c>
      <c r="B398" s="2" t="s">
        <v>665</v>
      </c>
      <c r="C398" s="2" t="s">
        <v>666</v>
      </c>
      <c r="D398" s="2">
        <v>38.0</v>
      </c>
      <c r="E398" s="2" t="s">
        <v>34</v>
      </c>
      <c r="F398" s="2" t="s">
        <v>213</v>
      </c>
      <c r="G398" s="2" t="s">
        <v>667</v>
      </c>
      <c r="H398" s="2" t="s">
        <v>668</v>
      </c>
      <c r="I398" s="2" t="s">
        <v>1708</v>
      </c>
      <c r="J398" s="3">
        <v>45312.0</v>
      </c>
      <c r="K398" s="2" t="s">
        <v>1709</v>
      </c>
      <c r="L398" s="2" t="s">
        <v>138</v>
      </c>
      <c r="M398" s="2">
        <v>190.1</v>
      </c>
      <c r="N398" s="2">
        <v>3.0</v>
      </c>
      <c r="O398" s="2" t="s">
        <v>89</v>
      </c>
      <c r="P398" s="2">
        <v>3.0</v>
      </c>
      <c r="Q398" s="2">
        <v>41.0</v>
      </c>
      <c r="R398" s="3">
        <v>45315.0</v>
      </c>
      <c r="S398" s="2" t="s">
        <v>1710</v>
      </c>
    </row>
    <row r="399" ht="14.25" customHeight="1">
      <c r="A399" s="2" t="s">
        <v>1607</v>
      </c>
      <c r="B399" s="2" t="s">
        <v>266</v>
      </c>
      <c r="C399" s="2" t="s">
        <v>1608</v>
      </c>
      <c r="D399" s="2">
        <v>62.0</v>
      </c>
      <c r="E399" s="2" t="s">
        <v>34</v>
      </c>
      <c r="F399" s="2" t="s">
        <v>35</v>
      </c>
      <c r="G399" s="2" t="s">
        <v>1609</v>
      </c>
      <c r="H399" s="2" t="s">
        <v>1610</v>
      </c>
      <c r="I399" s="2" t="s">
        <v>1711</v>
      </c>
      <c r="J399" s="3">
        <v>45344.0</v>
      </c>
      <c r="K399" s="2" t="s">
        <v>1712</v>
      </c>
      <c r="L399" s="2" t="s">
        <v>218</v>
      </c>
      <c r="M399" s="2">
        <v>461.07</v>
      </c>
      <c r="N399" s="2">
        <v>4.0</v>
      </c>
      <c r="O399" s="2" t="s">
        <v>51</v>
      </c>
      <c r="P399" s="2">
        <v>1.0</v>
      </c>
      <c r="Q399" s="2">
        <v>66.0</v>
      </c>
      <c r="R399" s="3">
        <v>45346.0</v>
      </c>
      <c r="S399" s="2" t="s">
        <v>1713</v>
      </c>
    </row>
    <row r="400" ht="14.25" customHeight="1">
      <c r="A400" s="2" t="s">
        <v>318</v>
      </c>
      <c r="B400" s="2" t="s">
        <v>319</v>
      </c>
      <c r="C400" s="2" t="s">
        <v>320</v>
      </c>
      <c r="D400" s="2">
        <v>29.0</v>
      </c>
      <c r="E400" s="2" t="s">
        <v>45</v>
      </c>
      <c r="F400" s="2" t="s">
        <v>83</v>
      </c>
      <c r="G400" s="2" t="s">
        <v>321</v>
      </c>
      <c r="H400" s="2" t="s">
        <v>322</v>
      </c>
      <c r="I400" s="2" t="s">
        <v>1714</v>
      </c>
      <c r="J400" s="3">
        <v>45295.0</v>
      </c>
      <c r="K400" s="2" t="s">
        <v>1715</v>
      </c>
      <c r="L400" s="2" t="s">
        <v>280</v>
      </c>
      <c r="M400" s="2">
        <v>157.64</v>
      </c>
      <c r="N400" s="2">
        <v>5.0</v>
      </c>
      <c r="O400" s="2" t="s">
        <v>29</v>
      </c>
      <c r="P400" s="2">
        <v>2.0</v>
      </c>
      <c r="Q400" s="2">
        <v>46.0</v>
      </c>
      <c r="R400" s="3">
        <v>45301.0</v>
      </c>
      <c r="S400" s="2" t="s">
        <v>1716</v>
      </c>
    </row>
    <row r="401" ht="14.25" customHeight="1">
      <c r="A401" s="2" t="s">
        <v>194</v>
      </c>
      <c r="B401" s="2" t="s">
        <v>195</v>
      </c>
      <c r="C401" s="2" t="s">
        <v>196</v>
      </c>
      <c r="D401" s="2">
        <v>23.0</v>
      </c>
      <c r="E401" s="2" t="s">
        <v>22</v>
      </c>
      <c r="F401" s="2" t="s">
        <v>83</v>
      </c>
      <c r="G401" s="2" t="s">
        <v>197</v>
      </c>
      <c r="H401" s="2" t="s">
        <v>198</v>
      </c>
      <c r="I401" s="2" t="s">
        <v>1717</v>
      </c>
      <c r="J401" s="3">
        <v>45477.0</v>
      </c>
      <c r="K401" s="2" t="s">
        <v>1718</v>
      </c>
      <c r="L401" s="2" t="s">
        <v>630</v>
      </c>
      <c r="M401" s="2">
        <v>445.81</v>
      </c>
      <c r="N401" s="2">
        <v>3.0</v>
      </c>
      <c r="O401" s="2" t="s">
        <v>29</v>
      </c>
      <c r="P401" s="2">
        <v>1.0</v>
      </c>
      <c r="Q401" s="2">
        <v>37.0</v>
      </c>
      <c r="R401" s="3">
        <v>45478.0</v>
      </c>
      <c r="S401" s="2" t="s">
        <v>1719</v>
      </c>
    </row>
    <row r="402" ht="14.25" customHeight="1">
      <c r="A402" s="2" t="s">
        <v>1720</v>
      </c>
      <c r="B402" s="2" t="s">
        <v>1721</v>
      </c>
      <c r="C402" s="2" t="s">
        <v>361</v>
      </c>
      <c r="D402" s="2">
        <v>34.0</v>
      </c>
      <c r="E402" s="2" t="s">
        <v>45</v>
      </c>
      <c r="F402" s="2" t="s">
        <v>152</v>
      </c>
      <c r="G402" s="2" t="s">
        <v>1722</v>
      </c>
      <c r="H402" s="2" t="s">
        <v>1723</v>
      </c>
      <c r="I402" s="2" t="s">
        <v>1724</v>
      </c>
      <c r="J402" s="3">
        <v>45646.0</v>
      </c>
      <c r="K402" s="2" t="s">
        <v>1725</v>
      </c>
      <c r="L402" s="2" t="s">
        <v>316</v>
      </c>
      <c r="M402" s="2">
        <v>481.48</v>
      </c>
      <c r="N402" s="2">
        <v>4.0</v>
      </c>
      <c r="O402" s="2" t="s">
        <v>51</v>
      </c>
      <c r="P402" s="2">
        <v>4.0</v>
      </c>
      <c r="Q402" s="2">
        <v>38.0</v>
      </c>
      <c r="R402" s="3">
        <v>45647.0</v>
      </c>
      <c r="S402" s="2" t="s">
        <v>1726</v>
      </c>
    </row>
    <row r="403" ht="14.25" customHeight="1">
      <c r="A403" s="2" t="s">
        <v>386</v>
      </c>
      <c r="B403" s="2" t="s">
        <v>387</v>
      </c>
      <c r="C403" s="2" t="s">
        <v>388</v>
      </c>
      <c r="D403" s="2">
        <v>40.0</v>
      </c>
      <c r="E403" s="2" t="s">
        <v>45</v>
      </c>
      <c r="F403" s="2" t="s">
        <v>161</v>
      </c>
      <c r="G403" s="2" t="s">
        <v>389</v>
      </c>
      <c r="H403" s="2" t="s">
        <v>390</v>
      </c>
      <c r="I403" s="2" t="s">
        <v>1727</v>
      </c>
      <c r="J403" s="3">
        <v>45033.0</v>
      </c>
      <c r="K403" s="2" t="s">
        <v>1728</v>
      </c>
      <c r="L403" s="2" t="s">
        <v>556</v>
      </c>
      <c r="M403" s="2">
        <v>133.62</v>
      </c>
      <c r="N403" s="2">
        <v>1.0</v>
      </c>
      <c r="O403" s="2" t="s">
        <v>51</v>
      </c>
      <c r="P403" s="2">
        <v>5.0</v>
      </c>
      <c r="Q403" s="2">
        <v>66.0</v>
      </c>
      <c r="R403" s="3">
        <v>45037.0</v>
      </c>
      <c r="S403" s="2" t="s">
        <v>1729</v>
      </c>
    </row>
    <row r="404" ht="14.25" customHeight="1">
      <c r="A404" s="2" t="s">
        <v>1730</v>
      </c>
      <c r="B404" s="2" t="s">
        <v>1731</v>
      </c>
      <c r="C404" s="2" t="s">
        <v>1732</v>
      </c>
      <c r="D404" s="2">
        <v>47.0</v>
      </c>
      <c r="E404" s="2" t="s">
        <v>34</v>
      </c>
      <c r="F404" s="2" t="s">
        <v>23</v>
      </c>
      <c r="G404" s="2" t="s">
        <v>1733</v>
      </c>
      <c r="H404" s="2" t="s">
        <v>1734</v>
      </c>
      <c r="I404" s="2" t="s">
        <v>1735</v>
      </c>
      <c r="J404" s="3">
        <v>45327.0</v>
      </c>
      <c r="K404" s="2" t="s">
        <v>1736</v>
      </c>
      <c r="L404" s="2" t="s">
        <v>546</v>
      </c>
      <c r="M404" s="2">
        <v>425.59</v>
      </c>
      <c r="N404" s="2">
        <v>3.0</v>
      </c>
      <c r="O404" s="2" t="s">
        <v>89</v>
      </c>
      <c r="P404" s="2">
        <v>7.0</v>
      </c>
      <c r="Q404" s="2">
        <v>51.0</v>
      </c>
      <c r="R404" s="3">
        <v>45330.0</v>
      </c>
      <c r="S404" s="2" t="s">
        <v>1737</v>
      </c>
    </row>
    <row r="405" ht="14.25" customHeight="1">
      <c r="A405" s="2" t="s">
        <v>1607</v>
      </c>
      <c r="B405" s="2" t="s">
        <v>266</v>
      </c>
      <c r="C405" s="2" t="s">
        <v>1608</v>
      </c>
      <c r="D405" s="2">
        <v>62.0</v>
      </c>
      <c r="E405" s="2" t="s">
        <v>34</v>
      </c>
      <c r="F405" s="2" t="s">
        <v>35</v>
      </c>
      <c r="G405" s="2" t="s">
        <v>1609</v>
      </c>
      <c r="H405" s="2" t="s">
        <v>1610</v>
      </c>
      <c r="I405" s="2" t="s">
        <v>1738</v>
      </c>
      <c r="J405" s="3">
        <v>45517.0</v>
      </c>
      <c r="K405" s="2" t="s">
        <v>1739</v>
      </c>
      <c r="L405" s="2" t="s">
        <v>566</v>
      </c>
      <c r="M405" s="2">
        <v>477.52</v>
      </c>
      <c r="N405" s="2">
        <v>5.0</v>
      </c>
      <c r="O405" s="2" t="s">
        <v>78</v>
      </c>
      <c r="P405" s="2">
        <v>2.0</v>
      </c>
      <c r="Q405" s="2">
        <v>60.0</v>
      </c>
      <c r="R405" s="3">
        <v>45520.0</v>
      </c>
      <c r="S405" s="2" t="s">
        <v>1740</v>
      </c>
    </row>
    <row r="406" ht="14.25" customHeight="1">
      <c r="A406" s="2" t="s">
        <v>413</v>
      </c>
      <c r="B406" s="2" t="s">
        <v>414</v>
      </c>
      <c r="C406" s="2" t="s">
        <v>415</v>
      </c>
      <c r="D406" s="2">
        <v>52.0</v>
      </c>
      <c r="E406" s="2" t="s">
        <v>45</v>
      </c>
      <c r="F406" s="2" t="s">
        <v>213</v>
      </c>
      <c r="G406" s="2" t="s">
        <v>416</v>
      </c>
      <c r="H406" s="2" t="s">
        <v>417</v>
      </c>
      <c r="I406" s="2" t="s">
        <v>1741</v>
      </c>
      <c r="J406" s="3">
        <v>45471.0</v>
      </c>
      <c r="K406" s="2" t="s">
        <v>1742</v>
      </c>
      <c r="L406" s="2" t="s">
        <v>239</v>
      </c>
      <c r="M406" s="2">
        <v>282.63</v>
      </c>
      <c r="N406" s="2">
        <v>3.0</v>
      </c>
      <c r="O406" s="2" t="s">
        <v>29</v>
      </c>
      <c r="P406" s="2">
        <v>3.0</v>
      </c>
      <c r="Q406" s="2">
        <v>36.0</v>
      </c>
      <c r="R406" s="3">
        <v>45478.0</v>
      </c>
      <c r="S406" s="2" t="s">
        <v>1743</v>
      </c>
    </row>
    <row r="407" ht="14.25" customHeight="1">
      <c r="A407" s="2" t="s">
        <v>428</v>
      </c>
      <c r="B407" s="2" t="s">
        <v>429</v>
      </c>
      <c r="C407" s="2" t="s">
        <v>430</v>
      </c>
      <c r="D407" s="2">
        <v>28.0</v>
      </c>
      <c r="E407" s="2" t="s">
        <v>45</v>
      </c>
      <c r="F407" s="2" t="s">
        <v>69</v>
      </c>
      <c r="G407" s="2" t="s">
        <v>431</v>
      </c>
      <c r="H407" s="2" t="s">
        <v>432</v>
      </c>
      <c r="I407" s="2" t="s">
        <v>1744</v>
      </c>
      <c r="J407" s="3">
        <v>45350.0</v>
      </c>
      <c r="K407" s="2" t="s">
        <v>1745</v>
      </c>
      <c r="L407" s="2" t="s">
        <v>280</v>
      </c>
      <c r="M407" s="2">
        <v>157.64</v>
      </c>
      <c r="N407" s="2">
        <v>1.0</v>
      </c>
      <c r="O407" s="2" t="s">
        <v>78</v>
      </c>
      <c r="P407" s="2">
        <v>1.0</v>
      </c>
      <c r="Q407" s="2">
        <v>59.0</v>
      </c>
      <c r="R407" s="3">
        <v>45356.0</v>
      </c>
      <c r="S407" s="2" t="s">
        <v>1746</v>
      </c>
    </row>
    <row r="408" ht="14.25" customHeight="1">
      <c r="A408" s="2" t="s">
        <v>1720</v>
      </c>
      <c r="B408" s="2" t="s">
        <v>1721</v>
      </c>
      <c r="C408" s="2" t="s">
        <v>361</v>
      </c>
      <c r="D408" s="2">
        <v>34.0</v>
      </c>
      <c r="E408" s="2" t="s">
        <v>45</v>
      </c>
      <c r="F408" s="2" t="s">
        <v>152</v>
      </c>
      <c r="G408" s="2" t="s">
        <v>1722</v>
      </c>
      <c r="H408" s="2" t="s">
        <v>1723</v>
      </c>
      <c r="I408" s="2" t="s">
        <v>1747</v>
      </c>
      <c r="J408" s="3">
        <v>45449.0</v>
      </c>
      <c r="K408" s="2" t="s">
        <v>1748</v>
      </c>
      <c r="L408" s="2" t="s">
        <v>107</v>
      </c>
      <c r="M408" s="2">
        <v>48.45</v>
      </c>
      <c r="N408" s="2">
        <v>1.0</v>
      </c>
      <c r="O408" s="2" t="s">
        <v>89</v>
      </c>
      <c r="P408" s="2">
        <v>5.0</v>
      </c>
      <c r="Q408" s="2">
        <v>38.0</v>
      </c>
      <c r="R408" s="3">
        <v>45456.0</v>
      </c>
      <c r="S408" s="2" t="s">
        <v>1749</v>
      </c>
    </row>
    <row r="409" ht="14.25" customHeight="1">
      <c r="A409" s="2" t="s">
        <v>80</v>
      </c>
      <c r="B409" s="2" t="s">
        <v>81</v>
      </c>
      <c r="C409" s="2" t="s">
        <v>82</v>
      </c>
      <c r="D409" s="2">
        <v>26.0</v>
      </c>
      <c r="E409" s="2" t="s">
        <v>34</v>
      </c>
      <c r="F409" s="2" t="s">
        <v>83</v>
      </c>
      <c r="G409" s="2" t="s">
        <v>84</v>
      </c>
      <c r="H409" s="2" t="s">
        <v>85</v>
      </c>
      <c r="I409" s="2" t="s">
        <v>1750</v>
      </c>
      <c r="J409" s="3">
        <v>45359.0</v>
      </c>
      <c r="K409" s="2" t="s">
        <v>1751</v>
      </c>
      <c r="L409" s="2" t="s">
        <v>864</v>
      </c>
      <c r="M409" s="2">
        <v>292.15</v>
      </c>
      <c r="N409" s="2">
        <v>1.0</v>
      </c>
      <c r="O409" s="2" t="s">
        <v>78</v>
      </c>
      <c r="P409" s="2">
        <v>5.0</v>
      </c>
      <c r="Q409" s="2">
        <v>57.0</v>
      </c>
      <c r="R409" s="3">
        <v>45365.0</v>
      </c>
      <c r="S409" s="2" t="s">
        <v>1752</v>
      </c>
    </row>
    <row r="410" ht="14.25" customHeight="1">
      <c r="A410" s="2" t="s">
        <v>1753</v>
      </c>
      <c r="B410" s="2" t="s">
        <v>1754</v>
      </c>
      <c r="C410" s="2" t="s">
        <v>388</v>
      </c>
      <c r="D410" s="2">
        <v>57.0</v>
      </c>
      <c r="E410" s="2" t="s">
        <v>34</v>
      </c>
      <c r="F410" s="2" t="s">
        <v>83</v>
      </c>
      <c r="G410" s="2" t="s">
        <v>1755</v>
      </c>
      <c r="H410" s="2" t="s">
        <v>1756</v>
      </c>
      <c r="I410" s="2" t="s">
        <v>1757</v>
      </c>
      <c r="J410" s="3">
        <v>45333.0</v>
      </c>
      <c r="K410" s="2" t="s">
        <v>1758</v>
      </c>
      <c r="L410" s="2" t="s">
        <v>767</v>
      </c>
      <c r="M410" s="2">
        <v>20.0</v>
      </c>
      <c r="N410" s="2">
        <v>4.0</v>
      </c>
      <c r="O410" s="2" t="s">
        <v>78</v>
      </c>
      <c r="P410" s="2">
        <v>1.0</v>
      </c>
      <c r="Q410" s="2">
        <v>51.0</v>
      </c>
      <c r="R410" s="3">
        <v>45334.0</v>
      </c>
      <c r="S410" s="2" t="s">
        <v>1759</v>
      </c>
    </row>
    <row r="411" ht="14.25" customHeight="1">
      <c r="A411" s="2" t="s">
        <v>887</v>
      </c>
      <c r="B411" s="2" t="s">
        <v>141</v>
      </c>
      <c r="C411" s="2" t="s">
        <v>888</v>
      </c>
      <c r="D411" s="2">
        <v>29.0</v>
      </c>
      <c r="E411" s="2" t="s">
        <v>22</v>
      </c>
      <c r="F411" s="2" t="s">
        <v>35</v>
      </c>
      <c r="G411" s="2" t="s">
        <v>889</v>
      </c>
      <c r="H411" s="2" t="s">
        <v>890</v>
      </c>
      <c r="I411" s="2" t="s">
        <v>1760</v>
      </c>
      <c r="J411" s="3">
        <v>45681.0</v>
      </c>
      <c r="K411" s="2" t="s">
        <v>1761</v>
      </c>
      <c r="L411" s="2" t="s">
        <v>107</v>
      </c>
      <c r="M411" s="2">
        <v>48.45</v>
      </c>
      <c r="N411" s="2">
        <v>2.0</v>
      </c>
      <c r="O411" s="2" t="s">
        <v>51</v>
      </c>
      <c r="P411" s="2">
        <v>7.0</v>
      </c>
      <c r="Q411" s="2">
        <v>56.0</v>
      </c>
      <c r="R411" s="3">
        <v>45687.0</v>
      </c>
      <c r="S411" s="2" t="s">
        <v>1762</v>
      </c>
    </row>
    <row r="412" ht="14.25" customHeight="1">
      <c r="A412" s="2" t="s">
        <v>639</v>
      </c>
      <c r="B412" s="2" t="s">
        <v>640</v>
      </c>
      <c r="C412" s="2" t="s">
        <v>641</v>
      </c>
      <c r="D412" s="2">
        <v>45.0</v>
      </c>
      <c r="E412" s="2" t="s">
        <v>45</v>
      </c>
      <c r="F412" s="2" t="s">
        <v>83</v>
      </c>
      <c r="G412" s="2" t="s">
        <v>642</v>
      </c>
      <c r="H412" s="2" t="s">
        <v>643</v>
      </c>
      <c r="I412" s="2" t="s">
        <v>1763</v>
      </c>
      <c r="J412" s="3">
        <v>45190.0</v>
      </c>
      <c r="K412" s="2" t="s">
        <v>1764</v>
      </c>
      <c r="L412" s="2" t="s">
        <v>235</v>
      </c>
      <c r="M412" s="2">
        <v>126.19</v>
      </c>
      <c r="N412" s="2">
        <v>2.0</v>
      </c>
      <c r="O412" s="2" t="s">
        <v>78</v>
      </c>
      <c r="P412" s="2">
        <v>4.0</v>
      </c>
      <c r="Q412" s="2">
        <v>67.0</v>
      </c>
      <c r="R412" s="3">
        <v>45196.0</v>
      </c>
      <c r="S412" s="2" t="s">
        <v>1765</v>
      </c>
    </row>
    <row r="413" ht="14.25" customHeight="1">
      <c r="A413" s="2" t="s">
        <v>1450</v>
      </c>
      <c r="B413" s="2" t="s">
        <v>266</v>
      </c>
      <c r="C413" s="2" t="s">
        <v>1451</v>
      </c>
      <c r="D413" s="2">
        <v>30.0</v>
      </c>
      <c r="E413" s="2" t="s">
        <v>22</v>
      </c>
      <c r="F413" s="2" t="s">
        <v>213</v>
      </c>
      <c r="G413" s="2" t="s">
        <v>1452</v>
      </c>
      <c r="H413" s="2" t="s">
        <v>1453</v>
      </c>
      <c r="I413" s="2" t="s">
        <v>1766</v>
      </c>
      <c r="J413" s="3">
        <v>45393.0</v>
      </c>
      <c r="K413" s="2" t="s">
        <v>1767</v>
      </c>
      <c r="L413" s="2" t="s">
        <v>235</v>
      </c>
      <c r="M413" s="2">
        <v>126.19</v>
      </c>
      <c r="N413" s="2">
        <v>4.0</v>
      </c>
      <c r="O413" s="2" t="s">
        <v>29</v>
      </c>
      <c r="P413" s="2">
        <v>5.0</v>
      </c>
      <c r="Q413" s="2">
        <v>69.0</v>
      </c>
      <c r="R413" s="3">
        <v>45396.0</v>
      </c>
      <c r="S413" s="2" t="s">
        <v>1768</v>
      </c>
    </row>
    <row r="414" ht="14.25" customHeight="1">
      <c r="A414" s="2" t="s">
        <v>286</v>
      </c>
      <c r="B414" s="2" t="s">
        <v>287</v>
      </c>
      <c r="C414" s="2" t="s">
        <v>288</v>
      </c>
      <c r="D414" s="2">
        <v>48.0</v>
      </c>
      <c r="E414" s="2" t="s">
        <v>34</v>
      </c>
      <c r="F414" s="2" t="s">
        <v>83</v>
      </c>
      <c r="G414" s="2" t="s">
        <v>289</v>
      </c>
      <c r="H414" s="2" t="s">
        <v>290</v>
      </c>
      <c r="I414" s="2" t="s">
        <v>1769</v>
      </c>
      <c r="J414" s="3">
        <v>45399.0</v>
      </c>
      <c r="K414" s="2" t="s">
        <v>1770</v>
      </c>
      <c r="L414" s="2" t="s">
        <v>349</v>
      </c>
      <c r="M414" s="2">
        <v>496.59</v>
      </c>
      <c r="N414" s="2">
        <v>3.0</v>
      </c>
      <c r="O414" s="2" t="s">
        <v>56</v>
      </c>
      <c r="P414" s="2">
        <v>3.0</v>
      </c>
      <c r="Q414" s="2">
        <v>49.0</v>
      </c>
      <c r="R414" s="3">
        <v>45406.0</v>
      </c>
      <c r="S414" s="2" t="s">
        <v>1771</v>
      </c>
    </row>
    <row r="415" ht="14.25" customHeight="1">
      <c r="A415" s="2" t="s">
        <v>342</v>
      </c>
      <c r="B415" s="2" t="s">
        <v>343</v>
      </c>
      <c r="C415" s="2" t="s">
        <v>344</v>
      </c>
      <c r="D415" s="2">
        <v>70.0</v>
      </c>
      <c r="E415" s="2" t="s">
        <v>22</v>
      </c>
      <c r="F415" s="2" t="s">
        <v>161</v>
      </c>
      <c r="G415" s="2" t="s">
        <v>345</v>
      </c>
      <c r="H415" s="2" t="s">
        <v>346</v>
      </c>
      <c r="I415" s="2" t="s">
        <v>1772</v>
      </c>
      <c r="J415" s="3">
        <v>45396.0</v>
      </c>
      <c r="K415" s="2" t="s">
        <v>1773</v>
      </c>
      <c r="L415" s="2" t="s">
        <v>679</v>
      </c>
      <c r="M415" s="2">
        <v>424.82</v>
      </c>
      <c r="N415" s="2">
        <v>4.0</v>
      </c>
      <c r="O415" s="2" t="s">
        <v>51</v>
      </c>
      <c r="P415" s="2">
        <v>1.0</v>
      </c>
      <c r="Q415" s="2">
        <v>70.0</v>
      </c>
      <c r="R415" s="3">
        <v>45402.0</v>
      </c>
      <c r="S415" s="2" t="s">
        <v>1774</v>
      </c>
    </row>
    <row r="416" ht="14.25" customHeight="1">
      <c r="A416" s="2" t="s">
        <v>168</v>
      </c>
      <c r="B416" s="2" t="s">
        <v>169</v>
      </c>
      <c r="C416" s="2" t="s">
        <v>170</v>
      </c>
      <c r="D416" s="2">
        <v>36.0</v>
      </c>
      <c r="E416" s="2" t="s">
        <v>45</v>
      </c>
      <c r="F416" s="2" t="s">
        <v>133</v>
      </c>
      <c r="G416" s="2" t="s">
        <v>171</v>
      </c>
      <c r="H416" s="2" t="s">
        <v>172</v>
      </c>
      <c r="I416" s="2" t="s">
        <v>1775</v>
      </c>
      <c r="J416" s="3">
        <v>45194.0</v>
      </c>
      <c r="K416" s="2" t="s">
        <v>1776</v>
      </c>
      <c r="L416" s="2" t="s">
        <v>767</v>
      </c>
      <c r="M416" s="2">
        <v>20.0</v>
      </c>
      <c r="N416" s="2">
        <v>2.0</v>
      </c>
      <c r="O416" s="2" t="s">
        <v>89</v>
      </c>
      <c r="P416" s="2">
        <v>1.0</v>
      </c>
      <c r="Q416" s="2">
        <v>68.0</v>
      </c>
      <c r="R416" s="3">
        <v>45195.0</v>
      </c>
      <c r="S416" s="2" t="s">
        <v>1777</v>
      </c>
    </row>
    <row r="417" ht="14.25" customHeight="1">
      <c r="A417" s="2" t="s">
        <v>1730</v>
      </c>
      <c r="B417" s="2" t="s">
        <v>1731</v>
      </c>
      <c r="C417" s="2" t="s">
        <v>1732</v>
      </c>
      <c r="D417" s="2">
        <v>47.0</v>
      </c>
      <c r="E417" s="2" t="s">
        <v>34</v>
      </c>
      <c r="F417" s="2" t="s">
        <v>23</v>
      </c>
      <c r="G417" s="2" t="s">
        <v>1733</v>
      </c>
      <c r="H417" s="2" t="s">
        <v>1734</v>
      </c>
      <c r="I417" s="2" t="s">
        <v>1778</v>
      </c>
      <c r="J417" s="3">
        <v>45216.0</v>
      </c>
      <c r="K417" s="2" t="s">
        <v>1779</v>
      </c>
      <c r="L417" s="2" t="s">
        <v>50</v>
      </c>
      <c r="M417" s="2">
        <v>202.54</v>
      </c>
      <c r="N417" s="2">
        <v>5.0</v>
      </c>
      <c r="O417" s="2" t="s">
        <v>89</v>
      </c>
      <c r="P417" s="2">
        <v>4.0</v>
      </c>
      <c r="Q417" s="2">
        <v>58.0</v>
      </c>
      <c r="R417" s="3">
        <v>45218.0</v>
      </c>
      <c r="S417" s="2" t="s">
        <v>1780</v>
      </c>
    </row>
    <row r="418" ht="14.25" customHeight="1">
      <c r="A418" s="2" t="s">
        <v>168</v>
      </c>
      <c r="B418" s="2" t="s">
        <v>169</v>
      </c>
      <c r="C418" s="2" t="s">
        <v>170</v>
      </c>
      <c r="D418" s="2">
        <v>36.0</v>
      </c>
      <c r="E418" s="2" t="s">
        <v>45</v>
      </c>
      <c r="F418" s="2" t="s">
        <v>133</v>
      </c>
      <c r="G418" s="2" t="s">
        <v>171</v>
      </c>
      <c r="H418" s="2" t="s">
        <v>172</v>
      </c>
      <c r="I418" s="2" t="s">
        <v>1781</v>
      </c>
      <c r="J418" s="3">
        <v>45368.0</v>
      </c>
      <c r="K418" s="2" t="s">
        <v>1782</v>
      </c>
      <c r="L418" s="2" t="s">
        <v>507</v>
      </c>
      <c r="M418" s="2">
        <v>136.3</v>
      </c>
      <c r="N418" s="2">
        <v>4.0</v>
      </c>
      <c r="O418" s="2" t="s">
        <v>29</v>
      </c>
      <c r="P418" s="2">
        <v>6.0</v>
      </c>
      <c r="Q418" s="2">
        <v>52.0</v>
      </c>
      <c r="R418" s="3">
        <v>45371.0</v>
      </c>
      <c r="S418" s="2" t="s">
        <v>1783</v>
      </c>
    </row>
    <row r="419" ht="14.25" customHeight="1">
      <c r="A419" s="2" t="s">
        <v>100</v>
      </c>
      <c r="B419" s="2" t="s">
        <v>101</v>
      </c>
      <c r="C419" s="2" t="s">
        <v>102</v>
      </c>
      <c r="D419" s="2">
        <v>48.0</v>
      </c>
      <c r="E419" s="2" t="s">
        <v>45</v>
      </c>
      <c r="F419" s="2" t="s">
        <v>35</v>
      </c>
      <c r="G419" s="2" t="s">
        <v>103</v>
      </c>
      <c r="H419" s="2" t="s">
        <v>104</v>
      </c>
      <c r="I419" s="2" t="s">
        <v>1784</v>
      </c>
      <c r="J419" s="3">
        <v>45661.0</v>
      </c>
      <c r="K419" s="2" t="s">
        <v>1000</v>
      </c>
      <c r="L419" s="2" t="s">
        <v>280</v>
      </c>
      <c r="M419" s="2">
        <v>157.64</v>
      </c>
      <c r="N419" s="2">
        <v>4.0</v>
      </c>
      <c r="O419" s="2" t="s">
        <v>56</v>
      </c>
      <c r="P419" s="2">
        <v>7.0</v>
      </c>
      <c r="Q419" s="2">
        <v>42.0</v>
      </c>
      <c r="R419" s="3">
        <v>45663.0</v>
      </c>
      <c r="S419" s="2" t="s">
        <v>1785</v>
      </c>
    </row>
    <row r="420" ht="14.25" customHeight="1">
      <c r="A420" s="2" t="s">
        <v>500</v>
      </c>
      <c r="B420" s="2" t="s">
        <v>501</v>
      </c>
      <c r="C420" s="2" t="s">
        <v>502</v>
      </c>
      <c r="D420" s="2">
        <v>64.0</v>
      </c>
      <c r="E420" s="2" t="s">
        <v>22</v>
      </c>
      <c r="F420" s="2" t="s">
        <v>23</v>
      </c>
      <c r="G420" s="2" t="s">
        <v>503</v>
      </c>
      <c r="H420" s="2" t="s">
        <v>504</v>
      </c>
      <c r="I420" s="2" t="s">
        <v>1786</v>
      </c>
      <c r="J420" s="3">
        <v>45147.0</v>
      </c>
      <c r="K420" s="2" t="s">
        <v>1787</v>
      </c>
      <c r="L420" s="2" t="s">
        <v>934</v>
      </c>
      <c r="M420" s="2">
        <v>107.47</v>
      </c>
      <c r="N420" s="2">
        <v>5.0</v>
      </c>
      <c r="O420" s="2" t="s">
        <v>78</v>
      </c>
      <c r="P420" s="2">
        <v>6.0</v>
      </c>
      <c r="Q420" s="2">
        <v>47.0</v>
      </c>
      <c r="R420" s="3">
        <v>45149.0</v>
      </c>
      <c r="S420" s="2" t="s">
        <v>1788</v>
      </c>
    </row>
    <row r="421" ht="14.25" customHeight="1">
      <c r="A421" s="2" t="s">
        <v>359</v>
      </c>
      <c r="B421" s="2" t="s">
        <v>360</v>
      </c>
      <c r="C421" s="2" t="s">
        <v>361</v>
      </c>
      <c r="D421" s="2">
        <v>31.0</v>
      </c>
      <c r="E421" s="2" t="s">
        <v>45</v>
      </c>
      <c r="F421" s="2" t="s">
        <v>133</v>
      </c>
      <c r="G421" s="2" t="s">
        <v>362</v>
      </c>
      <c r="H421" s="2" t="s">
        <v>363</v>
      </c>
      <c r="I421" s="2" t="s">
        <v>1789</v>
      </c>
      <c r="J421" s="3">
        <v>45653.0</v>
      </c>
      <c r="K421" s="2" t="s">
        <v>1790</v>
      </c>
      <c r="L421" s="2" t="s">
        <v>243</v>
      </c>
      <c r="M421" s="2">
        <v>128.14</v>
      </c>
      <c r="N421" s="2">
        <v>1.0</v>
      </c>
      <c r="O421" s="2" t="s">
        <v>56</v>
      </c>
      <c r="P421" s="2">
        <v>3.0</v>
      </c>
      <c r="Q421" s="2">
        <v>55.0</v>
      </c>
      <c r="R421" s="3">
        <v>45655.0</v>
      </c>
      <c r="S421" s="2" t="s">
        <v>1791</v>
      </c>
    </row>
    <row r="422" ht="14.25" customHeight="1">
      <c r="A422" s="2" t="s">
        <v>539</v>
      </c>
      <c r="B422" s="2" t="s">
        <v>540</v>
      </c>
      <c r="C422" s="2" t="s">
        <v>541</v>
      </c>
      <c r="D422" s="2">
        <v>33.0</v>
      </c>
      <c r="E422" s="2" t="s">
        <v>45</v>
      </c>
      <c r="F422" s="2" t="s">
        <v>161</v>
      </c>
      <c r="G422" s="2" t="s">
        <v>542</v>
      </c>
      <c r="H422" s="2" t="s">
        <v>543</v>
      </c>
      <c r="I422" s="2" t="s">
        <v>1792</v>
      </c>
      <c r="J422" s="3">
        <v>45351.0</v>
      </c>
      <c r="K422" s="2" t="s">
        <v>1793</v>
      </c>
      <c r="L422" s="2" t="s">
        <v>546</v>
      </c>
      <c r="M422" s="2">
        <v>425.59</v>
      </c>
      <c r="N422" s="2">
        <v>2.0</v>
      </c>
      <c r="O422" s="2" t="s">
        <v>89</v>
      </c>
      <c r="P422" s="2">
        <v>4.0</v>
      </c>
      <c r="Q422" s="2">
        <v>64.0</v>
      </c>
      <c r="R422" s="3">
        <v>45358.0</v>
      </c>
      <c r="S422" s="2" t="s">
        <v>1794</v>
      </c>
    </row>
    <row r="423" ht="14.25" customHeight="1">
      <c r="A423" s="2" t="s">
        <v>394</v>
      </c>
      <c r="B423" s="2" t="s">
        <v>395</v>
      </c>
      <c r="C423" s="2" t="s">
        <v>396</v>
      </c>
      <c r="D423" s="2">
        <v>70.0</v>
      </c>
      <c r="E423" s="2" t="s">
        <v>22</v>
      </c>
      <c r="F423" s="2" t="s">
        <v>23</v>
      </c>
      <c r="G423" s="2" t="s">
        <v>397</v>
      </c>
      <c r="H423" s="2" t="s">
        <v>398</v>
      </c>
      <c r="I423" s="2" t="s">
        <v>1795</v>
      </c>
      <c r="J423" s="3">
        <v>45622.0</v>
      </c>
      <c r="K423" s="2" t="s">
        <v>1796</v>
      </c>
      <c r="L423" s="2" t="s">
        <v>977</v>
      </c>
      <c r="M423" s="2">
        <v>33.49</v>
      </c>
      <c r="N423" s="2">
        <v>5.0</v>
      </c>
      <c r="O423" s="2" t="s">
        <v>78</v>
      </c>
      <c r="P423" s="2">
        <v>5.0</v>
      </c>
      <c r="Q423" s="2">
        <v>64.0</v>
      </c>
      <c r="R423" s="3">
        <v>45628.0</v>
      </c>
      <c r="S423" s="2" t="s">
        <v>1797</v>
      </c>
    </row>
    <row r="424" ht="14.25" customHeight="1">
      <c r="A424" s="2" t="s">
        <v>229</v>
      </c>
      <c r="B424" s="2" t="s">
        <v>59</v>
      </c>
      <c r="C424" s="2" t="s">
        <v>230</v>
      </c>
      <c r="D424" s="2">
        <v>52.0</v>
      </c>
      <c r="E424" s="2" t="s">
        <v>45</v>
      </c>
      <c r="F424" s="2" t="s">
        <v>35</v>
      </c>
      <c r="G424" s="2" t="s">
        <v>231</v>
      </c>
      <c r="H424" s="2" t="s">
        <v>232</v>
      </c>
      <c r="I424" s="2" t="s">
        <v>1798</v>
      </c>
      <c r="J424" s="3">
        <v>45269.0</v>
      </c>
      <c r="K424" s="2" t="s">
        <v>1799</v>
      </c>
      <c r="L424" s="2" t="s">
        <v>650</v>
      </c>
      <c r="M424" s="2">
        <v>235.63</v>
      </c>
      <c r="N424" s="2">
        <v>1.0</v>
      </c>
      <c r="O424" s="2" t="s">
        <v>56</v>
      </c>
      <c r="P424" s="2">
        <v>6.0</v>
      </c>
      <c r="Q424" s="2">
        <v>35.0</v>
      </c>
      <c r="R424" s="3">
        <v>45272.0</v>
      </c>
      <c r="S424" s="2" t="s">
        <v>1800</v>
      </c>
    </row>
    <row r="425" ht="14.25" customHeight="1">
      <c r="A425" s="2" t="s">
        <v>1450</v>
      </c>
      <c r="B425" s="2" t="s">
        <v>266</v>
      </c>
      <c r="C425" s="2" t="s">
        <v>1451</v>
      </c>
      <c r="D425" s="2">
        <v>30.0</v>
      </c>
      <c r="E425" s="2" t="s">
        <v>22</v>
      </c>
      <c r="F425" s="2" t="s">
        <v>213</v>
      </c>
      <c r="G425" s="2" t="s">
        <v>1452</v>
      </c>
      <c r="H425" s="2" t="s">
        <v>1453</v>
      </c>
      <c r="I425" s="2" t="s">
        <v>1801</v>
      </c>
      <c r="J425" s="3">
        <v>45695.0</v>
      </c>
      <c r="K425" s="2" t="s">
        <v>1802</v>
      </c>
      <c r="L425" s="2" t="s">
        <v>767</v>
      </c>
      <c r="M425" s="2">
        <v>20.0</v>
      </c>
      <c r="N425" s="2">
        <v>3.0</v>
      </c>
      <c r="O425" s="2" t="s">
        <v>89</v>
      </c>
      <c r="P425" s="2">
        <v>7.0</v>
      </c>
      <c r="Q425" s="2">
        <v>65.0</v>
      </c>
      <c r="R425" s="3">
        <v>45701.0</v>
      </c>
      <c r="S425" s="2" t="s">
        <v>1803</v>
      </c>
    </row>
    <row r="426" ht="14.25" customHeight="1">
      <c r="A426" s="2" t="s">
        <v>724</v>
      </c>
      <c r="B426" s="2" t="s">
        <v>725</v>
      </c>
      <c r="C426" s="2" t="s">
        <v>726</v>
      </c>
      <c r="D426" s="2">
        <v>30.0</v>
      </c>
      <c r="E426" s="2" t="s">
        <v>22</v>
      </c>
      <c r="F426" s="2" t="s">
        <v>152</v>
      </c>
      <c r="G426" s="2" t="s">
        <v>727</v>
      </c>
      <c r="H426" s="2" t="s">
        <v>728</v>
      </c>
      <c r="I426" s="2" t="s">
        <v>1804</v>
      </c>
      <c r="J426" s="3">
        <v>45587.0</v>
      </c>
      <c r="K426" s="2" t="s">
        <v>1805</v>
      </c>
      <c r="L426" s="2" t="s">
        <v>977</v>
      </c>
      <c r="M426" s="2">
        <v>33.49</v>
      </c>
      <c r="N426" s="2">
        <v>5.0</v>
      </c>
      <c r="O426" s="2" t="s">
        <v>78</v>
      </c>
      <c r="P426" s="2">
        <v>2.0</v>
      </c>
      <c r="Q426" s="2">
        <v>58.0</v>
      </c>
      <c r="R426" s="3">
        <v>45589.0</v>
      </c>
      <c r="S426" s="2" t="s">
        <v>1806</v>
      </c>
    </row>
    <row r="427" ht="14.25" customHeight="1">
      <c r="A427" s="2" t="s">
        <v>639</v>
      </c>
      <c r="B427" s="2" t="s">
        <v>640</v>
      </c>
      <c r="C427" s="2" t="s">
        <v>641</v>
      </c>
      <c r="D427" s="2">
        <v>45.0</v>
      </c>
      <c r="E427" s="2" t="s">
        <v>45</v>
      </c>
      <c r="F427" s="2" t="s">
        <v>83</v>
      </c>
      <c r="G427" s="2" t="s">
        <v>642</v>
      </c>
      <c r="H427" s="2" t="s">
        <v>643</v>
      </c>
      <c r="I427" s="2" t="s">
        <v>1807</v>
      </c>
      <c r="J427" s="3">
        <v>44987.0</v>
      </c>
      <c r="K427" s="2" t="s">
        <v>1808</v>
      </c>
      <c r="L427" s="2" t="s">
        <v>507</v>
      </c>
      <c r="M427" s="2">
        <v>136.3</v>
      </c>
      <c r="N427" s="2">
        <v>1.0</v>
      </c>
      <c r="O427" s="2" t="s">
        <v>29</v>
      </c>
      <c r="P427" s="2">
        <v>4.0</v>
      </c>
      <c r="Q427" s="2">
        <v>41.0</v>
      </c>
      <c r="R427" s="3">
        <v>44988.0</v>
      </c>
      <c r="S427" s="2" t="s">
        <v>1809</v>
      </c>
    </row>
    <row r="428" ht="14.25" customHeight="1">
      <c r="A428" s="2" t="s">
        <v>1810</v>
      </c>
      <c r="B428" s="2" t="s">
        <v>1811</v>
      </c>
      <c r="C428" s="2" t="s">
        <v>187</v>
      </c>
      <c r="D428" s="2">
        <v>29.0</v>
      </c>
      <c r="E428" s="2" t="s">
        <v>45</v>
      </c>
      <c r="F428" s="2" t="s">
        <v>83</v>
      </c>
      <c r="G428" s="2" t="s">
        <v>1812</v>
      </c>
      <c r="H428" s="2" t="s">
        <v>1813</v>
      </c>
      <c r="I428" s="2" t="s">
        <v>1814</v>
      </c>
      <c r="J428" s="3">
        <v>45537.0</v>
      </c>
      <c r="K428" s="2" t="s">
        <v>1815</v>
      </c>
      <c r="L428" s="2" t="s">
        <v>263</v>
      </c>
      <c r="M428" s="2">
        <v>62.42</v>
      </c>
      <c r="N428" s="2">
        <v>1.0</v>
      </c>
      <c r="O428" s="2" t="s">
        <v>29</v>
      </c>
      <c r="P428" s="2">
        <v>3.0</v>
      </c>
      <c r="Q428" s="2">
        <v>48.0</v>
      </c>
      <c r="R428" s="3">
        <v>45542.0</v>
      </c>
      <c r="S428" s="2" t="s">
        <v>1816</v>
      </c>
    </row>
    <row r="429" ht="14.25" customHeight="1">
      <c r="A429" s="2" t="s">
        <v>513</v>
      </c>
      <c r="B429" s="2" t="s">
        <v>514</v>
      </c>
      <c r="C429" s="2" t="s">
        <v>515</v>
      </c>
      <c r="D429" s="2">
        <v>42.0</v>
      </c>
      <c r="E429" s="2" t="s">
        <v>45</v>
      </c>
      <c r="F429" s="2" t="s">
        <v>69</v>
      </c>
      <c r="G429" s="2" t="s">
        <v>516</v>
      </c>
      <c r="H429" s="2" t="s">
        <v>517</v>
      </c>
      <c r="I429" s="2" t="s">
        <v>1817</v>
      </c>
      <c r="J429" s="3">
        <v>45646.0</v>
      </c>
      <c r="K429" s="2" t="s">
        <v>1818</v>
      </c>
      <c r="L429" s="2" t="s">
        <v>546</v>
      </c>
      <c r="M429" s="2">
        <v>425.59</v>
      </c>
      <c r="N429" s="2">
        <v>5.0</v>
      </c>
      <c r="O429" s="2" t="s">
        <v>56</v>
      </c>
      <c r="P429" s="2">
        <v>5.0</v>
      </c>
      <c r="Q429" s="2">
        <v>47.0</v>
      </c>
      <c r="R429" s="3">
        <v>45652.0</v>
      </c>
      <c r="S429" s="2" t="s">
        <v>1819</v>
      </c>
    </row>
    <row r="430" ht="14.25" customHeight="1">
      <c r="A430" s="2" t="s">
        <v>185</v>
      </c>
      <c r="B430" s="2" t="s">
        <v>186</v>
      </c>
      <c r="C430" s="2" t="s">
        <v>187</v>
      </c>
      <c r="D430" s="2">
        <v>34.0</v>
      </c>
      <c r="E430" s="2" t="s">
        <v>22</v>
      </c>
      <c r="F430" s="2" t="s">
        <v>83</v>
      </c>
      <c r="G430" s="2" t="s">
        <v>188</v>
      </c>
      <c r="H430" s="2" t="s">
        <v>189</v>
      </c>
      <c r="I430" s="2" t="s">
        <v>1820</v>
      </c>
      <c r="J430" s="3">
        <v>45504.0</v>
      </c>
      <c r="K430" s="2" t="s">
        <v>1821</v>
      </c>
      <c r="L430" s="2" t="s">
        <v>934</v>
      </c>
      <c r="M430" s="2">
        <v>107.47</v>
      </c>
      <c r="N430" s="2">
        <v>5.0</v>
      </c>
      <c r="O430" s="2" t="s">
        <v>89</v>
      </c>
      <c r="P430" s="2">
        <v>5.0</v>
      </c>
      <c r="Q430" s="2">
        <v>48.0</v>
      </c>
      <c r="R430" s="3">
        <v>45505.0</v>
      </c>
      <c r="S430" s="2" t="s">
        <v>1822</v>
      </c>
    </row>
    <row r="431" ht="14.25" customHeight="1">
      <c r="A431" s="2" t="s">
        <v>130</v>
      </c>
      <c r="B431" s="2" t="s">
        <v>131</v>
      </c>
      <c r="C431" s="2" t="s">
        <v>132</v>
      </c>
      <c r="D431" s="2">
        <v>25.0</v>
      </c>
      <c r="E431" s="2" t="s">
        <v>45</v>
      </c>
      <c r="F431" s="2" t="s">
        <v>133</v>
      </c>
      <c r="G431" s="2" t="s">
        <v>134</v>
      </c>
      <c r="H431" s="2" t="s">
        <v>135</v>
      </c>
      <c r="I431" s="2" t="s">
        <v>1823</v>
      </c>
      <c r="J431" s="3">
        <v>45271.0</v>
      </c>
      <c r="K431" s="2" t="s">
        <v>1824</v>
      </c>
      <c r="L431" s="2" t="s">
        <v>280</v>
      </c>
      <c r="M431" s="2">
        <v>157.64</v>
      </c>
      <c r="N431" s="2">
        <v>2.0</v>
      </c>
      <c r="O431" s="2" t="s">
        <v>56</v>
      </c>
      <c r="P431" s="2">
        <v>5.0</v>
      </c>
      <c r="Q431" s="2">
        <v>57.0</v>
      </c>
      <c r="R431" s="3">
        <v>45277.0</v>
      </c>
      <c r="S431" s="2" t="s">
        <v>1825</v>
      </c>
    </row>
    <row r="432" ht="14.25" customHeight="1">
      <c r="A432" s="2" t="s">
        <v>359</v>
      </c>
      <c r="B432" s="2" t="s">
        <v>360</v>
      </c>
      <c r="C432" s="2" t="s">
        <v>361</v>
      </c>
      <c r="D432" s="2">
        <v>31.0</v>
      </c>
      <c r="E432" s="2" t="s">
        <v>45</v>
      </c>
      <c r="F432" s="2" t="s">
        <v>133</v>
      </c>
      <c r="G432" s="2" t="s">
        <v>362</v>
      </c>
      <c r="H432" s="2" t="s">
        <v>363</v>
      </c>
      <c r="I432" s="2" t="s">
        <v>1826</v>
      </c>
      <c r="J432" s="3">
        <v>45398.0</v>
      </c>
      <c r="K432" s="2" t="s">
        <v>1827</v>
      </c>
      <c r="L432" s="2" t="s">
        <v>546</v>
      </c>
      <c r="M432" s="2">
        <v>425.59</v>
      </c>
      <c r="N432" s="2">
        <v>2.0</v>
      </c>
      <c r="O432" s="2" t="s">
        <v>51</v>
      </c>
      <c r="P432" s="2">
        <v>1.0</v>
      </c>
      <c r="Q432" s="2">
        <v>44.0</v>
      </c>
      <c r="R432" s="3">
        <v>45403.0</v>
      </c>
      <c r="S432" s="2" t="s">
        <v>1828</v>
      </c>
    </row>
    <row r="433" ht="14.25" customHeight="1">
      <c r="A433" s="2" t="s">
        <v>743</v>
      </c>
      <c r="B433" s="2" t="s">
        <v>744</v>
      </c>
      <c r="C433" s="2" t="s">
        <v>745</v>
      </c>
      <c r="D433" s="2">
        <v>43.0</v>
      </c>
      <c r="E433" s="2" t="s">
        <v>45</v>
      </c>
      <c r="F433" s="2" t="s">
        <v>152</v>
      </c>
      <c r="G433" s="2" t="s">
        <v>746</v>
      </c>
      <c r="H433" s="2" t="s">
        <v>747</v>
      </c>
      <c r="I433" s="2" t="s">
        <v>1829</v>
      </c>
      <c r="J433" s="3">
        <v>45432.0</v>
      </c>
      <c r="K433" s="2" t="s">
        <v>1830</v>
      </c>
      <c r="L433" s="2" t="s">
        <v>218</v>
      </c>
      <c r="M433" s="2">
        <v>461.07</v>
      </c>
      <c r="N433" s="2">
        <v>1.0</v>
      </c>
      <c r="O433" s="2" t="s">
        <v>29</v>
      </c>
      <c r="P433" s="2">
        <v>1.0</v>
      </c>
      <c r="Q433" s="2">
        <v>42.0</v>
      </c>
      <c r="R433" s="3">
        <v>45433.0</v>
      </c>
      <c r="S433" s="2" t="s">
        <v>1831</v>
      </c>
    </row>
    <row r="434" ht="14.25" customHeight="1">
      <c r="A434" s="2" t="s">
        <v>80</v>
      </c>
      <c r="B434" s="2" t="s">
        <v>81</v>
      </c>
      <c r="C434" s="2" t="s">
        <v>82</v>
      </c>
      <c r="D434" s="2">
        <v>26.0</v>
      </c>
      <c r="E434" s="2" t="s">
        <v>34</v>
      </c>
      <c r="F434" s="2" t="s">
        <v>83</v>
      </c>
      <c r="G434" s="2" t="s">
        <v>84</v>
      </c>
      <c r="H434" s="2" t="s">
        <v>85</v>
      </c>
      <c r="I434" s="2" t="s">
        <v>1832</v>
      </c>
      <c r="J434" s="3">
        <v>45449.0</v>
      </c>
      <c r="K434" s="2" t="s">
        <v>1833</v>
      </c>
      <c r="L434" s="2" t="s">
        <v>650</v>
      </c>
      <c r="M434" s="2">
        <v>235.63</v>
      </c>
      <c r="N434" s="2">
        <v>1.0</v>
      </c>
      <c r="O434" s="2" t="s">
        <v>51</v>
      </c>
      <c r="P434" s="2">
        <v>3.0</v>
      </c>
      <c r="Q434" s="2">
        <v>55.0</v>
      </c>
      <c r="R434" s="3">
        <v>45455.0</v>
      </c>
      <c r="S434" s="2" t="s">
        <v>1834</v>
      </c>
    </row>
    <row r="435" ht="14.25" customHeight="1">
      <c r="A435" s="2" t="s">
        <v>596</v>
      </c>
      <c r="B435" s="2" t="s">
        <v>597</v>
      </c>
      <c r="C435" s="2" t="s">
        <v>396</v>
      </c>
      <c r="D435" s="2">
        <v>18.0</v>
      </c>
      <c r="E435" s="2" t="s">
        <v>34</v>
      </c>
      <c r="F435" s="2" t="s">
        <v>35</v>
      </c>
      <c r="G435" s="2" t="s">
        <v>598</v>
      </c>
      <c r="H435" s="2" t="s">
        <v>599</v>
      </c>
      <c r="I435" s="2" t="s">
        <v>1835</v>
      </c>
      <c r="J435" s="3">
        <v>45178.0</v>
      </c>
      <c r="K435" s="2" t="s">
        <v>1836</v>
      </c>
      <c r="L435" s="2" t="s">
        <v>556</v>
      </c>
      <c r="M435" s="2">
        <v>133.62</v>
      </c>
      <c r="N435" s="2">
        <v>2.0</v>
      </c>
      <c r="O435" s="2" t="s">
        <v>29</v>
      </c>
      <c r="P435" s="2">
        <v>2.0</v>
      </c>
      <c r="Q435" s="2">
        <v>48.0</v>
      </c>
      <c r="R435" s="3">
        <v>45184.0</v>
      </c>
      <c r="S435" s="2" t="s">
        <v>1837</v>
      </c>
    </row>
    <row r="436" ht="14.25" customHeight="1">
      <c r="A436" s="2" t="s">
        <v>1231</v>
      </c>
      <c r="B436" s="2" t="s">
        <v>1232</v>
      </c>
      <c r="C436" s="2" t="s">
        <v>1233</v>
      </c>
      <c r="D436" s="2">
        <v>55.0</v>
      </c>
      <c r="E436" s="2" t="s">
        <v>34</v>
      </c>
      <c r="F436" s="2" t="s">
        <v>152</v>
      </c>
      <c r="G436" s="2" t="s">
        <v>1234</v>
      </c>
      <c r="H436" s="2" t="s">
        <v>1235</v>
      </c>
      <c r="I436" s="2" t="s">
        <v>1838</v>
      </c>
      <c r="J436" s="3">
        <v>45005.0</v>
      </c>
      <c r="K436" s="2" t="s">
        <v>1839</v>
      </c>
      <c r="L436" s="2" t="s">
        <v>175</v>
      </c>
      <c r="M436" s="2">
        <v>104.18</v>
      </c>
      <c r="N436" s="2">
        <v>1.0</v>
      </c>
      <c r="O436" s="2" t="s">
        <v>29</v>
      </c>
      <c r="P436" s="2">
        <v>5.0</v>
      </c>
      <c r="Q436" s="2">
        <v>37.0</v>
      </c>
      <c r="R436" s="3">
        <v>45007.0</v>
      </c>
      <c r="S436" s="2" t="s">
        <v>1840</v>
      </c>
    </row>
    <row r="437" ht="14.25" customHeight="1">
      <c r="A437" s="2" t="s">
        <v>672</v>
      </c>
      <c r="B437" s="2" t="s">
        <v>673</v>
      </c>
      <c r="C437" s="2" t="s">
        <v>674</v>
      </c>
      <c r="D437" s="2">
        <v>68.0</v>
      </c>
      <c r="E437" s="2" t="s">
        <v>22</v>
      </c>
      <c r="F437" s="2" t="s">
        <v>213</v>
      </c>
      <c r="G437" s="2" t="s">
        <v>675</v>
      </c>
      <c r="H437" s="2" t="s">
        <v>676</v>
      </c>
      <c r="I437" s="2" t="s">
        <v>1841</v>
      </c>
      <c r="J437" s="3">
        <v>45536.0</v>
      </c>
      <c r="K437" s="2" t="s">
        <v>1842</v>
      </c>
      <c r="L437" s="2" t="s">
        <v>88</v>
      </c>
      <c r="M437" s="2">
        <v>363.64</v>
      </c>
      <c r="N437" s="2">
        <v>4.0</v>
      </c>
      <c r="O437" s="2" t="s">
        <v>78</v>
      </c>
      <c r="P437" s="2">
        <v>2.0</v>
      </c>
      <c r="Q437" s="2">
        <v>42.0</v>
      </c>
      <c r="R437" s="3">
        <v>45540.0</v>
      </c>
      <c r="S437" s="2" t="s">
        <v>1843</v>
      </c>
    </row>
    <row r="438" ht="14.25" customHeight="1">
      <c r="A438" s="2" t="s">
        <v>286</v>
      </c>
      <c r="B438" s="2" t="s">
        <v>287</v>
      </c>
      <c r="C438" s="2" t="s">
        <v>288</v>
      </c>
      <c r="D438" s="2">
        <v>48.0</v>
      </c>
      <c r="E438" s="2" t="s">
        <v>34</v>
      </c>
      <c r="F438" s="2" t="s">
        <v>83</v>
      </c>
      <c r="G438" s="2" t="s">
        <v>289</v>
      </c>
      <c r="H438" s="2" t="s">
        <v>290</v>
      </c>
      <c r="I438" s="2" t="s">
        <v>1844</v>
      </c>
      <c r="J438" s="3">
        <v>45310.0</v>
      </c>
      <c r="K438" s="2" t="s">
        <v>1845</v>
      </c>
      <c r="L438" s="2" t="s">
        <v>147</v>
      </c>
      <c r="M438" s="2">
        <v>220.27</v>
      </c>
      <c r="N438" s="2">
        <v>2.0</v>
      </c>
      <c r="O438" s="2" t="s">
        <v>51</v>
      </c>
      <c r="P438" s="2">
        <v>7.0</v>
      </c>
      <c r="Q438" s="2">
        <v>42.0</v>
      </c>
      <c r="R438" s="3">
        <v>45317.0</v>
      </c>
      <c r="S438" s="2" t="s">
        <v>1846</v>
      </c>
    </row>
    <row r="439" ht="14.25" customHeight="1">
      <c r="A439" s="2" t="s">
        <v>681</v>
      </c>
      <c r="B439" s="2" t="s">
        <v>682</v>
      </c>
      <c r="C439" s="2" t="s">
        <v>683</v>
      </c>
      <c r="D439" s="2">
        <v>65.0</v>
      </c>
      <c r="E439" s="2" t="s">
        <v>34</v>
      </c>
      <c r="F439" s="2" t="s">
        <v>83</v>
      </c>
      <c r="G439" s="2" t="s">
        <v>684</v>
      </c>
      <c r="H439" s="2" t="s">
        <v>685</v>
      </c>
      <c r="I439" s="2" t="s">
        <v>1847</v>
      </c>
      <c r="J439" s="3">
        <v>45167.0</v>
      </c>
      <c r="K439" s="2" t="s">
        <v>1848</v>
      </c>
      <c r="L439" s="2" t="s">
        <v>977</v>
      </c>
      <c r="M439" s="2">
        <v>33.49</v>
      </c>
      <c r="N439" s="2">
        <v>3.0</v>
      </c>
      <c r="O439" s="2" t="s">
        <v>89</v>
      </c>
      <c r="P439" s="2">
        <v>1.0</v>
      </c>
      <c r="Q439" s="2">
        <v>50.0</v>
      </c>
      <c r="R439" s="3">
        <v>45172.0</v>
      </c>
      <c r="S439" s="2" t="s">
        <v>1849</v>
      </c>
    </row>
    <row r="440" ht="14.25" customHeight="1">
      <c r="A440" s="2" t="s">
        <v>342</v>
      </c>
      <c r="B440" s="2" t="s">
        <v>343</v>
      </c>
      <c r="C440" s="2" t="s">
        <v>344</v>
      </c>
      <c r="D440" s="2">
        <v>70.0</v>
      </c>
      <c r="E440" s="2" t="s">
        <v>22</v>
      </c>
      <c r="F440" s="2" t="s">
        <v>161</v>
      </c>
      <c r="G440" s="2" t="s">
        <v>345</v>
      </c>
      <c r="H440" s="2" t="s">
        <v>346</v>
      </c>
      <c r="I440" s="2" t="s">
        <v>1850</v>
      </c>
      <c r="J440" s="3">
        <v>45145.0</v>
      </c>
      <c r="K440" s="2" t="s">
        <v>1851</v>
      </c>
      <c r="L440" s="2" t="s">
        <v>280</v>
      </c>
      <c r="M440" s="2">
        <v>157.64</v>
      </c>
      <c r="N440" s="2">
        <v>2.0</v>
      </c>
      <c r="O440" s="2" t="s">
        <v>89</v>
      </c>
      <c r="P440" s="2">
        <v>6.0</v>
      </c>
      <c r="Q440" s="2">
        <v>65.0</v>
      </c>
      <c r="R440" s="3">
        <v>45148.0</v>
      </c>
      <c r="S440" s="2" t="s">
        <v>1852</v>
      </c>
    </row>
    <row r="441" ht="14.25" customHeight="1">
      <c r="A441" s="2" t="s">
        <v>158</v>
      </c>
      <c r="B441" s="2" t="s">
        <v>159</v>
      </c>
      <c r="C441" s="2" t="s">
        <v>160</v>
      </c>
      <c r="D441" s="2">
        <v>46.0</v>
      </c>
      <c r="E441" s="2" t="s">
        <v>22</v>
      </c>
      <c r="F441" s="2" t="s">
        <v>161</v>
      </c>
      <c r="G441" s="2" t="s">
        <v>162</v>
      </c>
      <c r="H441" s="2" t="s">
        <v>163</v>
      </c>
      <c r="I441" s="2" t="s">
        <v>1853</v>
      </c>
      <c r="J441" s="3">
        <v>45010.0</v>
      </c>
      <c r="K441" s="2" t="s">
        <v>1854</v>
      </c>
      <c r="L441" s="2" t="s">
        <v>511</v>
      </c>
      <c r="M441" s="2">
        <v>441.03</v>
      </c>
      <c r="N441" s="2">
        <v>5.0</v>
      </c>
      <c r="O441" s="2" t="s">
        <v>78</v>
      </c>
      <c r="P441" s="2">
        <v>7.0</v>
      </c>
      <c r="Q441" s="2">
        <v>36.0</v>
      </c>
      <c r="R441" s="3">
        <v>45016.0</v>
      </c>
      <c r="S441" s="2" t="s">
        <v>1855</v>
      </c>
    </row>
    <row r="442" ht="14.25" customHeight="1">
      <c r="A442" s="2" t="s">
        <v>539</v>
      </c>
      <c r="B442" s="2" t="s">
        <v>540</v>
      </c>
      <c r="C442" s="2" t="s">
        <v>541</v>
      </c>
      <c r="D442" s="2">
        <v>33.0</v>
      </c>
      <c r="E442" s="2" t="s">
        <v>45</v>
      </c>
      <c r="F442" s="2" t="s">
        <v>161</v>
      </c>
      <c r="G442" s="2" t="s">
        <v>542</v>
      </c>
      <c r="H442" s="2" t="s">
        <v>543</v>
      </c>
      <c r="I442" s="2" t="s">
        <v>1856</v>
      </c>
      <c r="J442" s="3">
        <v>45628.0</v>
      </c>
      <c r="K442" s="2" t="s">
        <v>1857</v>
      </c>
      <c r="L442" s="2" t="s">
        <v>423</v>
      </c>
      <c r="M442" s="2">
        <v>369.03</v>
      </c>
      <c r="N442" s="2">
        <v>4.0</v>
      </c>
      <c r="O442" s="2" t="s">
        <v>29</v>
      </c>
      <c r="P442" s="2">
        <v>5.0</v>
      </c>
      <c r="Q442" s="2">
        <v>48.0</v>
      </c>
      <c r="R442" s="3">
        <v>45629.0</v>
      </c>
      <c r="S442" s="2" t="s">
        <v>1858</v>
      </c>
    </row>
    <row r="443" ht="14.25" customHeight="1">
      <c r="A443" s="2" t="s">
        <v>378</v>
      </c>
      <c r="B443" s="2" t="s">
        <v>379</v>
      </c>
      <c r="C443" s="2" t="s">
        <v>380</v>
      </c>
      <c r="D443" s="2">
        <v>47.0</v>
      </c>
      <c r="E443" s="2" t="s">
        <v>34</v>
      </c>
      <c r="F443" s="2" t="s">
        <v>83</v>
      </c>
      <c r="G443" s="2" t="s">
        <v>381</v>
      </c>
      <c r="H443" s="2" t="s">
        <v>382</v>
      </c>
      <c r="I443" s="2" t="s">
        <v>1859</v>
      </c>
      <c r="J443" s="3">
        <v>45529.0</v>
      </c>
      <c r="K443" s="2" t="s">
        <v>1860</v>
      </c>
      <c r="L443" s="2" t="s">
        <v>301</v>
      </c>
      <c r="M443" s="2">
        <v>129.75</v>
      </c>
      <c r="N443" s="2">
        <v>2.0</v>
      </c>
      <c r="O443" s="2" t="s">
        <v>78</v>
      </c>
      <c r="P443" s="2">
        <v>5.0</v>
      </c>
      <c r="Q443" s="2">
        <v>47.0</v>
      </c>
      <c r="R443" s="3">
        <v>45532.0</v>
      </c>
      <c r="S443" s="2" t="s">
        <v>1861</v>
      </c>
    </row>
    <row r="444" ht="14.25" customHeight="1">
      <c r="A444" s="2" t="s">
        <v>1239</v>
      </c>
      <c r="B444" s="2" t="s">
        <v>59</v>
      </c>
      <c r="C444" s="2" t="s">
        <v>1240</v>
      </c>
      <c r="D444" s="2">
        <v>40.0</v>
      </c>
      <c r="E444" s="2" t="s">
        <v>22</v>
      </c>
      <c r="F444" s="2" t="s">
        <v>69</v>
      </c>
      <c r="G444" s="2" t="s">
        <v>1241</v>
      </c>
      <c r="H444" s="2" t="s">
        <v>1242</v>
      </c>
      <c r="I444" s="2" t="s">
        <v>1862</v>
      </c>
      <c r="J444" s="3">
        <v>45175.0</v>
      </c>
      <c r="K444" s="2" t="s">
        <v>1863</v>
      </c>
      <c r="L444" s="2" t="s">
        <v>192</v>
      </c>
      <c r="M444" s="2">
        <v>20.7</v>
      </c>
      <c r="N444" s="2">
        <v>2.0</v>
      </c>
      <c r="O444" s="2" t="s">
        <v>29</v>
      </c>
      <c r="P444" s="2">
        <v>5.0</v>
      </c>
      <c r="Q444" s="2">
        <v>61.0</v>
      </c>
      <c r="R444" s="3">
        <v>45177.0</v>
      </c>
      <c r="S444" s="2" t="s">
        <v>1864</v>
      </c>
    </row>
    <row r="445" ht="14.25" customHeight="1">
      <c r="A445" s="2" t="s">
        <v>717</v>
      </c>
      <c r="B445" s="2" t="s">
        <v>718</v>
      </c>
      <c r="C445" s="2" t="s">
        <v>160</v>
      </c>
      <c r="D445" s="2">
        <v>70.0</v>
      </c>
      <c r="E445" s="2" t="s">
        <v>34</v>
      </c>
      <c r="F445" s="2" t="s">
        <v>83</v>
      </c>
      <c r="G445" s="2" t="s">
        <v>719</v>
      </c>
      <c r="H445" s="2" t="s">
        <v>720</v>
      </c>
      <c r="I445" s="2" t="s">
        <v>1865</v>
      </c>
      <c r="J445" s="3">
        <v>45379.0</v>
      </c>
      <c r="K445" s="2" t="s">
        <v>1866</v>
      </c>
      <c r="L445" s="2" t="s">
        <v>337</v>
      </c>
      <c r="M445" s="2">
        <v>372.62</v>
      </c>
      <c r="N445" s="2">
        <v>2.0</v>
      </c>
      <c r="O445" s="2" t="s">
        <v>89</v>
      </c>
      <c r="P445" s="2">
        <v>4.0</v>
      </c>
      <c r="Q445" s="2">
        <v>57.0</v>
      </c>
      <c r="R445" s="3">
        <v>45382.0</v>
      </c>
      <c r="S445" s="2" t="s">
        <v>1867</v>
      </c>
    </row>
    <row r="446" ht="14.25" customHeight="1">
      <c r="A446" s="2" t="s">
        <v>1868</v>
      </c>
      <c r="B446" s="2" t="s">
        <v>1097</v>
      </c>
      <c r="C446" s="2" t="s">
        <v>1869</v>
      </c>
      <c r="D446" s="2">
        <v>64.0</v>
      </c>
      <c r="E446" s="2" t="s">
        <v>34</v>
      </c>
      <c r="F446" s="2" t="s">
        <v>69</v>
      </c>
      <c r="G446" s="2" t="s">
        <v>1870</v>
      </c>
      <c r="H446" s="2" t="s">
        <v>1871</v>
      </c>
      <c r="I446" s="2" t="s">
        <v>1872</v>
      </c>
      <c r="J446" s="3">
        <v>45633.0</v>
      </c>
      <c r="K446" s="2" t="s">
        <v>1873</v>
      </c>
      <c r="L446" s="2" t="s">
        <v>934</v>
      </c>
      <c r="M446" s="2">
        <v>107.47</v>
      </c>
      <c r="N446" s="2">
        <v>4.0</v>
      </c>
      <c r="O446" s="2" t="s">
        <v>78</v>
      </c>
      <c r="P446" s="2">
        <v>5.0</v>
      </c>
      <c r="Q446" s="2">
        <v>42.0</v>
      </c>
      <c r="R446" s="3">
        <v>45637.0</v>
      </c>
      <c r="S446" s="2" t="s">
        <v>1874</v>
      </c>
    </row>
    <row r="447" ht="14.25" customHeight="1">
      <c r="A447" s="2" t="s">
        <v>1868</v>
      </c>
      <c r="B447" s="2" t="s">
        <v>1097</v>
      </c>
      <c r="C447" s="2" t="s">
        <v>1869</v>
      </c>
      <c r="D447" s="2">
        <v>64.0</v>
      </c>
      <c r="E447" s="2" t="s">
        <v>34</v>
      </c>
      <c r="F447" s="2" t="s">
        <v>69</v>
      </c>
      <c r="G447" s="2" t="s">
        <v>1870</v>
      </c>
      <c r="H447" s="2" t="s">
        <v>1871</v>
      </c>
      <c r="I447" s="2" t="s">
        <v>1875</v>
      </c>
      <c r="J447" s="3">
        <v>45539.0</v>
      </c>
      <c r="K447" s="2" t="s">
        <v>1876</v>
      </c>
      <c r="L447" s="2" t="s">
        <v>28</v>
      </c>
      <c r="M447" s="2">
        <v>308.88</v>
      </c>
      <c r="N447" s="2">
        <v>2.0</v>
      </c>
      <c r="O447" s="2" t="s">
        <v>78</v>
      </c>
      <c r="P447" s="2">
        <v>2.0</v>
      </c>
      <c r="Q447" s="2">
        <v>55.0</v>
      </c>
      <c r="R447" s="3">
        <v>45541.0</v>
      </c>
      <c r="S447" s="2" t="s">
        <v>1877</v>
      </c>
    </row>
    <row r="448" ht="14.25" customHeight="1">
      <c r="A448" s="2" t="s">
        <v>31</v>
      </c>
      <c r="B448" s="2" t="s">
        <v>32</v>
      </c>
      <c r="C448" s="2" t="s">
        <v>33</v>
      </c>
      <c r="D448" s="2">
        <v>53.0</v>
      </c>
      <c r="E448" s="2" t="s">
        <v>34</v>
      </c>
      <c r="F448" s="2" t="s">
        <v>35</v>
      </c>
      <c r="G448" s="2" t="s">
        <v>36</v>
      </c>
      <c r="H448" s="2" t="s">
        <v>37</v>
      </c>
      <c r="I448" s="2" t="s">
        <v>1878</v>
      </c>
      <c r="J448" s="3">
        <v>45684.0</v>
      </c>
      <c r="K448" s="2" t="s">
        <v>1879</v>
      </c>
      <c r="L448" s="2" t="s">
        <v>263</v>
      </c>
      <c r="M448" s="2">
        <v>62.42</v>
      </c>
      <c r="N448" s="2">
        <v>5.0</v>
      </c>
      <c r="O448" s="2" t="s">
        <v>51</v>
      </c>
      <c r="P448" s="2">
        <v>6.0</v>
      </c>
      <c r="Q448" s="2">
        <v>69.0</v>
      </c>
      <c r="R448" s="3">
        <v>45690.0</v>
      </c>
      <c r="S448" s="2" t="s">
        <v>1880</v>
      </c>
    </row>
    <row r="449" ht="14.25" customHeight="1">
      <c r="A449" s="2" t="s">
        <v>1607</v>
      </c>
      <c r="B449" s="2" t="s">
        <v>266</v>
      </c>
      <c r="C449" s="2" t="s">
        <v>1608</v>
      </c>
      <c r="D449" s="2">
        <v>62.0</v>
      </c>
      <c r="E449" s="2" t="s">
        <v>34</v>
      </c>
      <c r="F449" s="2" t="s">
        <v>35</v>
      </c>
      <c r="G449" s="2" t="s">
        <v>1609</v>
      </c>
      <c r="H449" s="2" t="s">
        <v>1610</v>
      </c>
      <c r="I449" s="2" t="s">
        <v>1881</v>
      </c>
      <c r="J449" s="3">
        <v>45429.0</v>
      </c>
      <c r="K449" s="2" t="s">
        <v>1882</v>
      </c>
      <c r="L449" s="2" t="s">
        <v>466</v>
      </c>
      <c r="M449" s="2">
        <v>286.07</v>
      </c>
      <c r="N449" s="2">
        <v>1.0</v>
      </c>
      <c r="O449" s="2" t="s">
        <v>56</v>
      </c>
      <c r="P449" s="2">
        <v>4.0</v>
      </c>
      <c r="Q449" s="2">
        <v>43.0</v>
      </c>
      <c r="R449" s="3">
        <v>45434.0</v>
      </c>
      <c r="S449" s="2" t="s">
        <v>1883</v>
      </c>
    </row>
    <row r="450" ht="14.25" customHeight="1">
      <c r="A450" s="2" t="s">
        <v>1868</v>
      </c>
      <c r="B450" s="2" t="s">
        <v>1097</v>
      </c>
      <c r="C450" s="2" t="s">
        <v>1869</v>
      </c>
      <c r="D450" s="2">
        <v>64.0</v>
      </c>
      <c r="E450" s="2" t="s">
        <v>34</v>
      </c>
      <c r="F450" s="2" t="s">
        <v>69</v>
      </c>
      <c r="G450" s="2" t="s">
        <v>1870</v>
      </c>
      <c r="H450" s="2" t="s">
        <v>1871</v>
      </c>
      <c r="I450" s="2" t="s">
        <v>1884</v>
      </c>
      <c r="J450" s="3">
        <v>45379.0</v>
      </c>
      <c r="K450" s="2" t="s">
        <v>1885</v>
      </c>
      <c r="L450" s="2" t="s">
        <v>40</v>
      </c>
      <c r="M450" s="2">
        <v>166.28</v>
      </c>
      <c r="N450" s="2">
        <v>2.0</v>
      </c>
      <c r="O450" s="2" t="s">
        <v>78</v>
      </c>
      <c r="P450" s="2">
        <v>4.0</v>
      </c>
      <c r="Q450" s="2">
        <v>40.0</v>
      </c>
      <c r="R450" s="3">
        <v>45384.0</v>
      </c>
      <c r="S450" s="2" t="s">
        <v>1886</v>
      </c>
    </row>
    <row r="451" ht="14.25" customHeight="1">
      <c r="A451" s="2" t="s">
        <v>585</v>
      </c>
      <c r="B451" s="2" t="s">
        <v>586</v>
      </c>
      <c r="C451" s="2" t="s">
        <v>587</v>
      </c>
      <c r="D451" s="2">
        <v>21.0</v>
      </c>
      <c r="E451" s="2" t="s">
        <v>22</v>
      </c>
      <c r="F451" s="2" t="s">
        <v>35</v>
      </c>
      <c r="G451" s="2" t="s">
        <v>588</v>
      </c>
      <c r="H451" s="2" t="s">
        <v>589</v>
      </c>
      <c r="I451" s="2" t="s">
        <v>1887</v>
      </c>
      <c r="J451" s="3">
        <v>45638.0</v>
      </c>
      <c r="K451" s="2" t="s">
        <v>1888</v>
      </c>
      <c r="L451" s="2" t="s">
        <v>646</v>
      </c>
      <c r="M451" s="2">
        <v>433.62</v>
      </c>
      <c r="N451" s="2">
        <v>2.0</v>
      </c>
      <c r="O451" s="2" t="s">
        <v>89</v>
      </c>
      <c r="P451" s="2">
        <v>7.0</v>
      </c>
      <c r="Q451" s="2">
        <v>39.0</v>
      </c>
      <c r="R451" s="3">
        <v>45644.0</v>
      </c>
      <c r="S451" s="2" t="s">
        <v>1889</v>
      </c>
    </row>
    <row r="452" ht="14.25" customHeight="1">
      <c r="A452" s="2" t="s">
        <v>367</v>
      </c>
      <c r="B452" s="2" t="s">
        <v>33</v>
      </c>
      <c r="C452" s="2" t="s">
        <v>368</v>
      </c>
      <c r="D452" s="2">
        <v>50.0</v>
      </c>
      <c r="E452" s="2" t="s">
        <v>45</v>
      </c>
      <c r="F452" s="2" t="s">
        <v>133</v>
      </c>
      <c r="G452" s="2" t="s">
        <v>369</v>
      </c>
      <c r="H452" s="2" t="s">
        <v>370</v>
      </c>
      <c r="I452" s="2" t="s">
        <v>1890</v>
      </c>
      <c r="J452" s="3">
        <v>45149.0</v>
      </c>
      <c r="K452" s="2" t="s">
        <v>1891</v>
      </c>
      <c r="L452" s="2" t="s">
        <v>55</v>
      </c>
      <c r="M452" s="2">
        <v>405.0</v>
      </c>
      <c r="N452" s="2">
        <v>3.0</v>
      </c>
      <c r="O452" s="2" t="s">
        <v>89</v>
      </c>
      <c r="P452" s="2">
        <v>6.0</v>
      </c>
      <c r="Q452" s="2">
        <v>36.0</v>
      </c>
      <c r="R452" s="3">
        <v>45153.0</v>
      </c>
      <c r="S452" s="2" t="s">
        <v>1892</v>
      </c>
    </row>
    <row r="453" ht="14.25" customHeight="1">
      <c r="A453" s="2" t="s">
        <v>31</v>
      </c>
      <c r="B453" s="2" t="s">
        <v>32</v>
      </c>
      <c r="C453" s="2" t="s">
        <v>33</v>
      </c>
      <c r="D453" s="2">
        <v>53.0</v>
      </c>
      <c r="E453" s="2" t="s">
        <v>34</v>
      </c>
      <c r="F453" s="2" t="s">
        <v>35</v>
      </c>
      <c r="G453" s="2" t="s">
        <v>36</v>
      </c>
      <c r="H453" s="2" t="s">
        <v>37</v>
      </c>
      <c r="I453" s="2" t="s">
        <v>1893</v>
      </c>
      <c r="J453" s="3">
        <v>45076.0</v>
      </c>
      <c r="K453" s="2" t="s">
        <v>1894</v>
      </c>
      <c r="L453" s="2" t="s">
        <v>74</v>
      </c>
      <c r="M453" s="2">
        <v>330.11</v>
      </c>
      <c r="N453" s="2">
        <v>3.0</v>
      </c>
      <c r="O453" s="2" t="s">
        <v>78</v>
      </c>
      <c r="P453" s="2">
        <v>7.0</v>
      </c>
      <c r="Q453" s="2">
        <v>40.0</v>
      </c>
      <c r="R453" s="3">
        <v>45080.0</v>
      </c>
      <c r="S453" s="2" t="s">
        <v>1895</v>
      </c>
    </row>
    <row r="454" ht="14.25" customHeight="1">
      <c r="A454" s="2" t="s">
        <v>1730</v>
      </c>
      <c r="B454" s="2" t="s">
        <v>1731</v>
      </c>
      <c r="C454" s="2" t="s">
        <v>1732</v>
      </c>
      <c r="D454" s="2">
        <v>47.0</v>
      </c>
      <c r="E454" s="2" t="s">
        <v>34</v>
      </c>
      <c r="F454" s="2" t="s">
        <v>23</v>
      </c>
      <c r="G454" s="2" t="s">
        <v>1733</v>
      </c>
      <c r="H454" s="2" t="s">
        <v>1734</v>
      </c>
      <c r="I454" s="2" t="s">
        <v>1896</v>
      </c>
      <c r="J454" s="3">
        <v>45380.0</v>
      </c>
      <c r="K454" s="2" t="s">
        <v>1897</v>
      </c>
      <c r="L454" s="2" t="s">
        <v>74</v>
      </c>
      <c r="M454" s="2">
        <v>330.11</v>
      </c>
      <c r="N454" s="2">
        <v>1.0</v>
      </c>
      <c r="O454" s="2" t="s">
        <v>89</v>
      </c>
      <c r="P454" s="2">
        <v>4.0</v>
      </c>
      <c r="Q454" s="2">
        <v>39.0</v>
      </c>
      <c r="R454" s="3">
        <v>45384.0</v>
      </c>
      <c r="S454" s="2" t="s">
        <v>1898</v>
      </c>
    </row>
    <row r="455" ht="14.25" customHeight="1">
      <c r="A455" s="2" t="s">
        <v>1899</v>
      </c>
      <c r="B455" s="2" t="s">
        <v>1900</v>
      </c>
      <c r="C455" s="2" t="s">
        <v>1901</v>
      </c>
      <c r="D455" s="2">
        <v>43.0</v>
      </c>
      <c r="E455" s="2" t="s">
        <v>22</v>
      </c>
      <c r="F455" s="2" t="s">
        <v>35</v>
      </c>
      <c r="G455" s="2" t="s">
        <v>1902</v>
      </c>
      <c r="H455" s="2" t="s">
        <v>1903</v>
      </c>
      <c r="I455" s="2" t="s">
        <v>1904</v>
      </c>
      <c r="J455" s="3">
        <v>45571.0</v>
      </c>
      <c r="K455" s="2" t="s">
        <v>1905</v>
      </c>
      <c r="L455" s="2" t="s">
        <v>630</v>
      </c>
      <c r="M455" s="2">
        <v>445.81</v>
      </c>
      <c r="N455" s="2">
        <v>2.0</v>
      </c>
      <c r="O455" s="2" t="s">
        <v>51</v>
      </c>
      <c r="P455" s="2">
        <v>4.0</v>
      </c>
      <c r="Q455" s="2">
        <v>59.0</v>
      </c>
      <c r="R455" s="3">
        <v>45576.0</v>
      </c>
      <c r="S455" s="2" t="s">
        <v>1906</v>
      </c>
    </row>
    <row r="456" ht="14.25" customHeight="1">
      <c r="A456" s="2" t="s">
        <v>1607</v>
      </c>
      <c r="B456" s="2" t="s">
        <v>266</v>
      </c>
      <c r="C456" s="2" t="s">
        <v>1608</v>
      </c>
      <c r="D456" s="2">
        <v>62.0</v>
      </c>
      <c r="E456" s="2" t="s">
        <v>34</v>
      </c>
      <c r="F456" s="2" t="s">
        <v>35</v>
      </c>
      <c r="G456" s="2" t="s">
        <v>1609</v>
      </c>
      <c r="H456" s="2" t="s">
        <v>1610</v>
      </c>
      <c r="I456" s="2" t="s">
        <v>1907</v>
      </c>
      <c r="J456" s="3">
        <v>45380.0</v>
      </c>
      <c r="K456" s="2" t="s">
        <v>1908</v>
      </c>
      <c r="L456" s="2" t="s">
        <v>977</v>
      </c>
      <c r="M456" s="2">
        <v>33.49</v>
      </c>
      <c r="N456" s="2">
        <v>1.0</v>
      </c>
      <c r="O456" s="2" t="s">
        <v>56</v>
      </c>
      <c r="P456" s="2">
        <v>2.0</v>
      </c>
      <c r="Q456" s="2">
        <v>69.0</v>
      </c>
      <c r="R456" s="3">
        <v>45385.0</v>
      </c>
      <c r="S456" s="2" t="s">
        <v>1909</v>
      </c>
    </row>
    <row r="457" ht="14.25" customHeight="1">
      <c r="A457" s="2" t="s">
        <v>359</v>
      </c>
      <c r="B457" s="2" t="s">
        <v>360</v>
      </c>
      <c r="C457" s="2" t="s">
        <v>361</v>
      </c>
      <c r="D457" s="2">
        <v>31.0</v>
      </c>
      <c r="E457" s="2" t="s">
        <v>45</v>
      </c>
      <c r="F457" s="2" t="s">
        <v>133</v>
      </c>
      <c r="G457" s="2" t="s">
        <v>362</v>
      </c>
      <c r="H457" s="2" t="s">
        <v>363</v>
      </c>
      <c r="I457" s="2" t="s">
        <v>1910</v>
      </c>
      <c r="J457" s="3">
        <v>45525.0</v>
      </c>
      <c r="K457" s="2" t="s">
        <v>1911</v>
      </c>
      <c r="L457" s="2" t="s">
        <v>280</v>
      </c>
      <c r="M457" s="2">
        <v>157.64</v>
      </c>
      <c r="N457" s="2">
        <v>1.0</v>
      </c>
      <c r="O457" s="2" t="s">
        <v>78</v>
      </c>
      <c r="P457" s="2">
        <v>7.0</v>
      </c>
      <c r="Q457" s="2">
        <v>46.0</v>
      </c>
      <c r="R457" s="3">
        <v>45527.0</v>
      </c>
      <c r="S457" s="2" t="s">
        <v>1912</v>
      </c>
    </row>
    <row r="458" ht="14.25" customHeight="1">
      <c r="A458" s="2" t="s">
        <v>351</v>
      </c>
      <c r="B458" s="2" t="s">
        <v>352</v>
      </c>
      <c r="C458" s="2" t="s">
        <v>353</v>
      </c>
      <c r="D458" s="2">
        <v>32.0</v>
      </c>
      <c r="E458" s="2" t="s">
        <v>34</v>
      </c>
      <c r="F458" s="2" t="s">
        <v>161</v>
      </c>
      <c r="G458" s="2" t="s">
        <v>354</v>
      </c>
      <c r="H458" s="2" t="s">
        <v>355</v>
      </c>
      <c r="I458" s="2" t="s">
        <v>1913</v>
      </c>
      <c r="J458" s="3">
        <v>45257.0</v>
      </c>
      <c r="K458" s="2" t="s">
        <v>1914</v>
      </c>
      <c r="L458" s="2" t="s">
        <v>119</v>
      </c>
      <c r="M458" s="2">
        <v>257.06</v>
      </c>
      <c r="N458" s="2">
        <v>1.0</v>
      </c>
      <c r="O458" s="2" t="s">
        <v>29</v>
      </c>
      <c r="P458" s="2">
        <v>3.0</v>
      </c>
      <c r="Q458" s="2">
        <v>47.0</v>
      </c>
      <c r="R458" s="3">
        <v>45259.0</v>
      </c>
      <c r="S458" s="2" t="s">
        <v>1915</v>
      </c>
    </row>
    <row r="459" ht="14.25" customHeight="1">
      <c r="A459" s="2" t="s">
        <v>1035</v>
      </c>
      <c r="B459" s="2" t="s">
        <v>67</v>
      </c>
      <c r="C459" s="2" t="s">
        <v>1036</v>
      </c>
      <c r="D459" s="2">
        <v>46.0</v>
      </c>
      <c r="E459" s="2" t="s">
        <v>22</v>
      </c>
      <c r="F459" s="2" t="s">
        <v>23</v>
      </c>
      <c r="G459" s="2" t="s">
        <v>1037</v>
      </c>
      <c r="H459" s="2" t="s">
        <v>1038</v>
      </c>
      <c r="I459" s="2" t="s">
        <v>1916</v>
      </c>
      <c r="J459" s="3">
        <v>44980.0</v>
      </c>
      <c r="K459" s="2" t="s">
        <v>1917</v>
      </c>
      <c r="L459" s="2" t="s">
        <v>376</v>
      </c>
      <c r="M459" s="2">
        <v>431.44</v>
      </c>
      <c r="N459" s="2">
        <v>3.0</v>
      </c>
      <c r="O459" s="2" t="s">
        <v>29</v>
      </c>
      <c r="P459" s="2">
        <v>6.0</v>
      </c>
      <c r="Q459" s="2">
        <v>70.0</v>
      </c>
      <c r="R459" s="3">
        <v>44983.0</v>
      </c>
      <c r="S459" s="2" t="s">
        <v>1918</v>
      </c>
    </row>
    <row r="460" ht="14.25" customHeight="1">
      <c r="A460" s="2" t="s">
        <v>1730</v>
      </c>
      <c r="B460" s="2" t="s">
        <v>1731</v>
      </c>
      <c r="C460" s="2" t="s">
        <v>1732</v>
      </c>
      <c r="D460" s="2">
        <v>47.0</v>
      </c>
      <c r="E460" s="2" t="s">
        <v>34</v>
      </c>
      <c r="F460" s="2" t="s">
        <v>23</v>
      </c>
      <c r="G460" s="2" t="s">
        <v>1733</v>
      </c>
      <c r="H460" s="2" t="s">
        <v>1734</v>
      </c>
      <c r="I460" s="2" t="s">
        <v>1919</v>
      </c>
      <c r="J460" s="3">
        <v>45183.0</v>
      </c>
      <c r="K460" s="2" t="s">
        <v>1920</v>
      </c>
      <c r="L460" s="2" t="s">
        <v>227</v>
      </c>
      <c r="M460" s="2">
        <v>132.97</v>
      </c>
      <c r="N460" s="2">
        <v>1.0</v>
      </c>
      <c r="O460" s="2" t="s">
        <v>51</v>
      </c>
      <c r="P460" s="2">
        <v>6.0</v>
      </c>
      <c r="Q460" s="2">
        <v>37.0</v>
      </c>
      <c r="R460" s="3">
        <v>45190.0</v>
      </c>
      <c r="S460" s="2" t="s">
        <v>1921</v>
      </c>
    </row>
    <row r="461" ht="14.25" customHeight="1">
      <c r="A461" s="2" t="s">
        <v>1730</v>
      </c>
      <c r="B461" s="2" t="s">
        <v>1731</v>
      </c>
      <c r="C461" s="2" t="s">
        <v>1732</v>
      </c>
      <c r="D461" s="2">
        <v>47.0</v>
      </c>
      <c r="E461" s="2" t="s">
        <v>34</v>
      </c>
      <c r="F461" s="2" t="s">
        <v>23</v>
      </c>
      <c r="G461" s="2" t="s">
        <v>1733</v>
      </c>
      <c r="H461" s="2" t="s">
        <v>1734</v>
      </c>
      <c r="I461" s="2" t="s">
        <v>1922</v>
      </c>
      <c r="J461" s="3">
        <v>45015.0</v>
      </c>
      <c r="K461" s="2" t="s">
        <v>1923</v>
      </c>
      <c r="L461" s="2" t="s">
        <v>316</v>
      </c>
      <c r="M461" s="2">
        <v>481.48</v>
      </c>
      <c r="N461" s="2">
        <v>2.0</v>
      </c>
      <c r="O461" s="2" t="s">
        <v>56</v>
      </c>
      <c r="P461" s="2">
        <v>5.0</v>
      </c>
      <c r="Q461" s="2">
        <v>45.0</v>
      </c>
      <c r="R461" s="3">
        <v>45017.0</v>
      </c>
      <c r="S461" s="2" t="s">
        <v>1924</v>
      </c>
    </row>
    <row r="462" ht="14.25" customHeight="1">
      <c r="A462" s="2" t="s">
        <v>1925</v>
      </c>
      <c r="B462" s="2" t="s">
        <v>1926</v>
      </c>
      <c r="C462" s="2" t="s">
        <v>1927</v>
      </c>
      <c r="D462" s="2">
        <v>54.0</v>
      </c>
      <c r="E462" s="2" t="s">
        <v>34</v>
      </c>
      <c r="F462" s="2" t="s">
        <v>69</v>
      </c>
      <c r="G462" s="2" t="s">
        <v>1928</v>
      </c>
      <c r="H462" s="2" t="s">
        <v>1929</v>
      </c>
      <c r="I462" s="2" t="s">
        <v>1930</v>
      </c>
      <c r="J462" s="3">
        <v>45587.0</v>
      </c>
      <c r="K462" s="2" t="s">
        <v>1931</v>
      </c>
      <c r="L462" s="2" t="s">
        <v>474</v>
      </c>
      <c r="M462" s="2">
        <v>87.09</v>
      </c>
      <c r="N462" s="2">
        <v>5.0</v>
      </c>
      <c r="O462" s="2" t="s">
        <v>51</v>
      </c>
      <c r="P462" s="2">
        <v>7.0</v>
      </c>
      <c r="Q462" s="2">
        <v>40.0</v>
      </c>
      <c r="R462" s="3">
        <v>45589.0</v>
      </c>
      <c r="S462" s="2" t="s">
        <v>1932</v>
      </c>
    </row>
    <row r="463" ht="14.25" customHeight="1">
      <c r="A463" s="2" t="s">
        <v>816</v>
      </c>
      <c r="B463" s="2" t="s">
        <v>817</v>
      </c>
      <c r="C463" s="2" t="s">
        <v>818</v>
      </c>
      <c r="D463" s="2">
        <v>42.0</v>
      </c>
      <c r="E463" s="2" t="s">
        <v>22</v>
      </c>
      <c r="F463" s="2" t="s">
        <v>69</v>
      </c>
      <c r="G463" s="2" t="s">
        <v>819</v>
      </c>
      <c r="H463" s="2" t="s">
        <v>820</v>
      </c>
      <c r="I463" s="2" t="s">
        <v>1933</v>
      </c>
      <c r="J463" s="3">
        <v>45596.0</v>
      </c>
      <c r="K463" s="2" t="s">
        <v>1934</v>
      </c>
      <c r="L463" s="2" t="s">
        <v>741</v>
      </c>
      <c r="M463" s="2">
        <v>381.73</v>
      </c>
      <c r="N463" s="2">
        <v>5.0</v>
      </c>
      <c r="O463" s="2" t="s">
        <v>51</v>
      </c>
      <c r="P463" s="2">
        <v>1.0</v>
      </c>
      <c r="Q463" s="2">
        <v>53.0</v>
      </c>
      <c r="R463" s="3">
        <v>45603.0</v>
      </c>
      <c r="S463" s="2" t="s">
        <v>1935</v>
      </c>
    </row>
    <row r="464" ht="14.25" customHeight="1">
      <c r="A464" s="2" t="s">
        <v>1311</v>
      </c>
      <c r="B464" s="2" t="s">
        <v>1312</v>
      </c>
      <c r="C464" s="2" t="s">
        <v>1313</v>
      </c>
      <c r="D464" s="2">
        <v>43.0</v>
      </c>
      <c r="E464" s="2" t="s">
        <v>22</v>
      </c>
      <c r="F464" s="2" t="s">
        <v>133</v>
      </c>
      <c r="G464" s="2" t="s">
        <v>1314</v>
      </c>
      <c r="H464" s="2" t="s">
        <v>1315</v>
      </c>
      <c r="I464" s="2" t="s">
        <v>1936</v>
      </c>
      <c r="J464" s="3">
        <v>45087.0</v>
      </c>
      <c r="K464" s="2" t="s">
        <v>1937</v>
      </c>
      <c r="L464" s="2" t="s">
        <v>376</v>
      </c>
      <c r="M464" s="2">
        <v>431.44</v>
      </c>
      <c r="N464" s="2">
        <v>3.0</v>
      </c>
      <c r="O464" s="2" t="s">
        <v>51</v>
      </c>
      <c r="P464" s="2">
        <v>4.0</v>
      </c>
      <c r="Q464" s="2">
        <v>58.0</v>
      </c>
      <c r="R464" s="3">
        <v>45092.0</v>
      </c>
      <c r="S464" s="2" t="s">
        <v>1938</v>
      </c>
    </row>
    <row r="465" ht="14.25" customHeight="1">
      <c r="A465" s="2" t="s">
        <v>1607</v>
      </c>
      <c r="B465" s="2" t="s">
        <v>266</v>
      </c>
      <c r="C465" s="2" t="s">
        <v>1608</v>
      </c>
      <c r="D465" s="2">
        <v>62.0</v>
      </c>
      <c r="E465" s="2" t="s">
        <v>34</v>
      </c>
      <c r="F465" s="2" t="s">
        <v>35</v>
      </c>
      <c r="G465" s="2" t="s">
        <v>1609</v>
      </c>
      <c r="H465" s="2" t="s">
        <v>1610</v>
      </c>
      <c r="I465" s="2" t="s">
        <v>1939</v>
      </c>
      <c r="J465" s="3">
        <v>45393.0</v>
      </c>
      <c r="K465" s="2" t="s">
        <v>1940</v>
      </c>
      <c r="L465" s="2" t="s">
        <v>650</v>
      </c>
      <c r="M465" s="2">
        <v>235.63</v>
      </c>
      <c r="N465" s="2">
        <v>3.0</v>
      </c>
      <c r="O465" s="2" t="s">
        <v>56</v>
      </c>
      <c r="P465" s="2">
        <v>6.0</v>
      </c>
      <c r="Q465" s="2">
        <v>41.0</v>
      </c>
      <c r="R465" s="3">
        <v>45398.0</v>
      </c>
      <c r="S465" s="2" t="s">
        <v>1941</v>
      </c>
    </row>
    <row r="466" ht="14.25" customHeight="1">
      <c r="A466" s="2" t="s">
        <v>158</v>
      </c>
      <c r="B466" s="2" t="s">
        <v>159</v>
      </c>
      <c r="C466" s="2" t="s">
        <v>160</v>
      </c>
      <c r="D466" s="2">
        <v>46.0</v>
      </c>
      <c r="E466" s="2" t="s">
        <v>22</v>
      </c>
      <c r="F466" s="2" t="s">
        <v>161</v>
      </c>
      <c r="G466" s="2" t="s">
        <v>162</v>
      </c>
      <c r="H466" s="2" t="s">
        <v>163</v>
      </c>
      <c r="I466" s="2" t="s">
        <v>1942</v>
      </c>
      <c r="J466" s="3">
        <v>45525.0</v>
      </c>
      <c r="K466" s="2" t="s">
        <v>1943</v>
      </c>
      <c r="L466" s="2" t="s">
        <v>337</v>
      </c>
      <c r="M466" s="2">
        <v>372.62</v>
      </c>
      <c r="N466" s="2">
        <v>4.0</v>
      </c>
      <c r="O466" s="2" t="s">
        <v>29</v>
      </c>
      <c r="P466" s="2">
        <v>3.0</v>
      </c>
      <c r="Q466" s="2">
        <v>48.0</v>
      </c>
      <c r="R466" s="3">
        <v>45530.0</v>
      </c>
      <c r="S466" s="2" t="s">
        <v>1944</v>
      </c>
    </row>
    <row r="467" ht="14.25" customHeight="1">
      <c r="A467" s="2" t="s">
        <v>309</v>
      </c>
      <c r="B467" s="2" t="s">
        <v>310</v>
      </c>
      <c r="C467" s="2" t="s">
        <v>311</v>
      </c>
      <c r="D467" s="2">
        <v>45.0</v>
      </c>
      <c r="E467" s="2" t="s">
        <v>22</v>
      </c>
      <c r="F467" s="2" t="s">
        <v>35</v>
      </c>
      <c r="G467" s="2" t="s">
        <v>312</v>
      </c>
      <c r="H467" s="2" t="s">
        <v>313</v>
      </c>
      <c r="I467" s="2" t="s">
        <v>1945</v>
      </c>
      <c r="J467" s="3">
        <v>45103.0</v>
      </c>
      <c r="K467" s="2" t="s">
        <v>1946</v>
      </c>
      <c r="L467" s="2" t="s">
        <v>630</v>
      </c>
      <c r="M467" s="2">
        <v>445.81</v>
      </c>
      <c r="N467" s="2">
        <v>3.0</v>
      </c>
      <c r="O467" s="2" t="s">
        <v>78</v>
      </c>
      <c r="P467" s="2">
        <v>1.0</v>
      </c>
      <c r="Q467" s="2">
        <v>58.0</v>
      </c>
      <c r="R467" s="3">
        <v>45109.0</v>
      </c>
      <c r="S467" s="2" t="s">
        <v>1947</v>
      </c>
    </row>
    <row r="468" ht="14.25" customHeight="1">
      <c r="A468" s="2" t="s">
        <v>632</v>
      </c>
      <c r="B468" s="2" t="s">
        <v>141</v>
      </c>
      <c r="C468" s="2" t="s">
        <v>633</v>
      </c>
      <c r="D468" s="2">
        <v>44.0</v>
      </c>
      <c r="E468" s="2" t="s">
        <v>45</v>
      </c>
      <c r="F468" s="2" t="s">
        <v>83</v>
      </c>
      <c r="G468" s="2" t="s">
        <v>634</v>
      </c>
      <c r="H468" s="2" t="s">
        <v>635</v>
      </c>
      <c r="I468" s="2" t="s">
        <v>1948</v>
      </c>
      <c r="J468" s="3">
        <v>45410.0</v>
      </c>
      <c r="K468" s="2" t="s">
        <v>1949</v>
      </c>
      <c r="L468" s="2" t="s">
        <v>583</v>
      </c>
      <c r="M468" s="2">
        <v>403.03</v>
      </c>
      <c r="N468" s="2">
        <v>2.0</v>
      </c>
      <c r="O468" s="2" t="s">
        <v>51</v>
      </c>
      <c r="P468" s="2">
        <v>7.0</v>
      </c>
      <c r="Q468" s="2">
        <v>39.0</v>
      </c>
      <c r="R468" s="3">
        <v>45417.0</v>
      </c>
      <c r="S468" s="2" t="s">
        <v>1950</v>
      </c>
    </row>
    <row r="469" ht="14.25" customHeight="1">
      <c r="A469" s="2" t="s">
        <v>887</v>
      </c>
      <c r="B469" s="2" t="s">
        <v>141</v>
      </c>
      <c r="C469" s="2" t="s">
        <v>888</v>
      </c>
      <c r="D469" s="2">
        <v>29.0</v>
      </c>
      <c r="E469" s="2" t="s">
        <v>22</v>
      </c>
      <c r="F469" s="2" t="s">
        <v>35</v>
      </c>
      <c r="G469" s="2" t="s">
        <v>889</v>
      </c>
      <c r="H469" s="2" t="s">
        <v>890</v>
      </c>
      <c r="I469" s="2" t="s">
        <v>1951</v>
      </c>
      <c r="J469" s="3">
        <v>45423.0</v>
      </c>
      <c r="K469" s="2" t="s">
        <v>1952</v>
      </c>
      <c r="L469" s="2" t="s">
        <v>349</v>
      </c>
      <c r="M469" s="2">
        <v>496.59</v>
      </c>
      <c r="N469" s="2">
        <v>5.0</v>
      </c>
      <c r="O469" s="2" t="s">
        <v>29</v>
      </c>
      <c r="P469" s="2">
        <v>3.0</v>
      </c>
      <c r="Q469" s="2">
        <v>61.0</v>
      </c>
      <c r="R469" s="3">
        <v>45425.0</v>
      </c>
      <c r="S469" s="2" t="s">
        <v>1953</v>
      </c>
    </row>
    <row r="470" ht="14.25" customHeight="1">
      <c r="A470" s="2" t="s">
        <v>58</v>
      </c>
      <c r="B470" s="2" t="s">
        <v>59</v>
      </c>
      <c r="C470" s="2" t="s">
        <v>60</v>
      </c>
      <c r="D470" s="2">
        <v>49.0</v>
      </c>
      <c r="E470" s="2" t="s">
        <v>45</v>
      </c>
      <c r="F470" s="2" t="s">
        <v>23</v>
      </c>
      <c r="G470" s="2" t="s">
        <v>61</v>
      </c>
      <c r="H470" s="2" t="s">
        <v>62</v>
      </c>
      <c r="I470" s="2" t="s">
        <v>1954</v>
      </c>
      <c r="J470" s="3">
        <v>45377.0</v>
      </c>
      <c r="K470" s="2" t="s">
        <v>1955</v>
      </c>
      <c r="L470" s="2" t="s">
        <v>411</v>
      </c>
      <c r="M470" s="2">
        <v>44.5</v>
      </c>
      <c r="N470" s="2">
        <v>3.0</v>
      </c>
      <c r="O470" s="2" t="s">
        <v>78</v>
      </c>
      <c r="P470" s="2">
        <v>7.0</v>
      </c>
      <c r="Q470" s="2">
        <v>40.0</v>
      </c>
      <c r="R470" s="3">
        <v>45382.0</v>
      </c>
      <c r="S470" s="2" t="s">
        <v>1956</v>
      </c>
    </row>
    <row r="471" ht="14.25" customHeight="1">
      <c r="A471" s="2" t="s">
        <v>1607</v>
      </c>
      <c r="B471" s="2" t="s">
        <v>266</v>
      </c>
      <c r="C471" s="2" t="s">
        <v>1608</v>
      </c>
      <c r="D471" s="2">
        <v>62.0</v>
      </c>
      <c r="E471" s="2" t="s">
        <v>34</v>
      </c>
      <c r="F471" s="2" t="s">
        <v>35</v>
      </c>
      <c r="G471" s="2" t="s">
        <v>1609</v>
      </c>
      <c r="H471" s="2" t="s">
        <v>1610</v>
      </c>
      <c r="I471" s="2" t="s">
        <v>1957</v>
      </c>
      <c r="J471" s="3">
        <v>45451.0</v>
      </c>
      <c r="K471" s="2" t="s">
        <v>1958</v>
      </c>
      <c r="L471" s="2" t="s">
        <v>263</v>
      </c>
      <c r="M471" s="2">
        <v>62.42</v>
      </c>
      <c r="N471" s="2">
        <v>5.0</v>
      </c>
      <c r="O471" s="2" t="s">
        <v>56</v>
      </c>
      <c r="P471" s="2">
        <v>2.0</v>
      </c>
      <c r="Q471" s="2">
        <v>47.0</v>
      </c>
      <c r="R471" s="3">
        <v>45453.0</v>
      </c>
      <c r="S471" s="2" t="s">
        <v>1959</v>
      </c>
    </row>
    <row r="472" ht="14.25" customHeight="1">
      <c r="A472" s="2" t="s">
        <v>698</v>
      </c>
      <c r="B472" s="2" t="s">
        <v>699</v>
      </c>
      <c r="C472" s="2" t="s">
        <v>700</v>
      </c>
      <c r="D472" s="2">
        <v>26.0</v>
      </c>
      <c r="E472" s="2" t="s">
        <v>45</v>
      </c>
      <c r="F472" s="2" t="s">
        <v>69</v>
      </c>
      <c r="G472" s="2" t="s">
        <v>701</v>
      </c>
      <c r="H472" s="2" t="s">
        <v>702</v>
      </c>
      <c r="I472" s="2" t="s">
        <v>1960</v>
      </c>
      <c r="J472" s="3">
        <v>45362.0</v>
      </c>
      <c r="K472" s="2" t="s">
        <v>1961</v>
      </c>
      <c r="L472" s="2" t="s">
        <v>474</v>
      </c>
      <c r="M472" s="2">
        <v>87.09</v>
      </c>
      <c r="N472" s="2">
        <v>4.0</v>
      </c>
      <c r="O472" s="2" t="s">
        <v>89</v>
      </c>
      <c r="P472" s="2">
        <v>5.0</v>
      </c>
      <c r="Q472" s="2">
        <v>45.0</v>
      </c>
      <c r="R472" s="3">
        <v>45368.0</v>
      </c>
      <c r="S472" s="2" t="s">
        <v>1962</v>
      </c>
    </row>
    <row r="473" ht="14.25" customHeight="1">
      <c r="A473" s="2" t="s">
        <v>286</v>
      </c>
      <c r="B473" s="2" t="s">
        <v>287</v>
      </c>
      <c r="C473" s="2" t="s">
        <v>288</v>
      </c>
      <c r="D473" s="2">
        <v>48.0</v>
      </c>
      <c r="E473" s="2" t="s">
        <v>34</v>
      </c>
      <c r="F473" s="2" t="s">
        <v>83</v>
      </c>
      <c r="G473" s="2" t="s">
        <v>289</v>
      </c>
      <c r="H473" s="2" t="s">
        <v>290</v>
      </c>
      <c r="I473" s="2" t="s">
        <v>1963</v>
      </c>
      <c r="J473" s="3">
        <v>45283.0</v>
      </c>
      <c r="K473" s="2" t="s">
        <v>1964</v>
      </c>
      <c r="L473" s="2" t="s">
        <v>333</v>
      </c>
      <c r="M473" s="2">
        <v>77.84</v>
      </c>
      <c r="N473" s="2">
        <v>4.0</v>
      </c>
      <c r="O473" s="2" t="s">
        <v>78</v>
      </c>
      <c r="P473" s="2">
        <v>5.0</v>
      </c>
      <c r="Q473" s="2">
        <v>55.0</v>
      </c>
      <c r="R473" s="3">
        <v>45286.0</v>
      </c>
      <c r="S473" s="2" t="s">
        <v>1965</v>
      </c>
    </row>
    <row r="474" ht="14.25" customHeight="1">
      <c r="A474" s="2" t="s">
        <v>1899</v>
      </c>
      <c r="B474" s="2" t="s">
        <v>1900</v>
      </c>
      <c r="C474" s="2" t="s">
        <v>1901</v>
      </c>
      <c r="D474" s="2">
        <v>43.0</v>
      </c>
      <c r="E474" s="2" t="s">
        <v>22</v>
      </c>
      <c r="F474" s="2" t="s">
        <v>35</v>
      </c>
      <c r="G474" s="2" t="s">
        <v>1902</v>
      </c>
      <c r="H474" s="2" t="s">
        <v>1903</v>
      </c>
      <c r="I474" s="2" t="s">
        <v>1966</v>
      </c>
      <c r="J474" s="3">
        <v>45012.0</v>
      </c>
      <c r="K474" s="2" t="s">
        <v>1967</v>
      </c>
      <c r="L474" s="2" t="s">
        <v>333</v>
      </c>
      <c r="M474" s="2">
        <v>77.84</v>
      </c>
      <c r="N474" s="2">
        <v>5.0</v>
      </c>
      <c r="O474" s="2" t="s">
        <v>89</v>
      </c>
      <c r="P474" s="2">
        <v>2.0</v>
      </c>
      <c r="Q474" s="2">
        <v>53.0</v>
      </c>
      <c r="R474" s="3">
        <v>45017.0</v>
      </c>
      <c r="S474" s="2" t="s">
        <v>1968</v>
      </c>
    </row>
    <row r="475" ht="14.25" customHeight="1">
      <c r="A475" s="2" t="s">
        <v>468</v>
      </c>
      <c r="B475" s="2" t="s">
        <v>101</v>
      </c>
      <c r="C475" s="2" t="s">
        <v>469</v>
      </c>
      <c r="D475" s="2">
        <v>33.0</v>
      </c>
      <c r="E475" s="2" t="s">
        <v>22</v>
      </c>
      <c r="F475" s="2" t="s">
        <v>161</v>
      </c>
      <c r="G475" s="2" t="s">
        <v>470</v>
      </c>
      <c r="H475" s="2" t="s">
        <v>471</v>
      </c>
      <c r="I475" s="2" t="s">
        <v>1969</v>
      </c>
      <c r="J475" s="3">
        <v>45528.0</v>
      </c>
      <c r="K475" s="2" t="s">
        <v>1970</v>
      </c>
      <c r="L475" s="2" t="s">
        <v>227</v>
      </c>
      <c r="M475" s="2">
        <v>132.97</v>
      </c>
      <c r="N475" s="2">
        <v>4.0</v>
      </c>
      <c r="O475" s="2" t="s">
        <v>56</v>
      </c>
      <c r="P475" s="2">
        <v>6.0</v>
      </c>
      <c r="Q475" s="2">
        <v>63.0</v>
      </c>
      <c r="R475" s="3">
        <v>45535.0</v>
      </c>
      <c r="S475" s="2" t="s">
        <v>1971</v>
      </c>
    </row>
    <row r="476" ht="14.25" customHeight="1">
      <c r="A476" s="2" t="s">
        <v>229</v>
      </c>
      <c r="B476" s="2" t="s">
        <v>59</v>
      </c>
      <c r="C476" s="2" t="s">
        <v>230</v>
      </c>
      <c r="D476" s="2">
        <v>52.0</v>
      </c>
      <c r="E476" s="2" t="s">
        <v>45</v>
      </c>
      <c r="F476" s="2" t="s">
        <v>35</v>
      </c>
      <c r="G476" s="2" t="s">
        <v>231</v>
      </c>
      <c r="H476" s="2" t="s">
        <v>232</v>
      </c>
      <c r="I476" s="2" t="s">
        <v>1972</v>
      </c>
      <c r="J476" s="3">
        <v>45354.0</v>
      </c>
      <c r="K476" s="2" t="s">
        <v>1973</v>
      </c>
      <c r="L476" s="2" t="s">
        <v>218</v>
      </c>
      <c r="M476" s="2">
        <v>461.07</v>
      </c>
      <c r="N476" s="2">
        <v>3.0</v>
      </c>
      <c r="O476" s="2" t="s">
        <v>51</v>
      </c>
      <c r="P476" s="2">
        <v>4.0</v>
      </c>
      <c r="Q476" s="2">
        <v>54.0</v>
      </c>
      <c r="R476" s="3">
        <v>45357.0</v>
      </c>
      <c r="S476" s="2" t="s">
        <v>1974</v>
      </c>
    </row>
    <row r="477" ht="14.25" customHeight="1">
      <c r="A477" s="2" t="s">
        <v>639</v>
      </c>
      <c r="B477" s="2" t="s">
        <v>640</v>
      </c>
      <c r="C477" s="2" t="s">
        <v>641</v>
      </c>
      <c r="D477" s="2">
        <v>45.0</v>
      </c>
      <c r="E477" s="2" t="s">
        <v>45</v>
      </c>
      <c r="F477" s="2" t="s">
        <v>83</v>
      </c>
      <c r="G477" s="2" t="s">
        <v>642</v>
      </c>
      <c r="H477" s="2" t="s">
        <v>643</v>
      </c>
      <c r="I477" s="2" t="s">
        <v>1975</v>
      </c>
      <c r="J477" s="3">
        <v>45327.0</v>
      </c>
      <c r="K477" s="2" t="s">
        <v>1976</v>
      </c>
      <c r="L477" s="2" t="s">
        <v>40</v>
      </c>
      <c r="M477" s="2">
        <v>166.28</v>
      </c>
      <c r="N477" s="2">
        <v>1.0</v>
      </c>
      <c r="O477" s="2" t="s">
        <v>56</v>
      </c>
      <c r="P477" s="2">
        <v>2.0</v>
      </c>
      <c r="Q477" s="2">
        <v>38.0</v>
      </c>
      <c r="R477" s="3">
        <v>45328.0</v>
      </c>
      <c r="S477" s="2" t="s">
        <v>1977</v>
      </c>
    </row>
    <row r="478" ht="14.25" customHeight="1">
      <c r="A478" s="2" t="s">
        <v>1925</v>
      </c>
      <c r="B478" s="2" t="s">
        <v>1926</v>
      </c>
      <c r="C478" s="2" t="s">
        <v>1927</v>
      </c>
      <c r="D478" s="2">
        <v>54.0</v>
      </c>
      <c r="E478" s="2" t="s">
        <v>34</v>
      </c>
      <c r="F478" s="2" t="s">
        <v>69</v>
      </c>
      <c r="G478" s="2" t="s">
        <v>1928</v>
      </c>
      <c r="H478" s="2" t="s">
        <v>1929</v>
      </c>
      <c r="I478" s="2" t="s">
        <v>1978</v>
      </c>
      <c r="J478" s="3">
        <v>45353.0</v>
      </c>
      <c r="K478" s="2" t="s">
        <v>1979</v>
      </c>
      <c r="L478" s="2" t="s">
        <v>566</v>
      </c>
      <c r="M478" s="2">
        <v>477.52</v>
      </c>
      <c r="N478" s="2">
        <v>4.0</v>
      </c>
      <c r="O478" s="2" t="s">
        <v>89</v>
      </c>
      <c r="P478" s="2">
        <v>3.0</v>
      </c>
      <c r="Q478" s="2">
        <v>54.0</v>
      </c>
      <c r="R478" s="3">
        <v>45354.0</v>
      </c>
      <c r="S478" s="2" t="s">
        <v>1980</v>
      </c>
    </row>
    <row r="479" ht="14.25" customHeight="1">
      <c r="A479" s="2" t="s">
        <v>394</v>
      </c>
      <c r="B479" s="2" t="s">
        <v>395</v>
      </c>
      <c r="C479" s="2" t="s">
        <v>396</v>
      </c>
      <c r="D479" s="2">
        <v>70.0</v>
      </c>
      <c r="E479" s="2" t="s">
        <v>22</v>
      </c>
      <c r="F479" s="2" t="s">
        <v>23</v>
      </c>
      <c r="G479" s="2" t="s">
        <v>397</v>
      </c>
      <c r="H479" s="2" t="s">
        <v>398</v>
      </c>
      <c r="I479" s="2" t="s">
        <v>1981</v>
      </c>
      <c r="J479" s="3">
        <v>45392.0</v>
      </c>
      <c r="K479" s="2" t="s">
        <v>481</v>
      </c>
      <c r="L479" s="2" t="s">
        <v>566</v>
      </c>
      <c r="M479" s="2">
        <v>477.52</v>
      </c>
      <c r="N479" s="2">
        <v>5.0</v>
      </c>
      <c r="O479" s="2" t="s">
        <v>89</v>
      </c>
      <c r="P479" s="2">
        <v>7.0</v>
      </c>
      <c r="Q479" s="2">
        <v>53.0</v>
      </c>
      <c r="R479" s="3">
        <v>45394.0</v>
      </c>
      <c r="S479" s="2" t="s">
        <v>1982</v>
      </c>
    </row>
    <row r="480" ht="14.25" customHeight="1">
      <c r="A480" s="2" t="s">
        <v>1899</v>
      </c>
      <c r="B480" s="2" t="s">
        <v>1900</v>
      </c>
      <c r="C480" s="2" t="s">
        <v>1901</v>
      </c>
      <c r="D480" s="2">
        <v>43.0</v>
      </c>
      <c r="E480" s="2" t="s">
        <v>22</v>
      </c>
      <c r="F480" s="2" t="s">
        <v>35</v>
      </c>
      <c r="G480" s="2" t="s">
        <v>1902</v>
      </c>
      <c r="H480" s="2" t="s">
        <v>1903</v>
      </c>
      <c r="I480" s="2" t="s">
        <v>1983</v>
      </c>
      <c r="J480" s="3">
        <v>45259.0</v>
      </c>
      <c r="K480" s="2" t="s">
        <v>1984</v>
      </c>
      <c r="L480" s="2" t="s">
        <v>284</v>
      </c>
      <c r="M480" s="2">
        <v>158.53</v>
      </c>
      <c r="N480" s="2">
        <v>2.0</v>
      </c>
      <c r="O480" s="2" t="s">
        <v>56</v>
      </c>
      <c r="P480" s="2">
        <v>5.0</v>
      </c>
      <c r="Q480" s="2">
        <v>69.0</v>
      </c>
      <c r="R480" s="3">
        <v>45261.0</v>
      </c>
      <c r="S480" s="2" t="s">
        <v>1985</v>
      </c>
    </row>
    <row r="481" ht="14.25" customHeight="1">
      <c r="A481" s="2" t="s">
        <v>194</v>
      </c>
      <c r="B481" s="2" t="s">
        <v>195</v>
      </c>
      <c r="C481" s="2" t="s">
        <v>196</v>
      </c>
      <c r="D481" s="2">
        <v>23.0</v>
      </c>
      <c r="E481" s="2" t="s">
        <v>22</v>
      </c>
      <c r="F481" s="2" t="s">
        <v>83</v>
      </c>
      <c r="G481" s="2" t="s">
        <v>197</v>
      </c>
      <c r="H481" s="2" t="s">
        <v>198</v>
      </c>
      <c r="I481" s="2" t="s">
        <v>1986</v>
      </c>
      <c r="J481" s="3">
        <v>45373.0</v>
      </c>
      <c r="K481" s="2" t="s">
        <v>1987</v>
      </c>
      <c r="L481" s="2" t="s">
        <v>55</v>
      </c>
      <c r="M481" s="2">
        <v>405.0</v>
      </c>
      <c r="N481" s="2">
        <v>3.0</v>
      </c>
      <c r="O481" s="2" t="s">
        <v>89</v>
      </c>
      <c r="P481" s="2">
        <v>5.0</v>
      </c>
      <c r="Q481" s="2">
        <v>54.0</v>
      </c>
      <c r="R481" s="3">
        <v>45379.0</v>
      </c>
      <c r="S481" s="2" t="s">
        <v>1988</v>
      </c>
    </row>
    <row r="482" ht="14.25" customHeight="1">
      <c r="A482" s="2" t="s">
        <v>459</v>
      </c>
      <c r="B482" s="2" t="s">
        <v>460</v>
      </c>
      <c r="C482" s="2" t="s">
        <v>461</v>
      </c>
      <c r="D482" s="2">
        <v>18.0</v>
      </c>
      <c r="E482" s="2" t="s">
        <v>34</v>
      </c>
      <c r="F482" s="2" t="s">
        <v>35</v>
      </c>
      <c r="G482" s="2" t="s">
        <v>462</v>
      </c>
      <c r="H482" s="2" t="s">
        <v>463</v>
      </c>
      <c r="I482" s="2" t="s">
        <v>1989</v>
      </c>
      <c r="J482" s="3">
        <v>45380.0</v>
      </c>
      <c r="K482" s="2" t="s">
        <v>1990</v>
      </c>
      <c r="L482" s="2" t="s">
        <v>934</v>
      </c>
      <c r="M482" s="2">
        <v>107.47</v>
      </c>
      <c r="N482" s="2">
        <v>4.0</v>
      </c>
      <c r="O482" s="2" t="s">
        <v>89</v>
      </c>
      <c r="P482" s="2">
        <v>3.0</v>
      </c>
      <c r="Q482" s="2">
        <v>65.0</v>
      </c>
      <c r="R482" s="3">
        <v>45385.0</v>
      </c>
      <c r="S482" s="2" t="s">
        <v>1991</v>
      </c>
    </row>
    <row r="483" ht="14.25" customHeight="1">
      <c r="A483" s="2" t="s">
        <v>476</v>
      </c>
      <c r="B483" s="2" t="s">
        <v>477</v>
      </c>
      <c r="C483" s="2" t="s">
        <v>123</v>
      </c>
      <c r="D483" s="2">
        <v>68.0</v>
      </c>
      <c r="E483" s="2" t="s">
        <v>45</v>
      </c>
      <c r="F483" s="2" t="s">
        <v>213</v>
      </c>
      <c r="G483" s="2" t="s">
        <v>478</v>
      </c>
      <c r="H483" s="2" t="s">
        <v>479</v>
      </c>
      <c r="I483" s="2" t="s">
        <v>1992</v>
      </c>
      <c r="J483" s="3">
        <v>45072.0</v>
      </c>
      <c r="K483" s="2" t="s">
        <v>1993</v>
      </c>
      <c r="L483" s="2" t="s">
        <v>243</v>
      </c>
      <c r="M483" s="2">
        <v>128.14</v>
      </c>
      <c r="N483" s="2">
        <v>3.0</v>
      </c>
      <c r="O483" s="2" t="s">
        <v>78</v>
      </c>
      <c r="P483" s="2">
        <v>2.0</v>
      </c>
      <c r="Q483" s="2">
        <v>59.0</v>
      </c>
      <c r="R483" s="3">
        <v>45076.0</v>
      </c>
      <c r="S483" s="2" t="s">
        <v>1994</v>
      </c>
    </row>
    <row r="484" ht="14.25" customHeight="1">
      <c r="A484" s="2" t="s">
        <v>177</v>
      </c>
      <c r="B484" s="2" t="s">
        <v>178</v>
      </c>
      <c r="C484" s="2" t="s">
        <v>179</v>
      </c>
      <c r="D484" s="2">
        <v>42.0</v>
      </c>
      <c r="E484" s="2" t="s">
        <v>34</v>
      </c>
      <c r="F484" s="2" t="s">
        <v>161</v>
      </c>
      <c r="G484" s="2" t="s">
        <v>180</v>
      </c>
      <c r="H484" s="2" t="s">
        <v>181</v>
      </c>
      <c r="I484" s="2" t="s">
        <v>1995</v>
      </c>
      <c r="J484" s="3">
        <v>45290.0</v>
      </c>
      <c r="K484" s="2" t="s">
        <v>1996</v>
      </c>
      <c r="L484" s="2" t="s">
        <v>192</v>
      </c>
      <c r="M484" s="2">
        <v>20.7</v>
      </c>
      <c r="N484" s="2">
        <v>1.0</v>
      </c>
      <c r="O484" s="2" t="s">
        <v>89</v>
      </c>
      <c r="P484" s="2">
        <v>5.0</v>
      </c>
      <c r="Q484" s="2">
        <v>55.0</v>
      </c>
      <c r="R484" s="3">
        <v>45291.0</v>
      </c>
      <c r="S484" s="2" t="s">
        <v>1997</v>
      </c>
    </row>
    <row r="485" ht="14.25" customHeight="1">
      <c r="A485" s="2" t="s">
        <v>177</v>
      </c>
      <c r="B485" s="2" t="s">
        <v>178</v>
      </c>
      <c r="C485" s="2" t="s">
        <v>179</v>
      </c>
      <c r="D485" s="2">
        <v>42.0</v>
      </c>
      <c r="E485" s="2" t="s">
        <v>34</v>
      </c>
      <c r="F485" s="2" t="s">
        <v>161</v>
      </c>
      <c r="G485" s="2" t="s">
        <v>180</v>
      </c>
      <c r="H485" s="2" t="s">
        <v>181</v>
      </c>
      <c r="I485" s="2" t="s">
        <v>1998</v>
      </c>
      <c r="J485" s="3">
        <v>45128.0</v>
      </c>
      <c r="K485" s="2" t="s">
        <v>1999</v>
      </c>
      <c r="L485" s="2" t="s">
        <v>263</v>
      </c>
      <c r="M485" s="2">
        <v>62.42</v>
      </c>
      <c r="N485" s="2">
        <v>3.0</v>
      </c>
      <c r="O485" s="2" t="s">
        <v>29</v>
      </c>
      <c r="P485" s="2">
        <v>6.0</v>
      </c>
      <c r="Q485" s="2">
        <v>39.0</v>
      </c>
      <c r="R485" s="3">
        <v>45129.0</v>
      </c>
      <c r="S485" s="2" t="s">
        <v>2000</v>
      </c>
    </row>
    <row r="486" ht="14.25" customHeight="1">
      <c r="A486" s="2" t="s">
        <v>185</v>
      </c>
      <c r="B486" s="2" t="s">
        <v>186</v>
      </c>
      <c r="C486" s="2" t="s">
        <v>187</v>
      </c>
      <c r="D486" s="2">
        <v>34.0</v>
      </c>
      <c r="E486" s="2" t="s">
        <v>22</v>
      </c>
      <c r="F486" s="2" t="s">
        <v>83</v>
      </c>
      <c r="G486" s="2" t="s">
        <v>188</v>
      </c>
      <c r="H486" s="2" t="s">
        <v>189</v>
      </c>
      <c r="I486" s="2" t="s">
        <v>2001</v>
      </c>
      <c r="J486" s="3">
        <v>45283.0</v>
      </c>
      <c r="K486" s="2" t="s">
        <v>2002</v>
      </c>
      <c r="L486" s="2" t="s">
        <v>316</v>
      </c>
      <c r="M486" s="2">
        <v>481.48</v>
      </c>
      <c r="N486" s="2">
        <v>1.0</v>
      </c>
      <c r="O486" s="2" t="s">
        <v>29</v>
      </c>
      <c r="P486" s="2">
        <v>5.0</v>
      </c>
      <c r="Q486" s="2">
        <v>70.0</v>
      </c>
      <c r="R486" s="3">
        <v>45287.0</v>
      </c>
      <c r="S486" s="2" t="s">
        <v>2003</v>
      </c>
    </row>
    <row r="487" ht="14.25" customHeight="1">
      <c r="A487" s="2" t="s">
        <v>318</v>
      </c>
      <c r="B487" s="2" t="s">
        <v>319</v>
      </c>
      <c r="C487" s="2" t="s">
        <v>320</v>
      </c>
      <c r="D487" s="2">
        <v>29.0</v>
      </c>
      <c r="E487" s="2" t="s">
        <v>45</v>
      </c>
      <c r="F487" s="2" t="s">
        <v>83</v>
      </c>
      <c r="G487" s="2" t="s">
        <v>321</v>
      </c>
      <c r="H487" s="2" t="s">
        <v>322</v>
      </c>
      <c r="I487" s="2" t="s">
        <v>2004</v>
      </c>
      <c r="J487" s="3">
        <v>45633.0</v>
      </c>
      <c r="K487" s="2" t="s">
        <v>2005</v>
      </c>
      <c r="L487" s="2" t="s">
        <v>28</v>
      </c>
      <c r="M487" s="2">
        <v>308.88</v>
      </c>
      <c r="N487" s="2">
        <v>3.0</v>
      </c>
      <c r="O487" s="2" t="s">
        <v>78</v>
      </c>
      <c r="P487" s="2">
        <v>5.0</v>
      </c>
      <c r="Q487" s="2">
        <v>68.0</v>
      </c>
      <c r="R487" s="3">
        <v>45636.0</v>
      </c>
      <c r="S487" s="2" t="s">
        <v>2006</v>
      </c>
    </row>
    <row r="488" ht="14.25" customHeight="1">
      <c r="A488" s="2" t="s">
        <v>1231</v>
      </c>
      <c r="B488" s="2" t="s">
        <v>1232</v>
      </c>
      <c r="C488" s="2" t="s">
        <v>1233</v>
      </c>
      <c r="D488" s="2">
        <v>55.0</v>
      </c>
      <c r="E488" s="2" t="s">
        <v>34</v>
      </c>
      <c r="F488" s="2" t="s">
        <v>152</v>
      </c>
      <c r="G488" s="2" t="s">
        <v>1234</v>
      </c>
      <c r="H488" s="2" t="s">
        <v>1235</v>
      </c>
      <c r="I488" s="2" t="s">
        <v>2007</v>
      </c>
      <c r="J488" s="3">
        <v>45356.0</v>
      </c>
      <c r="K488" s="2" t="s">
        <v>2008</v>
      </c>
      <c r="L488" s="2" t="s">
        <v>107</v>
      </c>
      <c r="M488" s="2">
        <v>48.45</v>
      </c>
      <c r="N488" s="2">
        <v>3.0</v>
      </c>
      <c r="O488" s="2" t="s">
        <v>78</v>
      </c>
      <c r="P488" s="2">
        <v>6.0</v>
      </c>
      <c r="Q488" s="2">
        <v>43.0</v>
      </c>
      <c r="R488" s="3">
        <v>45358.0</v>
      </c>
      <c r="S488" s="2" t="s">
        <v>2009</v>
      </c>
    </row>
    <row r="489" ht="14.25" customHeight="1">
      <c r="A489" s="2" t="s">
        <v>121</v>
      </c>
      <c r="B489" s="2" t="s">
        <v>122</v>
      </c>
      <c r="C489" s="2" t="s">
        <v>123</v>
      </c>
      <c r="D489" s="2">
        <v>30.0</v>
      </c>
      <c r="E489" s="2" t="s">
        <v>34</v>
      </c>
      <c r="F489" s="2" t="s">
        <v>35</v>
      </c>
      <c r="G489" s="2" t="s">
        <v>124</v>
      </c>
      <c r="H489" s="2" t="s">
        <v>125</v>
      </c>
      <c r="I489" s="2" t="s">
        <v>2010</v>
      </c>
      <c r="J489" s="3">
        <v>45188.0</v>
      </c>
      <c r="K489" s="2" t="s">
        <v>2011</v>
      </c>
      <c r="L489" s="2" t="s">
        <v>934</v>
      </c>
      <c r="M489" s="2">
        <v>107.47</v>
      </c>
      <c r="N489" s="2">
        <v>4.0</v>
      </c>
      <c r="O489" s="2" t="s">
        <v>29</v>
      </c>
      <c r="P489" s="2">
        <v>2.0</v>
      </c>
      <c r="Q489" s="2">
        <v>35.0</v>
      </c>
      <c r="R489" s="3">
        <v>45191.0</v>
      </c>
      <c r="S489" s="2" t="s">
        <v>2012</v>
      </c>
    </row>
    <row r="490" ht="14.25" customHeight="1">
      <c r="A490" s="2" t="s">
        <v>378</v>
      </c>
      <c r="B490" s="2" t="s">
        <v>379</v>
      </c>
      <c r="C490" s="2" t="s">
        <v>380</v>
      </c>
      <c r="D490" s="2">
        <v>47.0</v>
      </c>
      <c r="E490" s="2" t="s">
        <v>34</v>
      </c>
      <c r="F490" s="2" t="s">
        <v>83</v>
      </c>
      <c r="G490" s="2" t="s">
        <v>381</v>
      </c>
      <c r="H490" s="2" t="s">
        <v>382</v>
      </c>
      <c r="I490" s="2" t="s">
        <v>2013</v>
      </c>
      <c r="J490" s="3">
        <v>45681.0</v>
      </c>
      <c r="K490" s="2" t="s">
        <v>2014</v>
      </c>
      <c r="L490" s="2" t="s">
        <v>511</v>
      </c>
      <c r="M490" s="2">
        <v>441.03</v>
      </c>
      <c r="N490" s="2">
        <v>5.0</v>
      </c>
      <c r="O490" s="2" t="s">
        <v>29</v>
      </c>
      <c r="P490" s="2">
        <v>5.0</v>
      </c>
      <c r="Q490" s="2">
        <v>62.0</v>
      </c>
      <c r="R490" s="3">
        <v>45682.0</v>
      </c>
      <c r="S490" s="2" t="s">
        <v>2015</v>
      </c>
    </row>
    <row r="491" ht="14.25" customHeight="1">
      <c r="A491" s="2" t="s">
        <v>568</v>
      </c>
      <c r="B491" s="2" t="s">
        <v>249</v>
      </c>
      <c r="C491" s="2" t="s">
        <v>569</v>
      </c>
      <c r="D491" s="2">
        <v>35.0</v>
      </c>
      <c r="E491" s="2" t="s">
        <v>22</v>
      </c>
      <c r="F491" s="2" t="s">
        <v>23</v>
      </c>
      <c r="G491" s="2" t="s">
        <v>570</v>
      </c>
      <c r="H491" s="2" t="s">
        <v>571</v>
      </c>
      <c r="I491" s="2" t="s">
        <v>2016</v>
      </c>
      <c r="J491" s="3">
        <v>45007.0</v>
      </c>
      <c r="K491" s="2" t="s">
        <v>2017</v>
      </c>
      <c r="L491" s="2" t="s">
        <v>977</v>
      </c>
      <c r="M491" s="2">
        <v>33.49</v>
      </c>
      <c r="N491" s="2">
        <v>4.0</v>
      </c>
      <c r="O491" s="2" t="s">
        <v>78</v>
      </c>
      <c r="P491" s="2">
        <v>7.0</v>
      </c>
      <c r="Q491" s="2">
        <v>54.0</v>
      </c>
      <c r="R491" s="3">
        <v>45008.0</v>
      </c>
      <c r="S491" s="2" t="s">
        <v>2018</v>
      </c>
    </row>
    <row r="492" ht="14.25" customHeight="1">
      <c r="A492" s="2" t="s">
        <v>698</v>
      </c>
      <c r="B492" s="2" t="s">
        <v>699</v>
      </c>
      <c r="C492" s="2" t="s">
        <v>700</v>
      </c>
      <c r="D492" s="2">
        <v>26.0</v>
      </c>
      <c r="E492" s="2" t="s">
        <v>45</v>
      </c>
      <c r="F492" s="2" t="s">
        <v>69</v>
      </c>
      <c r="G492" s="2" t="s">
        <v>701</v>
      </c>
      <c r="H492" s="2" t="s">
        <v>702</v>
      </c>
      <c r="I492" s="2" t="s">
        <v>2019</v>
      </c>
      <c r="J492" s="3">
        <v>45204.0</v>
      </c>
      <c r="K492" s="2" t="s">
        <v>2020</v>
      </c>
      <c r="L492" s="2" t="s">
        <v>977</v>
      </c>
      <c r="M492" s="2">
        <v>33.49</v>
      </c>
      <c r="N492" s="2">
        <v>1.0</v>
      </c>
      <c r="O492" s="2" t="s">
        <v>51</v>
      </c>
      <c r="P492" s="2">
        <v>4.0</v>
      </c>
      <c r="Q492" s="2">
        <v>44.0</v>
      </c>
      <c r="R492" s="3">
        <v>45206.0</v>
      </c>
      <c r="S492" s="2" t="s">
        <v>2021</v>
      </c>
    </row>
    <row r="493" ht="14.25" customHeight="1">
      <c r="A493" s="2" t="s">
        <v>476</v>
      </c>
      <c r="B493" s="2" t="s">
        <v>477</v>
      </c>
      <c r="C493" s="2" t="s">
        <v>123</v>
      </c>
      <c r="D493" s="2">
        <v>68.0</v>
      </c>
      <c r="E493" s="2" t="s">
        <v>45</v>
      </c>
      <c r="F493" s="2" t="s">
        <v>213</v>
      </c>
      <c r="G493" s="2" t="s">
        <v>478</v>
      </c>
      <c r="H493" s="2" t="s">
        <v>479</v>
      </c>
      <c r="I493" s="2" t="s">
        <v>2022</v>
      </c>
      <c r="J493" s="3">
        <v>45590.0</v>
      </c>
      <c r="K493" s="2" t="s">
        <v>2023</v>
      </c>
      <c r="L493" s="2" t="s">
        <v>263</v>
      </c>
      <c r="M493" s="2">
        <v>62.42</v>
      </c>
      <c r="N493" s="2">
        <v>4.0</v>
      </c>
      <c r="O493" s="2" t="s">
        <v>56</v>
      </c>
      <c r="P493" s="2">
        <v>4.0</v>
      </c>
      <c r="Q493" s="2">
        <v>37.0</v>
      </c>
      <c r="R493" s="3">
        <v>45597.0</v>
      </c>
      <c r="S493" s="2" t="s">
        <v>2024</v>
      </c>
    </row>
    <row r="494" ht="14.25" customHeight="1">
      <c r="A494" s="2" t="s">
        <v>351</v>
      </c>
      <c r="B494" s="2" t="s">
        <v>352</v>
      </c>
      <c r="C494" s="2" t="s">
        <v>353</v>
      </c>
      <c r="D494" s="2">
        <v>32.0</v>
      </c>
      <c r="E494" s="2" t="s">
        <v>34</v>
      </c>
      <c r="F494" s="2" t="s">
        <v>161</v>
      </c>
      <c r="G494" s="2" t="s">
        <v>354</v>
      </c>
      <c r="H494" s="2" t="s">
        <v>355</v>
      </c>
      <c r="I494" s="2" t="s">
        <v>2025</v>
      </c>
      <c r="J494" s="3">
        <v>45217.0</v>
      </c>
      <c r="K494" s="2" t="s">
        <v>2026</v>
      </c>
      <c r="L494" s="2" t="s">
        <v>301</v>
      </c>
      <c r="M494" s="2">
        <v>129.75</v>
      </c>
      <c r="N494" s="2">
        <v>1.0</v>
      </c>
      <c r="O494" s="2" t="s">
        <v>29</v>
      </c>
      <c r="P494" s="2">
        <v>7.0</v>
      </c>
      <c r="Q494" s="2">
        <v>56.0</v>
      </c>
      <c r="R494" s="3">
        <v>45219.0</v>
      </c>
      <c r="S494" s="2" t="s">
        <v>2027</v>
      </c>
    </row>
    <row r="495" ht="14.25" customHeight="1">
      <c r="A495" s="2" t="s">
        <v>168</v>
      </c>
      <c r="B495" s="2" t="s">
        <v>169</v>
      </c>
      <c r="C495" s="2" t="s">
        <v>170</v>
      </c>
      <c r="D495" s="2">
        <v>36.0</v>
      </c>
      <c r="E495" s="2" t="s">
        <v>45</v>
      </c>
      <c r="F495" s="2" t="s">
        <v>133</v>
      </c>
      <c r="G495" s="2" t="s">
        <v>171</v>
      </c>
      <c r="H495" s="2" t="s">
        <v>172</v>
      </c>
      <c r="I495" s="2" t="s">
        <v>2028</v>
      </c>
      <c r="J495" s="3">
        <v>45182.0</v>
      </c>
      <c r="K495" s="2" t="s">
        <v>2029</v>
      </c>
      <c r="L495" s="2" t="s">
        <v>192</v>
      </c>
      <c r="M495" s="2">
        <v>20.7</v>
      </c>
      <c r="N495" s="2">
        <v>4.0</v>
      </c>
      <c r="O495" s="2" t="s">
        <v>78</v>
      </c>
      <c r="P495" s="2">
        <v>1.0</v>
      </c>
      <c r="Q495" s="2">
        <v>61.0</v>
      </c>
      <c r="R495" s="3">
        <v>45184.0</v>
      </c>
      <c r="S495" s="2" t="s">
        <v>2030</v>
      </c>
    </row>
    <row r="496" ht="14.25" customHeight="1">
      <c r="A496" s="2" t="s">
        <v>130</v>
      </c>
      <c r="B496" s="2" t="s">
        <v>131</v>
      </c>
      <c r="C496" s="2" t="s">
        <v>132</v>
      </c>
      <c r="D496" s="2">
        <v>25.0</v>
      </c>
      <c r="E496" s="2" t="s">
        <v>45</v>
      </c>
      <c r="F496" s="2" t="s">
        <v>133</v>
      </c>
      <c r="G496" s="2" t="s">
        <v>134</v>
      </c>
      <c r="H496" s="2" t="s">
        <v>135</v>
      </c>
      <c r="I496" s="2" t="s">
        <v>2031</v>
      </c>
      <c r="J496" s="3">
        <v>45107.0</v>
      </c>
      <c r="K496" s="2" t="s">
        <v>2032</v>
      </c>
      <c r="L496" s="2" t="s">
        <v>147</v>
      </c>
      <c r="M496" s="2">
        <v>220.27</v>
      </c>
      <c r="N496" s="2">
        <v>3.0</v>
      </c>
      <c r="O496" s="2" t="s">
        <v>56</v>
      </c>
      <c r="P496" s="2">
        <v>4.0</v>
      </c>
      <c r="Q496" s="2">
        <v>50.0</v>
      </c>
      <c r="R496" s="3">
        <v>45108.0</v>
      </c>
      <c r="S496" s="2" t="s">
        <v>2033</v>
      </c>
    </row>
    <row r="497" ht="14.25" customHeight="1">
      <c r="A497" s="2" t="s">
        <v>210</v>
      </c>
      <c r="B497" s="2" t="s">
        <v>211</v>
      </c>
      <c r="C497" s="2" t="s">
        <v>212</v>
      </c>
      <c r="D497" s="2">
        <v>33.0</v>
      </c>
      <c r="E497" s="2" t="s">
        <v>45</v>
      </c>
      <c r="F497" s="2" t="s">
        <v>213</v>
      </c>
      <c r="G497" s="2" t="s">
        <v>214</v>
      </c>
      <c r="H497" s="2" t="s">
        <v>215</v>
      </c>
      <c r="I497" s="2" t="s">
        <v>2034</v>
      </c>
      <c r="J497" s="3">
        <v>45032.0</v>
      </c>
      <c r="K497" s="2" t="s">
        <v>2035</v>
      </c>
      <c r="L497" s="2" t="s">
        <v>646</v>
      </c>
      <c r="M497" s="2">
        <v>433.62</v>
      </c>
      <c r="N497" s="2">
        <v>2.0</v>
      </c>
      <c r="O497" s="2" t="s">
        <v>29</v>
      </c>
      <c r="P497" s="2">
        <v>7.0</v>
      </c>
      <c r="Q497" s="2">
        <v>56.0</v>
      </c>
      <c r="R497" s="3">
        <v>45039.0</v>
      </c>
      <c r="S497" s="2" t="s">
        <v>2036</v>
      </c>
    </row>
    <row r="498" ht="14.25" customHeight="1">
      <c r="A498" s="2" t="s">
        <v>1720</v>
      </c>
      <c r="B498" s="2" t="s">
        <v>1721</v>
      </c>
      <c r="C498" s="2" t="s">
        <v>361</v>
      </c>
      <c r="D498" s="2">
        <v>34.0</v>
      </c>
      <c r="E498" s="2" t="s">
        <v>45</v>
      </c>
      <c r="F498" s="2" t="s">
        <v>152</v>
      </c>
      <c r="G498" s="2" t="s">
        <v>1722</v>
      </c>
      <c r="H498" s="2" t="s">
        <v>1723</v>
      </c>
      <c r="I498" s="2" t="s">
        <v>2037</v>
      </c>
      <c r="J498" s="3">
        <v>45490.0</v>
      </c>
      <c r="K498" s="2" t="s">
        <v>2038</v>
      </c>
      <c r="L498" s="2" t="s">
        <v>243</v>
      </c>
      <c r="M498" s="2">
        <v>128.14</v>
      </c>
      <c r="N498" s="2">
        <v>3.0</v>
      </c>
      <c r="O498" s="2" t="s">
        <v>29</v>
      </c>
      <c r="P498" s="2">
        <v>5.0</v>
      </c>
      <c r="Q498" s="2">
        <v>49.0</v>
      </c>
      <c r="R498" s="3">
        <v>45495.0</v>
      </c>
      <c r="S498" s="2" t="s">
        <v>2039</v>
      </c>
    </row>
    <row r="499" ht="14.25" customHeight="1">
      <c r="A499" s="2" t="s">
        <v>1925</v>
      </c>
      <c r="B499" s="2" t="s">
        <v>1926</v>
      </c>
      <c r="C499" s="2" t="s">
        <v>1927</v>
      </c>
      <c r="D499" s="2">
        <v>54.0</v>
      </c>
      <c r="E499" s="2" t="s">
        <v>34</v>
      </c>
      <c r="F499" s="2" t="s">
        <v>69</v>
      </c>
      <c r="G499" s="2" t="s">
        <v>1928</v>
      </c>
      <c r="H499" s="2" t="s">
        <v>1929</v>
      </c>
      <c r="I499" s="2" t="s">
        <v>2040</v>
      </c>
      <c r="J499" s="3">
        <v>45381.0</v>
      </c>
      <c r="K499" s="2" t="s">
        <v>2041</v>
      </c>
      <c r="L499" s="2" t="s">
        <v>166</v>
      </c>
      <c r="M499" s="2">
        <v>272.51</v>
      </c>
      <c r="N499" s="2">
        <v>5.0</v>
      </c>
      <c r="O499" s="2" t="s">
        <v>56</v>
      </c>
      <c r="P499" s="2">
        <v>3.0</v>
      </c>
      <c r="Q499" s="2">
        <v>66.0</v>
      </c>
      <c r="R499" s="3">
        <v>45388.0</v>
      </c>
      <c r="S499" s="2" t="s">
        <v>2042</v>
      </c>
    </row>
    <row r="500" ht="14.25" customHeight="1">
      <c r="A500" s="2" t="s">
        <v>413</v>
      </c>
      <c r="B500" s="2" t="s">
        <v>414</v>
      </c>
      <c r="C500" s="2" t="s">
        <v>415</v>
      </c>
      <c r="D500" s="2">
        <v>52.0</v>
      </c>
      <c r="E500" s="2" t="s">
        <v>45</v>
      </c>
      <c r="F500" s="2" t="s">
        <v>213</v>
      </c>
      <c r="G500" s="2" t="s">
        <v>416</v>
      </c>
      <c r="H500" s="2" t="s">
        <v>417</v>
      </c>
      <c r="I500" s="2" t="s">
        <v>2043</v>
      </c>
      <c r="J500" s="3">
        <v>45472.0</v>
      </c>
      <c r="K500" s="2" t="s">
        <v>2044</v>
      </c>
      <c r="L500" s="2" t="s">
        <v>679</v>
      </c>
      <c r="M500" s="2">
        <v>424.82</v>
      </c>
      <c r="N500" s="2">
        <v>2.0</v>
      </c>
      <c r="O500" s="2" t="s">
        <v>56</v>
      </c>
      <c r="P500" s="2">
        <v>6.0</v>
      </c>
      <c r="Q500" s="2">
        <v>63.0</v>
      </c>
      <c r="R500" s="3">
        <v>45477.0</v>
      </c>
      <c r="S500" s="2" t="s">
        <v>2045</v>
      </c>
    </row>
    <row r="501" ht="14.25" customHeight="1">
      <c r="A501" s="2" t="s">
        <v>229</v>
      </c>
      <c r="B501" s="2" t="s">
        <v>59</v>
      </c>
      <c r="C501" s="2" t="s">
        <v>230</v>
      </c>
      <c r="D501" s="2">
        <v>52.0</v>
      </c>
      <c r="E501" s="2" t="s">
        <v>45</v>
      </c>
      <c r="F501" s="2" t="s">
        <v>35</v>
      </c>
      <c r="G501" s="2" t="s">
        <v>231</v>
      </c>
      <c r="H501" s="2" t="s">
        <v>232</v>
      </c>
      <c r="I501" s="2" t="s">
        <v>2046</v>
      </c>
      <c r="J501" s="3">
        <v>45501.0</v>
      </c>
      <c r="K501" s="2" t="s">
        <v>2047</v>
      </c>
      <c r="L501" s="2" t="s">
        <v>411</v>
      </c>
      <c r="M501" s="2">
        <v>44.5</v>
      </c>
      <c r="N501" s="2">
        <v>4.0</v>
      </c>
      <c r="O501" s="2" t="s">
        <v>56</v>
      </c>
      <c r="P501" s="2">
        <v>3.0</v>
      </c>
      <c r="Q501" s="2">
        <v>45.0</v>
      </c>
      <c r="R501" s="3">
        <v>45504.0</v>
      </c>
      <c r="S501" s="2" t="s">
        <v>2048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5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B2" s="4" t="s">
        <v>2049</v>
      </c>
      <c r="C2" s="5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2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14.25" customHeight="1">
      <c r="B4" s="7" t="s">
        <v>2050</v>
      </c>
      <c r="C4" s="5"/>
      <c r="D4" s="5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14.2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ht="14.25" customHeight="1">
      <c r="B6" s="8" t="s">
        <v>2051</v>
      </c>
      <c r="C6" s="5"/>
      <c r="D6" s="5"/>
      <c r="E6" s="5"/>
      <c r="F6" s="5"/>
      <c r="G6" s="5"/>
      <c r="H6" s="5"/>
      <c r="I6" s="5"/>
      <c r="J6" s="6"/>
      <c r="K6" s="2"/>
      <c r="L6" s="2"/>
      <c r="M6" s="2"/>
      <c r="N6" s="2"/>
      <c r="O6" s="2"/>
      <c r="P6" s="2"/>
      <c r="Q6" s="2"/>
    </row>
    <row r="7" ht="14.25" customHeight="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14.25" customHeight="1">
      <c r="B8" s="7" t="s">
        <v>2052</v>
      </c>
      <c r="C8" s="5"/>
      <c r="D8" s="5"/>
      <c r="E8" s="5"/>
      <c r="F8" s="5"/>
      <c r="G8" s="5"/>
      <c r="H8" s="6"/>
      <c r="I8" s="2"/>
      <c r="J8" s="2"/>
      <c r="K8" s="2"/>
      <c r="L8" s="2"/>
      <c r="M8" s="2"/>
      <c r="N8" s="2"/>
      <c r="O8" s="2"/>
      <c r="P8" s="2"/>
      <c r="Q8" s="2"/>
    </row>
    <row r="9" ht="14.25" customHeight="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ht="14.25" customHeight="1">
      <c r="B10" s="7" t="s">
        <v>2053</v>
      </c>
      <c r="C10" s="5"/>
      <c r="D10" s="5"/>
      <c r="E10" s="5"/>
      <c r="F10" s="5"/>
      <c r="G10" s="5"/>
      <c r="H10" s="5"/>
      <c r="I10" s="5"/>
      <c r="J10" s="6"/>
      <c r="K10" s="2"/>
      <c r="L10" s="2"/>
      <c r="M10" s="2"/>
      <c r="N10" s="2"/>
      <c r="O10" s="2"/>
      <c r="P10" s="2"/>
      <c r="Q10" s="2"/>
    </row>
    <row r="11" ht="14.25" customHeight="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ht="14.25" customHeight="1">
      <c r="B12" s="7" t="s">
        <v>2054</v>
      </c>
      <c r="C12" s="5"/>
      <c r="D12" s="5"/>
      <c r="E12" s="5"/>
      <c r="F12" s="5"/>
      <c r="G12" s="5"/>
      <c r="H12" s="5"/>
      <c r="I12" s="6"/>
      <c r="J12" s="2"/>
      <c r="K12" s="2"/>
      <c r="L12" s="2"/>
      <c r="M12" s="2"/>
      <c r="N12" s="2"/>
      <c r="O12" s="2"/>
      <c r="P12" s="2"/>
      <c r="Q12" s="2"/>
    </row>
    <row r="13" ht="14.25" customHeight="1">
      <c r="B13" s="7" t="s">
        <v>2055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6"/>
    </row>
    <row r="14" ht="14.25" customHeight="1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ht="14.25" customHeight="1">
      <c r="B15" s="4" t="s">
        <v>2056</v>
      </c>
      <c r="C15" s="5"/>
      <c r="D15" s="5"/>
      <c r="E15" s="5"/>
      <c r="F15" s="5"/>
      <c r="G15" s="5"/>
      <c r="H15" s="5"/>
      <c r="I15" s="6"/>
      <c r="J15" s="2"/>
      <c r="K15" s="2"/>
      <c r="L15" s="2"/>
      <c r="M15" s="2"/>
      <c r="N15" s="2"/>
      <c r="O15" s="2"/>
      <c r="P15" s="2"/>
      <c r="Q15" s="2"/>
    </row>
    <row r="16" ht="14.25" customHeight="1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ht="14.25" customHeight="1">
      <c r="B17" s="7" t="s">
        <v>2057</v>
      </c>
      <c r="C17" s="5"/>
      <c r="D17" s="5"/>
      <c r="E17" s="5"/>
      <c r="F17" s="5"/>
      <c r="G17" s="5"/>
      <c r="H17" s="5"/>
      <c r="I17" s="5"/>
      <c r="J17" s="6"/>
      <c r="K17" s="2"/>
      <c r="L17" s="2"/>
      <c r="M17" s="2"/>
      <c r="N17" s="2"/>
      <c r="O17" s="2"/>
      <c r="P17" s="2"/>
      <c r="Q17" s="2"/>
    </row>
    <row r="18" ht="14.25" customHeight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ht="14.25" customHeight="1">
      <c r="B19" s="7" t="s">
        <v>2058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  <c r="O19" s="2"/>
      <c r="P19" s="2"/>
      <c r="Q19" s="2"/>
    </row>
    <row r="20" ht="14.25" customHeight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14.25" customHeight="1">
      <c r="B21" s="7" t="s">
        <v>2059</v>
      </c>
      <c r="C21" s="5"/>
      <c r="D21" s="5"/>
      <c r="E21" s="5"/>
      <c r="F21" s="5"/>
      <c r="G21" s="5"/>
      <c r="H21" s="5"/>
      <c r="I21" s="5"/>
      <c r="J21" s="5"/>
      <c r="K21" s="6"/>
      <c r="L21" s="2"/>
      <c r="M21" s="2"/>
      <c r="N21" s="2"/>
      <c r="O21" s="2"/>
      <c r="P21" s="2"/>
      <c r="Q21" s="2"/>
    </row>
    <row r="22" ht="14.25" customHeight="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ht="14.2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ht="14.25" customHeight="1">
      <c r="B24" s="9" t="s">
        <v>2060</v>
      </c>
      <c r="C24" s="9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ht="14.25" customHeight="1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2"/>
      <c r="N25" s="2"/>
      <c r="O25" s="2"/>
      <c r="P25" s="2"/>
      <c r="Q25" s="2"/>
    </row>
    <row r="26" ht="14.25" customHeight="1">
      <c r="B26" s="7" t="s">
        <v>2061</v>
      </c>
      <c r="C26" s="5"/>
      <c r="D26" s="5"/>
      <c r="E26" s="5"/>
      <c r="F26" s="5"/>
      <c r="G26" s="5"/>
      <c r="H26" s="5"/>
      <c r="I26" s="5"/>
      <c r="J26" s="5"/>
      <c r="K26" s="5"/>
      <c r="L26" s="6"/>
      <c r="M26" s="2"/>
      <c r="N26" s="2"/>
      <c r="O26" s="2"/>
      <c r="P26" s="2"/>
      <c r="Q26" s="2"/>
    </row>
    <row r="27" ht="14.25" customHeigh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ht="14.25" customHeight="1">
      <c r="B28" s="7" t="s">
        <v>2062</v>
      </c>
      <c r="C28" s="5"/>
      <c r="D28" s="5"/>
      <c r="E28" s="5"/>
      <c r="F28" s="5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14.25" customHeight="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ht="14.25" customHeight="1">
      <c r="B30" s="7" t="s">
        <v>2063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  <c r="P30" s="2"/>
      <c r="Q30" s="2"/>
    </row>
    <row r="31" ht="14.25" customHeight="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t="14.25" customHeight="1">
      <c r="B32" s="7" t="s">
        <v>2064</v>
      </c>
      <c r="C32" s="5"/>
      <c r="D32" s="5"/>
      <c r="E32" s="5"/>
      <c r="F32" s="5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ht="14.25" customHeight="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ht="14.25" customHeight="1">
      <c r="B34" s="7" t="s">
        <v>2065</v>
      </c>
      <c r="C34" s="5"/>
      <c r="D34" s="5"/>
      <c r="E34" s="5"/>
      <c r="F34" s="5"/>
      <c r="G34" s="5"/>
      <c r="H34" s="6"/>
      <c r="I34" s="2"/>
      <c r="J34" s="2"/>
      <c r="K34" s="2"/>
      <c r="L34" s="2"/>
      <c r="M34" s="2"/>
      <c r="N34" s="2"/>
      <c r="O34" s="2"/>
      <c r="P34" s="2"/>
      <c r="Q34" s="2"/>
    </row>
    <row r="35" ht="14.25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ht="14.25" customHeight="1">
      <c r="B36" s="11" t="s">
        <v>2066</v>
      </c>
      <c r="C36" s="5"/>
      <c r="D36" s="5"/>
      <c r="E36" s="5"/>
      <c r="F36" s="5"/>
      <c r="G36" s="5"/>
      <c r="H36" s="5"/>
      <c r="I36" s="6"/>
      <c r="J36" s="2"/>
      <c r="K36" s="2"/>
      <c r="L36" s="2"/>
      <c r="M36" s="2"/>
      <c r="N36" s="2"/>
      <c r="O36" s="2"/>
      <c r="P36" s="2"/>
      <c r="Q36" s="2"/>
    </row>
    <row r="37" ht="14.25" customHeigh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ht="14.25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ht="14.25" customHeigh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ht="14.25" customHeight="1">
      <c r="B40" s="12" t="s">
        <v>2067</v>
      </c>
      <c r="C40" s="12"/>
      <c r="D40" s="12"/>
      <c r="E40" s="12"/>
      <c r="F40" s="1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ht="14.25" customHeight="1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2"/>
      <c r="P41" s="2"/>
      <c r="Q41" s="2"/>
    </row>
    <row r="42" ht="14.25" customHeight="1">
      <c r="B42" s="11" t="s">
        <v>2068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6"/>
      <c r="O42" s="2"/>
      <c r="P42" s="2"/>
      <c r="Q42" s="2"/>
    </row>
    <row r="43" ht="14.25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ht="14.25" customHeight="1">
      <c r="B44" s="11" t="s">
        <v>2069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6"/>
      <c r="P44" s="2"/>
      <c r="Q44" s="2"/>
    </row>
    <row r="45" ht="14.2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ht="14.25" customHeight="1">
      <c r="B46" s="11" t="s">
        <v>2070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6"/>
      <c r="O46" s="2"/>
      <c r="P46" s="2"/>
      <c r="Q46" s="2"/>
    </row>
    <row r="47" ht="14.2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ht="14.25" customHeight="1">
      <c r="B48" s="11" t="s">
        <v>2071</v>
      </c>
      <c r="C48" s="5"/>
      <c r="D48" s="5"/>
      <c r="E48" s="5"/>
      <c r="F48" s="5"/>
      <c r="G48" s="5"/>
      <c r="H48" s="5"/>
      <c r="I48" s="5"/>
      <c r="J48" s="6"/>
      <c r="K48" s="2"/>
      <c r="L48" s="2"/>
      <c r="M48" s="2"/>
      <c r="N48" s="2"/>
      <c r="O48" s="2"/>
      <c r="P48" s="2"/>
      <c r="Q48" s="2"/>
    </row>
    <row r="49" ht="14.2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ht="14.25" customHeight="1">
      <c r="B50" s="11" t="s">
        <v>2072</v>
      </c>
      <c r="C50" s="5"/>
      <c r="D50" s="5"/>
      <c r="E50" s="5"/>
      <c r="F50" s="5"/>
      <c r="G50" s="5"/>
      <c r="H50" s="6"/>
      <c r="I50" s="2"/>
      <c r="J50" s="2"/>
      <c r="K50" s="2"/>
      <c r="L50" s="2"/>
      <c r="M50" s="2"/>
      <c r="N50" s="2"/>
      <c r="O50" s="2"/>
      <c r="P50" s="2"/>
      <c r="Q50" s="2"/>
    </row>
    <row r="51" ht="14.2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ht="14.25" customHeight="1">
      <c r="B52" s="11" t="s">
        <v>2073</v>
      </c>
      <c r="C52" s="5"/>
      <c r="D52" s="5"/>
      <c r="E52" s="5"/>
      <c r="F52" s="5"/>
      <c r="G52" s="5"/>
      <c r="H52" s="5"/>
      <c r="I52" s="6"/>
      <c r="J52" s="2"/>
      <c r="K52" s="2"/>
      <c r="L52" s="2"/>
      <c r="M52" s="2"/>
      <c r="N52" s="2"/>
      <c r="O52" s="2"/>
      <c r="P52" s="2"/>
      <c r="Q52" s="2"/>
    </row>
    <row r="53" ht="14.2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ht="14.25" customHeight="1">
      <c r="B54" s="11" t="s">
        <v>2074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6"/>
      <c r="O54" s="2"/>
      <c r="P54" s="2"/>
      <c r="Q54" s="2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B2:D2"/>
    <mergeCell ref="B4:E4"/>
    <mergeCell ref="B6:J6"/>
    <mergeCell ref="B8:H8"/>
    <mergeCell ref="B10:J10"/>
    <mergeCell ref="B12:I12"/>
    <mergeCell ref="B13:Q13"/>
    <mergeCell ref="B15:I15"/>
    <mergeCell ref="B17:J17"/>
    <mergeCell ref="B19:N19"/>
    <mergeCell ref="B21:K21"/>
    <mergeCell ref="B26:L26"/>
    <mergeCell ref="B28:G28"/>
    <mergeCell ref="B30:O30"/>
    <mergeCell ref="B50:H50"/>
    <mergeCell ref="B52:I52"/>
    <mergeCell ref="B54:N54"/>
    <mergeCell ref="B32:G32"/>
    <mergeCell ref="B34:H34"/>
    <mergeCell ref="B36:I36"/>
    <mergeCell ref="B42:N42"/>
    <mergeCell ref="B44:O44"/>
    <mergeCell ref="B46:N46"/>
    <mergeCell ref="B48:J4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4.57"/>
    <col customWidth="1" min="3" max="3" width="12.14"/>
    <col customWidth="1" min="4" max="6" width="8.71"/>
    <col customWidth="1" min="7" max="7" width="28.43"/>
    <col customWidth="1" min="8" max="8" width="17.43"/>
    <col customWidth="1" min="9" max="9" width="24.43"/>
    <col customWidth="1" min="10" max="10" width="10.86"/>
    <col customWidth="1" min="11" max="11" width="15.71"/>
    <col customWidth="1" min="12" max="12" width="15.57"/>
    <col customWidth="1" min="13" max="13" width="14.29"/>
    <col customWidth="1" min="14" max="14" width="8.71"/>
    <col customWidth="1" min="15" max="15" width="12.29"/>
    <col customWidth="1" min="16" max="16" width="17.86"/>
    <col customWidth="1" min="17" max="17" width="23.86"/>
    <col customWidth="1" min="18" max="18" width="14.86"/>
    <col customWidth="1" min="19" max="19" width="16.43"/>
    <col customWidth="1" min="20" max="20" width="12.43"/>
    <col customWidth="1" min="21" max="22" width="16.14"/>
    <col customWidth="1" min="23" max="23" width="8.71"/>
    <col customWidth="1" min="24" max="24" width="18.14"/>
    <col customWidth="1" min="25" max="25" width="18.71"/>
    <col customWidth="1" min="26" max="26" width="16.43"/>
    <col customWidth="1" min="27" max="27" width="33.43"/>
    <col customWidth="1" min="28" max="28" width="23.57"/>
    <col customWidth="1" min="29" max="29" width="16.71"/>
    <col customWidth="1" min="30" max="30" width="18.14"/>
    <col customWidth="1" min="32" max="34" width="15.71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2075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4" t="s">
        <v>2076</v>
      </c>
      <c r="V1" s="14" t="s">
        <v>2077</v>
      </c>
      <c r="W1" s="14" t="s">
        <v>2078</v>
      </c>
      <c r="X1" s="15" t="s">
        <v>2079</v>
      </c>
      <c r="Y1" s="14" t="s">
        <v>2080</v>
      </c>
      <c r="Z1" s="14" t="s">
        <v>2081</v>
      </c>
      <c r="AA1" s="14" t="s">
        <v>2082</v>
      </c>
      <c r="AB1" s="14" t="s">
        <v>2083</v>
      </c>
      <c r="AC1" s="14" t="s">
        <v>2084</v>
      </c>
      <c r="AD1" s="14" t="s">
        <v>2085</v>
      </c>
      <c r="AE1" s="14" t="s">
        <v>2086</v>
      </c>
      <c r="AF1" s="16" t="s">
        <v>2087</v>
      </c>
      <c r="AG1" s="16" t="s">
        <v>2088</v>
      </c>
      <c r="AH1" s="16" t="s">
        <v>2089</v>
      </c>
      <c r="AI1" s="17" t="s">
        <v>2090</v>
      </c>
      <c r="AJ1" s="16" t="s">
        <v>2091</v>
      </c>
    </row>
    <row r="2" ht="14.25" customHeight="1">
      <c r="A2" s="2" t="s">
        <v>19</v>
      </c>
      <c r="B2" s="2" t="s">
        <v>20</v>
      </c>
      <c r="C2" s="2" t="s">
        <v>21</v>
      </c>
      <c r="D2" s="2">
        <v>37.0</v>
      </c>
      <c r="E2" s="2" t="s">
        <v>22</v>
      </c>
      <c r="F2" s="2" t="s">
        <v>23</v>
      </c>
      <c r="G2" s="2" t="s">
        <v>24</v>
      </c>
      <c r="H2" s="2" t="s">
        <v>2092</v>
      </c>
      <c r="I2" s="2" t="s">
        <v>25</v>
      </c>
      <c r="J2" s="2" t="s">
        <v>26</v>
      </c>
      <c r="K2" s="3">
        <v>45358.0</v>
      </c>
      <c r="L2" s="2" t="s">
        <v>27</v>
      </c>
      <c r="M2" s="2" t="s">
        <v>28</v>
      </c>
      <c r="N2" s="2">
        <v>308.88</v>
      </c>
      <c r="O2" s="2">
        <v>5.0</v>
      </c>
      <c r="P2" s="2" t="s">
        <v>29</v>
      </c>
      <c r="Q2" s="2">
        <v>4.0</v>
      </c>
      <c r="R2" s="2">
        <v>60.0</v>
      </c>
      <c r="S2" s="3">
        <v>45361.0</v>
      </c>
      <c r="T2" s="2" t="s">
        <v>30</v>
      </c>
      <c r="U2" s="2">
        <f t="shared" ref="U2:U501" si="1">VALUE(DATEDIF(K2,S2,"D"))</f>
        <v>3</v>
      </c>
      <c r="V2" s="2">
        <f t="shared" ref="V2:V501" si="2">HOUR(L2)</f>
        <v>18</v>
      </c>
      <c r="W2" s="2">
        <f t="shared" ref="W2:W501" si="3">N2*O2</f>
        <v>1544.4</v>
      </c>
      <c r="X2" s="2">
        <f t="shared" ref="X2:X501" si="4">W2+R2</f>
        <v>1604.4</v>
      </c>
      <c r="Y2" s="2">
        <f t="shared" ref="Y2:Y501" si="5">IFERROR(NUMBERVALUE(RIGHT(P2,LEN(P2)-SEARCH("T",P2,1))),0)</f>
        <v>0</v>
      </c>
      <c r="Z2" s="2">
        <f t="shared" ref="Z2:Z501" si="6">W2-(W2*Y2)/100</f>
        <v>1544.4</v>
      </c>
      <c r="AA2" s="2">
        <f t="shared" ref="AA2:AA501" si="7">IF(P2="DEL0", Z2, Z2+ R2)</f>
        <v>1604.4</v>
      </c>
      <c r="AB2" s="2" t="str">
        <f t="shared" ref="AB2:AB501" si="8">TEXT(K2,"dddd")</f>
        <v>Thursday</v>
      </c>
      <c r="AC2" s="2" t="str">
        <f t="shared" ref="AC2:AC501" si="9">IF(OR(AB2="Saturday",AB2="Sunday"),"Weekend","Weekday")</f>
        <v>Weekday</v>
      </c>
      <c r="AD2" s="2" t="str">
        <f t="shared" ref="AD2:AD501" si="10">LEFT(G2,SEARCH("@",G2,1)-1)</f>
        <v>anne.oconnell</v>
      </c>
      <c r="AE2" s="2" t="str">
        <f t="shared" ref="AE2:AE501" si="11">MID(G2, SEARCH("@",G2,1)+1,  SEARCH(".",G2,SEARCH(".",G2,1)+1) - SEARCH("@",G2,1)-1)</f>
        <v>outlook</v>
      </c>
      <c r="AF2" s="2" t="str">
        <f t="shared" ref="AF2:AF501" si="12">B2 &amp; " " &amp; C2</f>
        <v>Anne Oconnell</v>
      </c>
      <c r="AG2" s="2" t="str">
        <f t="shared" ref="AG2:AG501" si="13">LEFT(AF2,SEARCH(" ",AF2,1)-1)</f>
        <v>Anne</v>
      </c>
      <c r="AH2" s="2" t="str">
        <f t="shared" ref="AH2:AH501" si="14">RIGHT(AF2,LEN(AF2)-SEARCH(" ",AF2,1))</f>
        <v>Oconnell</v>
      </c>
      <c r="AI2" s="2" t="str">
        <f t="shared" ref="AI2:AI501" si="15">IF(Q2&gt;U2, "Before Time", IF(Q2=U2,"InTime","Late"))</f>
        <v>Before Time</v>
      </c>
      <c r="AJ2" s="18" t="str">
        <f t="shared" ref="AJ2:AJ501" si="16">NUMBERVALUE(RIGHT(H2,LEN(H2)-SEARCH("-",H2)))</f>
        <v>#NAME?</v>
      </c>
    </row>
    <row r="3" ht="14.25" customHeight="1">
      <c r="A3" s="2" t="s">
        <v>31</v>
      </c>
      <c r="B3" s="2" t="s">
        <v>32</v>
      </c>
      <c r="C3" s="2" t="s">
        <v>33</v>
      </c>
      <c r="D3" s="2">
        <v>53.0</v>
      </c>
      <c r="E3" s="2" t="s">
        <v>34</v>
      </c>
      <c r="F3" s="2" t="s">
        <v>35</v>
      </c>
      <c r="G3" s="2" t="s">
        <v>36</v>
      </c>
      <c r="H3" s="2" t="s">
        <v>2093</v>
      </c>
      <c r="I3" s="2" t="s">
        <v>37</v>
      </c>
      <c r="J3" s="2" t="s">
        <v>38</v>
      </c>
      <c r="K3" s="3">
        <v>45378.0</v>
      </c>
      <c r="L3" s="2" t="s">
        <v>39</v>
      </c>
      <c r="M3" s="2" t="s">
        <v>40</v>
      </c>
      <c r="N3" s="2">
        <v>166.28</v>
      </c>
      <c r="O3" s="2">
        <v>4.0</v>
      </c>
      <c r="P3" s="2" t="s">
        <v>29</v>
      </c>
      <c r="Q3" s="2">
        <v>7.0</v>
      </c>
      <c r="R3" s="2">
        <v>66.0</v>
      </c>
      <c r="S3" s="3">
        <v>45381.0</v>
      </c>
      <c r="T3" s="2" t="s">
        <v>41</v>
      </c>
      <c r="U3" s="2">
        <f t="shared" si="1"/>
        <v>3</v>
      </c>
      <c r="V3" s="2">
        <f t="shared" si="2"/>
        <v>1</v>
      </c>
      <c r="W3" s="2">
        <f t="shared" si="3"/>
        <v>665.12</v>
      </c>
      <c r="X3" s="2">
        <f t="shared" si="4"/>
        <v>731.12</v>
      </c>
      <c r="Y3" s="2">
        <f t="shared" si="5"/>
        <v>0</v>
      </c>
      <c r="Z3" s="2">
        <f t="shared" si="6"/>
        <v>665.12</v>
      </c>
      <c r="AA3" s="2">
        <f t="shared" si="7"/>
        <v>731.12</v>
      </c>
      <c r="AB3" s="2" t="str">
        <f t="shared" si="8"/>
        <v>Wednesday</v>
      </c>
      <c r="AC3" s="2" t="str">
        <f t="shared" si="9"/>
        <v>Weekday</v>
      </c>
      <c r="AD3" s="2" t="str">
        <f t="shared" si="10"/>
        <v>anthony.thomas</v>
      </c>
      <c r="AE3" s="2" t="str">
        <f t="shared" si="11"/>
        <v>rediffmail</v>
      </c>
      <c r="AF3" s="2" t="str">
        <f t="shared" si="12"/>
        <v>Anthony Thomas</v>
      </c>
      <c r="AG3" s="2" t="str">
        <f t="shared" si="13"/>
        <v>Anthony</v>
      </c>
      <c r="AH3" s="2" t="str">
        <f t="shared" si="14"/>
        <v>Thomas</v>
      </c>
      <c r="AI3" s="2" t="str">
        <f t="shared" si="15"/>
        <v>Before Time</v>
      </c>
      <c r="AJ3" s="2" t="str">
        <f t="shared" si="16"/>
        <v>#NAME?</v>
      </c>
    </row>
    <row r="4" ht="14.25" customHeight="1">
      <c r="A4" s="2" t="s">
        <v>42</v>
      </c>
      <c r="B4" s="2" t="s">
        <v>43</v>
      </c>
      <c r="C4" s="2" t="s">
        <v>44</v>
      </c>
      <c r="D4" s="2">
        <v>60.0</v>
      </c>
      <c r="E4" s="2" t="s">
        <v>45</v>
      </c>
      <c r="F4" s="2" t="s">
        <v>23</v>
      </c>
      <c r="G4" s="2" t="s">
        <v>46</v>
      </c>
      <c r="H4" s="2" t="s">
        <v>2094</v>
      </c>
      <c r="I4" s="2" t="s">
        <v>47</v>
      </c>
      <c r="J4" s="2" t="s">
        <v>48</v>
      </c>
      <c r="K4" s="3">
        <v>45342.0</v>
      </c>
      <c r="L4" s="2" t="s">
        <v>49</v>
      </c>
      <c r="M4" s="2" t="s">
        <v>50</v>
      </c>
      <c r="N4" s="2">
        <v>202.54</v>
      </c>
      <c r="O4" s="2">
        <v>1.0</v>
      </c>
      <c r="P4" s="2" t="s">
        <v>51</v>
      </c>
      <c r="Q4" s="2">
        <v>3.0</v>
      </c>
      <c r="R4" s="2">
        <v>47.0</v>
      </c>
      <c r="S4" s="3">
        <v>45344.0</v>
      </c>
      <c r="T4" s="2" t="s">
        <v>52</v>
      </c>
      <c r="U4" s="2">
        <f t="shared" si="1"/>
        <v>2</v>
      </c>
      <c r="V4" s="2">
        <f t="shared" si="2"/>
        <v>7</v>
      </c>
      <c r="W4" s="2">
        <f t="shared" si="3"/>
        <v>202.54</v>
      </c>
      <c r="X4" s="2">
        <f t="shared" si="4"/>
        <v>249.54</v>
      </c>
      <c r="Y4" s="2">
        <f t="shared" si="5"/>
        <v>0</v>
      </c>
      <c r="Z4" s="2">
        <f t="shared" si="6"/>
        <v>202.54</v>
      </c>
      <c r="AA4" s="2">
        <f t="shared" si="7"/>
        <v>249.54</v>
      </c>
      <c r="AB4" s="2" t="str">
        <f t="shared" si="8"/>
        <v>Tuesday</v>
      </c>
      <c r="AC4" s="2" t="str">
        <f t="shared" si="9"/>
        <v>Weekday</v>
      </c>
      <c r="AD4" s="2" t="str">
        <f t="shared" si="10"/>
        <v>karl.gallagher</v>
      </c>
      <c r="AE4" s="2" t="str">
        <f t="shared" si="11"/>
        <v>rediffmail</v>
      </c>
      <c r="AF4" s="2" t="str">
        <f t="shared" si="12"/>
        <v>Karl Gallagher</v>
      </c>
      <c r="AG4" s="2" t="str">
        <f t="shared" si="13"/>
        <v>Karl</v>
      </c>
      <c r="AH4" s="2" t="str">
        <f t="shared" si="14"/>
        <v>Gallagher</v>
      </c>
      <c r="AI4" s="2" t="str">
        <f t="shared" si="15"/>
        <v>Before Time</v>
      </c>
      <c r="AJ4" s="2" t="str">
        <f t="shared" si="16"/>
        <v>#NAME?</v>
      </c>
    </row>
    <row r="5" ht="14.25" customHeight="1">
      <c r="A5" s="2" t="s">
        <v>42</v>
      </c>
      <c r="B5" s="2" t="s">
        <v>43</v>
      </c>
      <c r="C5" s="2" t="s">
        <v>44</v>
      </c>
      <c r="D5" s="2">
        <v>60.0</v>
      </c>
      <c r="E5" s="2" t="s">
        <v>45</v>
      </c>
      <c r="F5" s="2" t="s">
        <v>23</v>
      </c>
      <c r="G5" s="2" t="s">
        <v>46</v>
      </c>
      <c r="H5" s="2" t="s">
        <v>2094</v>
      </c>
      <c r="I5" s="2" t="s">
        <v>47</v>
      </c>
      <c r="J5" s="2" t="s">
        <v>53</v>
      </c>
      <c r="K5" s="3">
        <v>45426.0</v>
      </c>
      <c r="L5" s="2" t="s">
        <v>54</v>
      </c>
      <c r="M5" s="2" t="s">
        <v>55</v>
      </c>
      <c r="N5" s="2">
        <v>405.0</v>
      </c>
      <c r="O5" s="2">
        <v>5.0</v>
      </c>
      <c r="P5" s="2" t="s">
        <v>56</v>
      </c>
      <c r="Q5" s="2">
        <v>6.0</v>
      </c>
      <c r="R5" s="2">
        <v>47.0</v>
      </c>
      <c r="S5" s="3">
        <v>45430.0</v>
      </c>
      <c r="T5" s="2" t="s">
        <v>57</v>
      </c>
      <c r="U5" s="2">
        <f t="shared" si="1"/>
        <v>4</v>
      </c>
      <c r="V5" s="2">
        <f t="shared" si="2"/>
        <v>18</v>
      </c>
      <c r="W5" s="2">
        <f t="shared" si="3"/>
        <v>2025</v>
      </c>
      <c r="X5" s="2">
        <f t="shared" si="4"/>
        <v>2072</v>
      </c>
      <c r="Y5" s="2">
        <f t="shared" si="5"/>
        <v>0</v>
      </c>
      <c r="Z5" s="2">
        <f t="shared" si="6"/>
        <v>2025</v>
      </c>
      <c r="AA5" s="2">
        <f t="shared" si="7"/>
        <v>2025</v>
      </c>
      <c r="AB5" s="2" t="str">
        <f t="shared" si="8"/>
        <v>Tuesday</v>
      </c>
      <c r="AC5" s="2" t="str">
        <f t="shared" si="9"/>
        <v>Weekday</v>
      </c>
      <c r="AD5" s="2" t="str">
        <f t="shared" si="10"/>
        <v>karl.gallagher</v>
      </c>
      <c r="AE5" s="2" t="str">
        <f t="shared" si="11"/>
        <v>rediffmail</v>
      </c>
      <c r="AF5" s="2" t="str">
        <f t="shared" si="12"/>
        <v>Karl Gallagher</v>
      </c>
      <c r="AG5" s="2" t="str">
        <f t="shared" si="13"/>
        <v>Karl</v>
      </c>
      <c r="AH5" s="2" t="str">
        <f t="shared" si="14"/>
        <v>Gallagher</v>
      </c>
      <c r="AI5" s="2" t="str">
        <f t="shared" si="15"/>
        <v>Before Time</v>
      </c>
      <c r="AJ5" s="2" t="str">
        <f t="shared" si="16"/>
        <v>#NAME?</v>
      </c>
    </row>
    <row r="6" ht="14.25" customHeight="1">
      <c r="A6" s="2" t="s">
        <v>58</v>
      </c>
      <c r="B6" s="2" t="s">
        <v>59</v>
      </c>
      <c r="C6" s="2" t="s">
        <v>60</v>
      </c>
      <c r="D6" s="2">
        <v>49.0</v>
      </c>
      <c r="E6" s="2" t="s">
        <v>45</v>
      </c>
      <c r="F6" s="2" t="s">
        <v>23</v>
      </c>
      <c r="G6" s="2" t="s">
        <v>61</v>
      </c>
      <c r="H6" s="2" t="s">
        <v>2095</v>
      </c>
      <c r="I6" s="2" t="s">
        <v>62</v>
      </c>
      <c r="J6" s="2" t="s">
        <v>63</v>
      </c>
      <c r="K6" s="3">
        <v>45391.0</v>
      </c>
      <c r="L6" s="2" t="s">
        <v>64</v>
      </c>
      <c r="M6" s="2" t="s">
        <v>40</v>
      </c>
      <c r="N6" s="2">
        <v>166.28</v>
      </c>
      <c r="O6" s="2">
        <v>1.0</v>
      </c>
      <c r="P6" s="2" t="s">
        <v>29</v>
      </c>
      <c r="Q6" s="2">
        <v>2.0</v>
      </c>
      <c r="R6" s="2">
        <v>54.0</v>
      </c>
      <c r="S6" s="3">
        <v>45395.0</v>
      </c>
      <c r="T6" s="2" t="s">
        <v>65</v>
      </c>
      <c r="U6" s="2">
        <f t="shared" si="1"/>
        <v>4</v>
      </c>
      <c r="V6" s="2">
        <f t="shared" si="2"/>
        <v>3</v>
      </c>
      <c r="W6" s="2">
        <f t="shared" si="3"/>
        <v>166.28</v>
      </c>
      <c r="X6" s="2">
        <f t="shared" si="4"/>
        <v>220.28</v>
      </c>
      <c r="Y6" s="2">
        <f t="shared" si="5"/>
        <v>0</v>
      </c>
      <c r="Z6" s="2">
        <f t="shared" si="6"/>
        <v>166.28</v>
      </c>
      <c r="AA6" s="2">
        <f t="shared" si="7"/>
        <v>220.28</v>
      </c>
      <c r="AB6" s="2" t="str">
        <f t="shared" si="8"/>
        <v>Tuesday</v>
      </c>
      <c r="AC6" s="2" t="str">
        <f t="shared" si="9"/>
        <v>Weekday</v>
      </c>
      <c r="AD6" s="2" t="str">
        <f t="shared" si="10"/>
        <v>angela.horne</v>
      </c>
      <c r="AE6" s="2" t="str">
        <f t="shared" si="11"/>
        <v>outlook</v>
      </c>
      <c r="AF6" s="2" t="str">
        <f t="shared" si="12"/>
        <v>Angela Horne</v>
      </c>
      <c r="AG6" s="2" t="str">
        <f t="shared" si="13"/>
        <v>Angela</v>
      </c>
      <c r="AH6" s="2" t="str">
        <f t="shared" si="14"/>
        <v>Horne</v>
      </c>
      <c r="AI6" s="2" t="str">
        <f t="shared" si="15"/>
        <v>Late</v>
      </c>
      <c r="AJ6" s="2" t="str">
        <f t="shared" si="16"/>
        <v>#NAME?</v>
      </c>
    </row>
    <row r="7" ht="14.25" customHeight="1">
      <c r="A7" s="2" t="s">
        <v>66</v>
      </c>
      <c r="B7" s="2" t="s">
        <v>67</v>
      </c>
      <c r="C7" s="2" t="s">
        <v>68</v>
      </c>
      <c r="D7" s="2">
        <v>53.0</v>
      </c>
      <c r="E7" s="2" t="s">
        <v>45</v>
      </c>
      <c r="F7" s="2" t="s">
        <v>69</v>
      </c>
      <c r="G7" s="2" t="s">
        <v>70</v>
      </c>
      <c r="H7" s="2" t="s">
        <v>2096</v>
      </c>
      <c r="I7" s="2" t="s">
        <v>71</v>
      </c>
      <c r="J7" s="2" t="s">
        <v>72</v>
      </c>
      <c r="K7" s="3">
        <v>45543.0</v>
      </c>
      <c r="L7" s="2" t="s">
        <v>73</v>
      </c>
      <c r="M7" s="2" t="s">
        <v>74</v>
      </c>
      <c r="N7" s="2">
        <v>330.11</v>
      </c>
      <c r="O7" s="2">
        <v>4.0</v>
      </c>
      <c r="P7" s="2" t="s">
        <v>51</v>
      </c>
      <c r="Q7" s="2">
        <v>6.0</v>
      </c>
      <c r="R7" s="2">
        <v>39.0</v>
      </c>
      <c r="S7" s="3">
        <v>45547.0</v>
      </c>
      <c r="T7" s="2" t="s">
        <v>75</v>
      </c>
      <c r="U7" s="2">
        <f t="shared" si="1"/>
        <v>4</v>
      </c>
      <c r="V7" s="2">
        <f t="shared" si="2"/>
        <v>16</v>
      </c>
      <c r="W7" s="2">
        <f t="shared" si="3"/>
        <v>1320.44</v>
      </c>
      <c r="X7" s="2">
        <f t="shared" si="4"/>
        <v>1359.44</v>
      </c>
      <c r="Y7" s="2">
        <f t="shared" si="5"/>
        <v>0</v>
      </c>
      <c r="Z7" s="2">
        <f t="shared" si="6"/>
        <v>1320.44</v>
      </c>
      <c r="AA7" s="2">
        <f t="shared" si="7"/>
        <v>1359.44</v>
      </c>
      <c r="AB7" s="2" t="str">
        <f t="shared" si="8"/>
        <v>Sunday</v>
      </c>
      <c r="AC7" s="2" t="str">
        <f t="shared" si="9"/>
        <v>Weekend</v>
      </c>
      <c r="AD7" s="2" t="str">
        <f t="shared" si="10"/>
        <v>christine.west</v>
      </c>
      <c r="AE7" s="2" t="str">
        <f t="shared" si="11"/>
        <v>gmail</v>
      </c>
      <c r="AF7" s="2" t="str">
        <f t="shared" si="12"/>
        <v>Christine West</v>
      </c>
      <c r="AG7" s="2" t="str">
        <f t="shared" si="13"/>
        <v>Christine</v>
      </c>
      <c r="AH7" s="2" t="str">
        <f t="shared" si="14"/>
        <v>West</v>
      </c>
      <c r="AI7" s="2" t="str">
        <f t="shared" si="15"/>
        <v>Before Time</v>
      </c>
      <c r="AJ7" s="2" t="str">
        <f t="shared" si="16"/>
        <v>#NAME?</v>
      </c>
    </row>
    <row r="8" ht="14.25" customHeight="1">
      <c r="A8" s="2" t="s">
        <v>42</v>
      </c>
      <c r="B8" s="2" t="s">
        <v>43</v>
      </c>
      <c r="C8" s="2" t="s">
        <v>44</v>
      </c>
      <c r="D8" s="2">
        <v>60.0</v>
      </c>
      <c r="E8" s="2" t="s">
        <v>45</v>
      </c>
      <c r="F8" s="2" t="s">
        <v>23</v>
      </c>
      <c r="G8" s="2" t="s">
        <v>46</v>
      </c>
      <c r="H8" s="2" t="s">
        <v>2094</v>
      </c>
      <c r="I8" s="2" t="s">
        <v>47</v>
      </c>
      <c r="J8" s="2" t="s">
        <v>76</v>
      </c>
      <c r="K8" s="3">
        <v>45662.0</v>
      </c>
      <c r="L8" s="2" t="s">
        <v>77</v>
      </c>
      <c r="M8" s="2" t="s">
        <v>28</v>
      </c>
      <c r="N8" s="2">
        <v>308.88</v>
      </c>
      <c r="O8" s="2">
        <v>5.0</v>
      </c>
      <c r="P8" s="2" t="s">
        <v>78</v>
      </c>
      <c r="Q8" s="2">
        <v>5.0</v>
      </c>
      <c r="R8" s="2">
        <v>47.0</v>
      </c>
      <c r="S8" s="3">
        <v>45665.0</v>
      </c>
      <c r="T8" s="2" t="s">
        <v>79</v>
      </c>
      <c r="U8" s="2">
        <f t="shared" si="1"/>
        <v>3</v>
      </c>
      <c r="V8" s="2">
        <f t="shared" si="2"/>
        <v>9</v>
      </c>
      <c r="W8" s="2">
        <f t="shared" si="3"/>
        <v>1544.4</v>
      </c>
      <c r="X8" s="2">
        <f t="shared" si="4"/>
        <v>1591.4</v>
      </c>
      <c r="Y8" s="2">
        <f t="shared" si="5"/>
        <v>0</v>
      </c>
      <c r="Z8" s="2">
        <f t="shared" si="6"/>
        <v>1544.4</v>
      </c>
      <c r="AA8" s="2">
        <f t="shared" si="7"/>
        <v>1591.4</v>
      </c>
      <c r="AB8" s="2" t="str">
        <f t="shared" si="8"/>
        <v>Sunday</v>
      </c>
      <c r="AC8" s="2" t="str">
        <f t="shared" si="9"/>
        <v>Weekend</v>
      </c>
      <c r="AD8" s="2" t="str">
        <f t="shared" si="10"/>
        <v>karl.gallagher</v>
      </c>
      <c r="AE8" s="2" t="str">
        <f t="shared" si="11"/>
        <v>rediffmail</v>
      </c>
      <c r="AF8" s="2" t="str">
        <f t="shared" si="12"/>
        <v>Karl Gallagher</v>
      </c>
      <c r="AG8" s="2" t="str">
        <f t="shared" si="13"/>
        <v>Karl</v>
      </c>
      <c r="AH8" s="2" t="str">
        <f t="shared" si="14"/>
        <v>Gallagher</v>
      </c>
      <c r="AI8" s="2" t="str">
        <f t="shared" si="15"/>
        <v>Before Time</v>
      </c>
      <c r="AJ8" s="2" t="str">
        <f t="shared" si="16"/>
        <v>#NAME?</v>
      </c>
    </row>
    <row r="9" ht="14.25" customHeight="1">
      <c r="A9" s="2" t="s">
        <v>80</v>
      </c>
      <c r="B9" s="2" t="s">
        <v>81</v>
      </c>
      <c r="C9" s="2" t="s">
        <v>82</v>
      </c>
      <c r="D9" s="2">
        <v>26.0</v>
      </c>
      <c r="E9" s="2" t="s">
        <v>34</v>
      </c>
      <c r="F9" s="2" t="s">
        <v>83</v>
      </c>
      <c r="G9" s="2" t="s">
        <v>84</v>
      </c>
      <c r="H9" s="2" t="s">
        <v>2097</v>
      </c>
      <c r="I9" s="2" t="s">
        <v>85</v>
      </c>
      <c r="J9" s="2" t="s">
        <v>86</v>
      </c>
      <c r="K9" s="3">
        <v>45459.0</v>
      </c>
      <c r="L9" s="2" t="s">
        <v>87</v>
      </c>
      <c r="M9" s="2" t="s">
        <v>88</v>
      </c>
      <c r="N9" s="2">
        <v>363.64</v>
      </c>
      <c r="O9" s="2">
        <v>3.0</v>
      </c>
      <c r="P9" s="2" t="s">
        <v>89</v>
      </c>
      <c r="Q9" s="2">
        <v>2.0</v>
      </c>
      <c r="R9" s="2">
        <v>70.0</v>
      </c>
      <c r="S9" s="3">
        <v>45464.0</v>
      </c>
      <c r="T9" s="2" t="s">
        <v>90</v>
      </c>
      <c r="U9" s="2">
        <f t="shared" si="1"/>
        <v>5</v>
      </c>
      <c r="V9" s="2">
        <f t="shared" si="2"/>
        <v>19</v>
      </c>
      <c r="W9" s="2">
        <f t="shared" si="3"/>
        <v>1090.92</v>
      </c>
      <c r="X9" s="2">
        <f t="shared" si="4"/>
        <v>1160.92</v>
      </c>
      <c r="Y9" s="2">
        <f t="shared" si="5"/>
        <v>0</v>
      </c>
      <c r="Z9" s="2">
        <f t="shared" si="6"/>
        <v>1090.92</v>
      </c>
      <c r="AA9" s="2">
        <f t="shared" si="7"/>
        <v>1160.92</v>
      </c>
      <c r="AB9" s="2" t="str">
        <f t="shared" si="8"/>
        <v>Sunday</v>
      </c>
      <c r="AC9" s="2" t="str">
        <f t="shared" si="9"/>
        <v>Weekend</v>
      </c>
      <c r="AD9" s="2" t="str">
        <f t="shared" si="10"/>
        <v>david.delacruz</v>
      </c>
      <c r="AE9" s="2" t="str">
        <f t="shared" si="11"/>
        <v>rediffmail</v>
      </c>
      <c r="AF9" s="2" t="str">
        <f t="shared" si="12"/>
        <v>David Delacruz</v>
      </c>
      <c r="AG9" s="2" t="str">
        <f t="shared" si="13"/>
        <v>David</v>
      </c>
      <c r="AH9" s="2" t="str">
        <f t="shared" si="14"/>
        <v>Delacruz</v>
      </c>
      <c r="AI9" s="2" t="str">
        <f t="shared" si="15"/>
        <v>Late</v>
      </c>
      <c r="AJ9" s="2" t="str">
        <f t="shared" si="16"/>
        <v>#NAME?</v>
      </c>
    </row>
    <row r="10" ht="14.25" customHeight="1">
      <c r="A10" s="2" t="s">
        <v>91</v>
      </c>
      <c r="B10" s="2" t="s">
        <v>92</v>
      </c>
      <c r="C10" s="2" t="s">
        <v>93</v>
      </c>
      <c r="D10" s="2">
        <v>39.0</v>
      </c>
      <c r="E10" s="2" t="s">
        <v>22</v>
      </c>
      <c r="F10" s="2" t="s">
        <v>23</v>
      </c>
      <c r="G10" s="2" t="s">
        <v>94</v>
      </c>
      <c r="H10" s="2" t="s">
        <v>2098</v>
      </c>
      <c r="I10" s="2" t="s">
        <v>95</v>
      </c>
      <c r="J10" s="2" t="s">
        <v>96</v>
      </c>
      <c r="K10" s="3">
        <v>45040.0</v>
      </c>
      <c r="L10" s="2" t="s">
        <v>97</v>
      </c>
      <c r="M10" s="2" t="s">
        <v>98</v>
      </c>
      <c r="N10" s="2">
        <v>275.44</v>
      </c>
      <c r="O10" s="2">
        <v>1.0</v>
      </c>
      <c r="P10" s="2" t="s">
        <v>29</v>
      </c>
      <c r="Q10" s="2">
        <v>7.0</v>
      </c>
      <c r="R10" s="2">
        <v>63.0</v>
      </c>
      <c r="S10" s="3">
        <v>45042.0</v>
      </c>
      <c r="T10" s="2" t="s">
        <v>99</v>
      </c>
      <c r="U10" s="2">
        <f t="shared" si="1"/>
        <v>2</v>
      </c>
      <c r="V10" s="2">
        <f t="shared" si="2"/>
        <v>12</v>
      </c>
      <c r="W10" s="2">
        <f t="shared" si="3"/>
        <v>275.44</v>
      </c>
      <c r="X10" s="2">
        <f t="shared" si="4"/>
        <v>338.44</v>
      </c>
      <c r="Y10" s="2">
        <f t="shared" si="5"/>
        <v>0</v>
      </c>
      <c r="Z10" s="2">
        <f t="shared" si="6"/>
        <v>275.44</v>
      </c>
      <c r="AA10" s="2">
        <f t="shared" si="7"/>
        <v>338.44</v>
      </c>
      <c r="AB10" s="2" t="str">
        <f t="shared" si="8"/>
        <v>Monday</v>
      </c>
      <c r="AC10" s="2" t="str">
        <f t="shared" si="9"/>
        <v>Weekday</v>
      </c>
      <c r="AD10" s="2" t="str">
        <f t="shared" si="10"/>
        <v>marcus.valenzuela</v>
      </c>
      <c r="AE10" s="2" t="str">
        <f t="shared" si="11"/>
        <v>yahoo</v>
      </c>
      <c r="AF10" s="2" t="str">
        <f t="shared" si="12"/>
        <v>Marcus Valenzuela</v>
      </c>
      <c r="AG10" s="2" t="str">
        <f t="shared" si="13"/>
        <v>Marcus</v>
      </c>
      <c r="AH10" s="2" t="str">
        <f t="shared" si="14"/>
        <v>Valenzuela</v>
      </c>
      <c r="AI10" s="2" t="str">
        <f t="shared" si="15"/>
        <v>Before Time</v>
      </c>
      <c r="AJ10" s="2" t="str">
        <f t="shared" si="16"/>
        <v>#NAME?</v>
      </c>
    </row>
    <row r="11" ht="14.25" customHeight="1">
      <c r="A11" s="2" t="s">
        <v>100</v>
      </c>
      <c r="B11" s="2" t="s">
        <v>101</v>
      </c>
      <c r="C11" s="2" t="s">
        <v>102</v>
      </c>
      <c r="D11" s="2">
        <v>48.0</v>
      </c>
      <c r="E11" s="2" t="s">
        <v>45</v>
      </c>
      <c r="F11" s="2" t="s">
        <v>35</v>
      </c>
      <c r="G11" s="2" t="s">
        <v>103</v>
      </c>
      <c r="H11" s="2" t="s">
        <v>2099</v>
      </c>
      <c r="I11" s="2" t="s">
        <v>104</v>
      </c>
      <c r="J11" s="2" t="s">
        <v>105</v>
      </c>
      <c r="K11" s="3">
        <v>45282.0</v>
      </c>
      <c r="L11" s="2" t="s">
        <v>106</v>
      </c>
      <c r="M11" s="2" t="s">
        <v>107</v>
      </c>
      <c r="N11" s="2">
        <v>48.45</v>
      </c>
      <c r="O11" s="2">
        <v>1.0</v>
      </c>
      <c r="P11" s="2" t="s">
        <v>51</v>
      </c>
      <c r="Q11" s="2">
        <v>7.0</v>
      </c>
      <c r="R11" s="2">
        <v>59.0</v>
      </c>
      <c r="S11" s="3">
        <v>45287.0</v>
      </c>
      <c r="T11" s="2" t="s">
        <v>108</v>
      </c>
      <c r="U11" s="2">
        <f t="shared" si="1"/>
        <v>5</v>
      </c>
      <c r="V11" s="2">
        <f t="shared" si="2"/>
        <v>13</v>
      </c>
      <c r="W11" s="2">
        <f t="shared" si="3"/>
        <v>48.45</v>
      </c>
      <c r="X11" s="2">
        <f t="shared" si="4"/>
        <v>107.45</v>
      </c>
      <c r="Y11" s="2">
        <f t="shared" si="5"/>
        <v>0</v>
      </c>
      <c r="Z11" s="2">
        <f t="shared" si="6"/>
        <v>48.45</v>
      </c>
      <c r="AA11" s="2">
        <f t="shared" si="7"/>
        <v>107.45</v>
      </c>
      <c r="AB11" s="2" t="str">
        <f t="shared" si="8"/>
        <v>Friday</v>
      </c>
      <c r="AC11" s="2" t="str">
        <f t="shared" si="9"/>
        <v>Weekday</v>
      </c>
      <c r="AD11" s="2" t="str">
        <f t="shared" si="10"/>
        <v>debra.rodriguez</v>
      </c>
      <c r="AE11" s="2" t="str">
        <f t="shared" si="11"/>
        <v>rediffmail</v>
      </c>
      <c r="AF11" s="2" t="str">
        <f t="shared" si="12"/>
        <v>Debra Rodriguez</v>
      </c>
      <c r="AG11" s="2" t="str">
        <f t="shared" si="13"/>
        <v>Debra</v>
      </c>
      <c r="AH11" s="2" t="str">
        <f t="shared" si="14"/>
        <v>Rodriguez</v>
      </c>
      <c r="AI11" s="2" t="str">
        <f t="shared" si="15"/>
        <v>Before Time</v>
      </c>
      <c r="AJ11" s="2" t="str">
        <f t="shared" si="16"/>
        <v>#NAME?</v>
      </c>
    </row>
    <row r="12" ht="14.25" customHeight="1">
      <c r="A12" s="2" t="s">
        <v>42</v>
      </c>
      <c r="B12" s="2" t="s">
        <v>43</v>
      </c>
      <c r="C12" s="2" t="s">
        <v>44</v>
      </c>
      <c r="D12" s="2">
        <v>60.0</v>
      </c>
      <c r="E12" s="2" t="s">
        <v>45</v>
      </c>
      <c r="F12" s="2" t="s">
        <v>23</v>
      </c>
      <c r="G12" s="2" t="s">
        <v>46</v>
      </c>
      <c r="H12" s="2" t="s">
        <v>2094</v>
      </c>
      <c r="I12" s="2" t="s">
        <v>47</v>
      </c>
      <c r="J12" s="2" t="s">
        <v>109</v>
      </c>
      <c r="K12" s="3">
        <v>45588.0</v>
      </c>
      <c r="L12" s="2" t="s">
        <v>110</v>
      </c>
      <c r="M12" s="2" t="s">
        <v>88</v>
      </c>
      <c r="N12" s="2">
        <v>363.64</v>
      </c>
      <c r="O12" s="2">
        <v>4.0</v>
      </c>
      <c r="P12" s="2" t="s">
        <v>56</v>
      </c>
      <c r="Q12" s="2">
        <v>2.0</v>
      </c>
      <c r="R12" s="2">
        <v>35.0</v>
      </c>
      <c r="S12" s="3">
        <v>45590.0</v>
      </c>
      <c r="T12" s="2" t="s">
        <v>111</v>
      </c>
      <c r="U12" s="2">
        <f t="shared" si="1"/>
        <v>2</v>
      </c>
      <c r="V12" s="2">
        <f t="shared" si="2"/>
        <v>17</v>
      </c>
      <c r="W12" s="2">
        <f t="shared" si="3"/>
        <v>1454.56</v>
      </c>
      <c r="X12" s="2">
        <f t="shared" si="4"/>
        <v>1489.56</v>
      </c>
      <c r="Y12" s="2">
        <f t="shared" si="5"/>
        <v>0</v>
      </c>
      <c r="Z12" s="2">
        <f t="shared" si="6"/>
        <v>1454.56</v>
      </c>
      <c r="AA12" s="2">
        <f t="shared" si="7"/>
        <v>1454.56</v>
      </c>
      <c r="AB12" s="2" t="str">
        <f t="shared" si="8"/>
        <v>Wednesday</v>
      </c>
      <c r="AC12" s="2" t="str">
        <f t="shared" si="9"/>
        <v>Weekday</v>
      </c>
      <c r="AD12" s="2" t="str">
        <f t="shared" si="10"/>
        <v>karl.gallagher</v>
      </c>
      <c r="AE12" s="2" t="str">
        <f t="shared" si="11"/>
        <v>rediffmail</v>
      </c>
      <c r="AF12" s="2" t="str">
        <f t="shared" si="12"/>
        <v>Karl Gallagher</v>
      </c>
      <c r="AG12" s="2" t="str">
        <f t="shared" si="13"/>
        <v>Karl</v>
      </c>
      <c r="AH12" s="2" t="str">
        <f t="shared" si="14"/>
        <v>Gallagher</v>
      </c>
      <c r="AI12" s="2" t="str">
        <f t="shared" si="15"/>
        <v>InTime</v>
      </c>
      <c r="AJ12" s="2" t="str">
        <f t="shared" si="16"/>
        <v>#NAME?</v>
      </c>
    </row>
    <row r="13" ht="14.25" customHeight="1">
      <c r="A13" s="2" t="s">
        <v>112</v>
      </c>
      <c r="B13" s="2" t="s">
        <v>113</v>
      </c>
      <c r="C13" s="2" t="s">
        <v>114</v>
      </c>
      <c r="D13" s="2">
        <v>20.0</v>
      </c>
      <c r="E13" s="2" t="s">
        <v>22</v>
      </c>
      <c r="F13" s="2" t="s">
        <v>83</v>
      </c>
      <c r="G13" s="2" t="s">
        <v>115</v>
      </c>
      <c r="H13" s="2" t="s">
        <v>2100</v>
      </c>
      <c r="I13" s="2" t="s">
        <v>116</v>
      </c>
      <c r="J13" s="2" t="s">
        <v>117</v>
      </c>
      <c r="K13" s="3">
        <v>45498.0</v>
      </c>
      <c r="L13" s="2" t="s">
        <v>118</v>
      </c>
      <c r="M13" s="2" t="s">
        <v>119</v>
      </c>
      <c r="N13" s="2">
        <v>257.06</v>
      </c>
      <c r="O13" s="2">
        <v>3.0</v>
      </c>
      <c r="P13" s="2" t="s">
        <v>56</v>
      </c>
      <c r="Q13" s="2">
        <v>7.0</v>
      </c>
      <c r="R13" s="2">
        <v>62.0</v>
      </c>
      <c r="S13" s="3">
        <v>45499.0</v>
      </c>
      <c r="T13" s="2" t="s">
        <v>120</v>
      </c>
      <c r="U13" s="2">
        <f t="shared" si="1"/>
        <v>1</v>
      </c>
      <c r="V13" s="2">
        <f t="shared" si="2"/>
        <v>15</v>
      </c>
      <c r="W13" s="2">
        <f t="shared" si="3"/>
        <v>771.18</v>
      </c>
      <c r="X13" s="2">
        <f t="shared" si="4"/>
        <v>833.18</v>
      </c>
      <c r="Y13" s="2">
        <f t="shared" si="5"/>
        <v>0</v>
      </c>
      <c r="Z13" s="2">
        <f t="shared" si="6"/>
        <v>771.18</v>
      </c>
      <c r="AA13" s="2">
        <f t="shared" si="7"/>
        <v>771.18</v>
      </c>
      <c r="AB13" s="2" t="str">
        <f t="shared" si="8"/>
        <v>Thursday</v>
      </c>
      <c r="AC13" s="2" t="str">
        <f t="shared" si="9"/>
        <v>Weekday</v>
      </c>
      <c r="AD13" s="2" t="str">
        <f t="shared" si="10"/>
        <v>bobby.forbes</v>
      </c>
      <c r="AE13" s="2" t="str">
        <f t="shared" si="11"/>
        <v>gmail</v>
      </c>
      <c r="AF13" s="2" t="str">
        <f t="shared" si="12"/>
        <v>Bobby Forbes</v>
      </c>
      <c r="AG13" s="2" t="str">
        <f t="shared" si="13"/>
        <v>Bobby</v>
      </c>
      <c r="AH13" s="2" t="str">
        <f t="shared" si="14"/>
        <v>Forbes</v>
      </c>
      <c r="AI13" s="2" t="str">
        <f t="shared" si="15"/>
        <v>Before Time</v>
      </c>
      <c r="AJ13" s="2" t="str">
        <f t="shared" si="16"/>
        <v>#NAME?</v>
      </c>
    </row>
    <row r="14" ht="14.25" customHeight="1">
      <c r="A14" s="2" t="s">
        <v>121</v>
      </c>
      <c r="B14" s="2" t="s">
        <v>122</v>
      </c>
      <c r="C14" s="2" t="s">
        <v>123</v>
      </c>
      <c r="D14" s="2">
        <v>30.0</v>
      </c>
      <c r="E14" s="2" t="s">
        <v>34</v>
      </c>
      <c r="F14" s="2" t="s">
        <v>35</v>
      </c>
      <c r="G14" s="2" t="s">
        <v>124</v>
      </c>
      <c r="H14" s="2" t="s">
        <v>2101</v>
      </c>
      <c r="I14" s="2" t="s">
        <v>125</v>
      </c>
      <c r="J14" s="2" t="s">
        <v>126</v>
      </c>
      <c r="K14" s="3">
        <v>44997.0</v>
      </c>
      <c r="L14" s="2" t="s">
        <v>127</v>
      </c>
      <c r="M14" s="2" t="s">
        <v>128</v>
      </c>
      <c r="N14" s="2">
        <v>175.93</v>
      </c>
      <c r="O14" s="2">
        <v>4.0</v>
      </c>
      <c r="P14" s="2" t="s">
        <v>29</v>
      </c>
      <c r="Q14" s="2">
        <v>3.0</v>
      </c>
      <c r="R14" s="2">
        <v>65.0</v>
      </c>
      <c r="S14" s="3">
        <v>44999.0</v>
      </c>
      <c r="T14" s="2" t="s">
        <v>129</v>
      </c>
      <c r="U14" s="2">
        <f t="shared" si="1"/>
        <v>2</v>
      </c>
      <c r="V14" s="2">
        <f t="shared" si="2"/>
        <v>22</v>
      </c>
      <c r="W14" s="2">
        <f t="shared" si="3"/>
        <v>703.72</v>
      </c>
      <c r="X14" s="2">
        <f t="shared" si="4"/>
        <v>768.72</v>
      </c>
      <c r="Y14" s="2">
        <f t="shared" si="5"/>
        <v>0</v>
      </c>
      <c r="Z14" s="2">
        <f t="shared" si="6"/>
        <v>703.72</v>
      </c>
      <c r="AA14" s="2">
        <f t="shared" si="7"/>
        <v>768.72</v>
      </c>
      <c r="AB14" s="2" t="str">
        <f t="shared" si="8"/>
        <v>Sunday</v>
      </c>
      <c r="AC14" s="2" t="str">
        <f t="shared" si="9"/>
        <v>Weekend</v>
      </c>
      <c r="AD14" s="2" t="str">
        <f t="shared" si="10"/>
        <v>joseph.stewart</v>
      </c>
      <c r="AE14" s="2" t="str">
        <f t="shared" si="11"/>
        <v>yahoo</v>
      </c>
      <c r="AF14" s="2" t="str">
        <f t="shared" si="12"/>
        <v>Joseph Stewart</v>
      </c>
      <c r="AG14" s="2" t="str">
        <f t="shared" si="13"/>
        <v>Joseph</v>
      </c>
      <c r="AH14" s="2" t="str">
        <f t="shared" si="14"/>
        <v>Stewart</v>
      </c>
      <c r="AI14" s="2" t="str">
        <f t="shared" si="15"/>
        <v>Before Time</v>
      </c>
      <c r="AJ14" s="2" t="str">
        <f t="shared" si="16"/>
        <v>#NAME?</v>
      </c>
    </row>
    <row r="15" ht="14.25" customHeight="1">
      <c r="A15" s="2" t="s">
        <v>130</v>
      </c>
      <c r="B15" s="2" t="s">
        <v>131</v>
      </c>
      <c r="C15" s="2" t="s">
        <v>132</v>
      </c>
      <c r="D15" s="2">
        <v>25.0</v>
      </c>
      <c r="E15" s="2" t="s">
        <v>45</v>
      </c>
      <c r="F15" s="2" t="s">
        <v>133</v>
      </c>
      <c r="G15" s="2" t="s">
        <v>134</v>
      </c>
      <c r="H15" s="2" t="s">
        <v>2102</v>
      </c>
      <c r="I15" s="2" t="s">
        <v>135</v>
      </c>
      <c r="J15" s="2" t="s">
        <v>136</v>
      </c>
      <c r="K15" s="3">
        <v>45267.0</v>
      </c>
      <c r="L15" s="2" t="s">
        <v>137</v>
      </c>
      <c r="M15" s="2" t="s">
        <v>138</v>
      </c>
      <c r="N15" s="2">
        <v>190.1</v>
      </c>
      <c r="O15" s="2">
        <v>1.0</v>
      </c>
      <c r="P15" s="2" t="s">
        <v>56</v>
      </c>
      <c r="Q15" s="2">
        <v>1.0</v>
      </c>
      <c r="R15" s="2">
        <v>70.0</v>
      </c>
      <c r="S15" s="3">
        <v>45270.0</v>
      </c>
      <c r="T15" s="2" t="s">
        <v>139</v>
      </c>
      <c r="U15" s="2">
        <f t="shared" si="1"/>
        <v>3</v>
      </c>
      <c r="V15" s="2">
        <f t="shared" si="2"/>
        <v>14</v>
      </c>
      <c r="W15" s="2">
        <f t="shared" si="3"/>
        <v>190.1</v>
      </c>
      <c r="X15" s="2">
        <f t="shared" si="4"/>
        <v>260.1</v>
      </c>
      <c r="Y15" s="2">
        <f t="shared" si="5"/>
        <v>0</v>
      </c>
      <c r="Z15" s="2">
        <f t="shared" si="6"/>
        <v>190.1</v>
      </c>
      <c r="AA15" s="2">
        <f t="shared" si="7"/>
        <v>190.1</v>
      </c>
      <c r="AB15" s="2" t="str">
        <f t="shared" si="8"/>
        <v>Thursday</v>
      </c>
      <c r="AC15" s="2" t="str">
        <f t="shared" si="9"/>
        <v>Weekday</v>
      </c>
      <c r="AD15" s="2" t="str">
        <f t="shared" si="10"/>
        <v>kara.brennan</v>
      </c>
      <c r="AE15" s="2" t="str">
        <f t="shared" si="11"/>
        <v>outlook</v>
      </c>
      <c r="AF15" s="2" t="str">
        <f t="shared" si="12"/>
        <v>Kara Brennan</v>
      </c>
      <c r="AG15" s="2" t="str">
        <f t="shared" si="13"/>
        <v>Kara</v>
      </c>
      <c r="AH15" s="2" t="str">
        <f t="shared" si="14"/>
        <v>Brennan</v>
      </c>
      <c r="AI15" s="2" t="str">
        <f t="shared" si="15"/>
        <v>Late</v>
      </c>
      <c r="AJ15" s="2" t="str">
        <f t="shared" si="16"/>
        <v>#NAME?</v>
      </c>
    </row>
    <row r="16" ht="14.25" customHeight="1">
      <c r="A16" s="2" t="s">
        <v>140</v>
      </c>
      <c r="B16" s="2" t="s">
        <v>141</v>
      </c>
      <c r="C16" s="2" t="s">
        <v>142</v>
      </c>
      <c r="D16" s="2">
        <v>44.0</v>
      </c>
      <c r="E16" s="2" t="s">
        <v>34</v>
      </c>
      <c r="F16" s="2" t="s">
        <v>83</v>
      </c>
      <c r="G16" s="2" t="s">
        <v>143</v>
      </c>
      <c r="H16" s="2" t="s">
        <v>2103</v>
      </c>
      <c r="I16" s="2" t="s">
        <v>144</v>
      </c>
      <c r="J16" s="2" t="s">
        <v>145</v>
      </c>
      <c r="K16" s="3">
        <v>45377.0</v>
      </c>
      <c r="L16" s="2" t="s">
        <v>146</v>
      </c>
      <c r="M16" s="2" t="s">
        <v>147</v>
      </c>
      <c r="N16" s="2">
        <v>220.27</v>
      </c>
      <c r="O16" s="2">
        <v>2.0</v>
      </c>
      <c r="P16" s="2" t="s">
        <v>56</v>
      </c>
      <c r="Q16" s="2">
        <v>3.0</v>
      </c>
      <c r="R16" s="2">
        <v>39.0</v>
      </c>
      <c r="S16" s="3">
        <v>45382.0</v>
      </c>
      <c r="T16" s="2" t="s">
        <v>148</v>
      </c>
      <c r="U16" s="2">
        <f t="shared" si="1"/>
        <v>5</v>
      </c>
      <c r="V16" s="2">
        <f t="shared" si="2"/>
        <v>1</v>
      </c>
      <c r="W16" s="2">
        <f t="shared" si="3"/>
        <v>440.54</v>
      </c>
      <c r="X16" s="2">
        <f t="shared" si="4"/>
        <v>479.54</v>
      </c>
      <c r="Y16" s="2">
        <f t="shared" si="5"/>
        <v>0</v>
      </c>
      <c r="Z16" s="2">
        <f t="shared" si="6"/>
        <v>440.54</v>
      </c>
      <c r="AA16" s="2">
        <f t="shared" si="7"/>
        <v>440.54</v>
      </c>
      <c r="AB16" s="2" t="str">
        <f t="shared" si="8"/>
        <v>Tuesday</v>
      </c>
      <c r="AC16" s="2" t="str">
        <f t="shared" si="9"/>
        <v>Weekday</v>
      </c>
      <c r="AD16" s="2" t="str">
        <f t="shared" si="10"/>
        <v>amy.reid</v>
      </c>
      <c r="AE16" s="2" t="str">
        <f t="shared" si="11"/>
        <v>rediffmail</v>
      </c>
      <c r="AF16" s="2" t="str">
        <f t="shared" si="12"/>
        <v>Amy Reid</v>
      </c>
      <c r="AG16" s="2" t="str">
        <f t="shared" si="13"/>
        <v>Amy</v>
      </c>
      <c r="AH16" s="2" t="str">
        <f t="shared" si="14"/>
        <v>Reid</v>
      </c>
      <c r="AI16" s="2" t="str">
        <f t="shared" si="15"/>
        <v>Late</v>
      </c>
      <c r="AJ16" s="2" t="str">
        <f t="shared" si="16"/>
        <v>#NAME?</v>
      </c>
    </row>
    <row r="17" ht="14.25" customHeight="1">
      <c r="A17" s="2" t="s">
        <v>149</v>
      </c>
      <c r="B17" s="2" t="s">
        <v>150</v>
      </c>
      <c r="C17" s="2" t="s">
        <v>151</v>
      </c>
      <c r="D17" s="2">
        <v>24.0</v>
      </c>
      <c r="E17" s="2" t="s">
        <v>22</v>
      </c>
      <c r="F17" s="2" t="s">
        <v>152</v>
      </c>
      <c r="G17" s="2" t="s">
        <v>153</v>
      </c>
      <c r="H17" s="2" t="s">
        <v>2104</v>
      </c>
      <c r="I17" s="2" t="s">
        <v>154</v>
      </c>
      <c r="J17" s="2" t="s">
        <v>155</v>
      </c>
      <c r="K17" s="3">
        <v>45079.0</v>
      </c>
      <c r="L17" s="2" t="s">
        <v>156</v>
      </c>
      <c r="M17" s="2" t="s">
        <v>74</v>
      </c>
      <c r="N17" s="2">
        <v>330.11</v>
      </c>
      <c r="O17" s="2">
        <v>4.0</v>
      </c>
      <c r="P17" s="2" t="s">
        <v>56</v>
      </c>
      <c r="Q17" s="2">
        <v>1.0</v>
      </c>
      <c r="R17" s="2">
        <v>58.0</v>
      </c>
      <c r="S17" s="3">
        <v>45080.0</v>
      </c>
      <c r="T17" s="2" t="s">
        <v>157</v>
      </c>
      <c r="U17" s="2">
        <f t="shared" si="1"/>
        <v>1</v>
      </c>
      <c r="V17" s="2">
        <f t="shared" si="2"/>
        <v>4</v>
      </c>
      <c r="W17" s="2">
        <f t="shared" si="3"/>
        <v>1320.44</v>
      </c>
      <c r="X17" s="2">
        <f t="shared" si="4"/>
        <v>1378.44</v>
      </c>
      <c r="Y17" s="2">
        <f t="shared" si="5"/>
        <v>0</v>
      </c>
      <c r="Z17" s="2">
        <f t="shared" si="6"/>
        <v>1320.44</v>
      </c>
      <c r="AA17" s="2">
        <f t="shared" si="7"/>
        <v>1320.44</v>
      </c>
      <c r="AB17" s="2" t="str">
        <f t="shared" si="8"/>
        <v>Friday</v>
      </c>
      <c r="AC17" s="2" t="str">
        <f t="shared" si="9"/>
        <v>Weekday</v>
      </c>
      <c r="AD17" s="2" t="str">
        <f t="shared" si="10"/>
        <v>joshua.campbell</v>
      </c>
      <c r="AE17" s="2" t="str">
        <f t="shared" si="11"/>
        <v>gmail</v>
      </c>
      <c r="AF17" s="2" t="str">
        <f t="shared" si="12"/>
        <v>Joshua Campbell</v>
      </c>
      <c r="AG17" s="2" t="str">
        <f t="shared" si="13"/>
        <v>Joshua</v>
      </c>
      <c r="AH17" s="2" t="str">
        <f t="shared" si="14"/>
        <v>Campbell</v>
      </c>
      <c r="AI17" s="2" t="str">
        <f t="shared" si="15"/>
        <v>InTime</v>
      </c>
      <c r="AJ17" s="2" t="str">
        <f t="shared" si="16"/>
        <v>#NAME?</v>
      </c>
    </row>
    <row r="18" ht="14.25" customHeight="1">
      <c r="A18" s="2" t="s">
        <v>158</v>
      </c>
      <c r="B18" s="2" t="s">
        <v>159</v>
      </c>
      <c r="C18" s="2" t="s">
        <v>160</v>
      </c>
      <c r="D18" s="2">
        <v>46.0</v>
      </c>
      <c r="E18" s="2" t="s">
        <v>22</v>
      </c>
      <c r="F18" s="2" t="s">
        <v>161</v>
      </c>
      <c r="G18" s="2" t="s">
        <v>162</v>
      </c>
      <c r="H18" s="2" t="s">
        <v>2105</v>
      </c>
      <c r="I18" s="2" t="s">
        <v>163</v>
      </c>
      <c r="J18" s="2" t="s">
        <v>164</v>
      </c>
      <c r="K18" s="3">
        <v>44966.0</v>
      </c>
      <c r="L18" s="2" t="s">
        <v>165</v>
      </c>
      <c r="M18" s="2" t="s">
        <v>166</v>
      </c>
      <c r="N18" s="2">
        <v>272.51</v>
      </c>
      <c r="O18" s="2">
        <v>4.0</v>
      </c>
      <c r="P18" s="2" t="s">
        <v>89</v>
      </c>
      <c r="Q18" s="2">
        <v>5.0</v>
      </c>
      <c r="R18" s="2">
        <v>40.0</v>
      </c>
      <c r="S18" s="3">
        <v>44970.0</v>
      </c>
      <c r="T18" s="2" t="s">
        <v>167</v>
      </c>
      <c r="U18" s="2">
        <f t="shared" si="1"/>
        <v>4</v>
      </c>
      <c r="V18" s="2">
        <f t="shared" si="2"/>
        <v>23</v>
      </c>
      <c r="W18" s="2">
        <f t="shared" si="3"/>
        <v>1090.04</v>
      </c>
      <c r="X18" s="2">
        <f t="shared" si="4"/>
        <v>1130.04</v>
      </c>
      <c r="Y18" s="2">
        <f t="shared" si="5"/>
        <v>0</v>
      </c>
      <c r="Z18" s="2">
        <f t="shared" si="6"/>
        <v>1090.04</v>
      </c>
      <c r="AA18" s="2">
        <f t="shared" si="7"/>
        <v>1130.04</v>
      </c>
      <c r="AB18" s="2" t="str">
        <f t="shared" si="8"/>
        <v>Thursday</v>
      </c>
      <c r="AC18" s="2" t="str">
        <f t="shared" si="9"/>
        <v>Weekday</v>
      </c>
      <c r="AD18" s="2" t="str">
        <f t="shared" si="10"/>
        <v>erin.miller</v>
      </c>
      <c r="AE18" s="2" t="str">
        <f t="shared" si="11"/>
        <v>gmail</v>
      </c>
      <c r="AF18" s="2" t="str">
        <f t="shared" si="12"/>
        <v>Erin Miller</v>
      </c>
      <c r="AG18" s="2" t="str">
        <f t="shared" si="13"/>
        <v>Erin</v>
      </c>
      <c r="AH18" s="2" t="str">
        <f t="shared" si="14"/>
        <v>Miller</v>
      </c>
      <c r="AI18" s="2" t="str">
        <f t="shared" si="15"/>
        <v>Before Time</v>
      </c>
      <c r="AJ18" s="2" t="str">
        <f t="shared" si="16"/>
        <v>#NAME?</v>
      </c>
    </row>
    <row r="19" ht="14.25" customHeight="1">
      <c r="A19" s="2" t="s">
        <v>168</v>
      </c>
      <c r="B19" s="2" t="s">
        <v>169</v>
      </c>
      <c r="C19" s="2" t="s">
        <v>170</v>
      </c>
      <c r="D19" s="2">
        <v>36.0</v>
      </c>
      <c r="E19" s="2" t="s">
        <v>45</v>
      </c>
      <c r="F19" s="2" t="s">
        <v>133</v>
      </c>
      <c r="G19" s="2" t="s">
        <v>171</v>
      </c>
      <c r="H19" s="2" t="s">
        <v>2106</v>
      </c>
      <c r="I19" s="2" t="s">
        <v>172</v>
      </c>
      <c r="J19" s="2" t="s">
        <v>173</v>
      </c>
      <c r="K19" s="3">
        <v>45542.0</v>
      </c>
      <c r="L19" s="2" t="s">
        <v>174</v>
      </c>
      <c r="M19" s="2" t="s">
        <v>175</v>
      </c>
      <c r="N19" s="2">
        <v>104.18</v>
      </c>
      <c r="O19" s="2">
        <v>2.0</v>
      </c>
      <c r="P19" s="2" t="s">
        <v>56</v>
      </c>
      <c r="Q19" s="2">
        <v>4.0</v>
      </c>
      <c r="R19" s="2">
        <v>44.0</v>
      </c>
      <c r="S19" s="3">
        <v>45545.0</v>
      </c>
      <c r="T19" s="2" t="s">
        <v>176</v>
      </c>
      <c r="U19" s="2">
        <f t="shared" si="1"/>
        <v>3</v>
      </c>
      <c r="V19" s="2">
        <f t="shared" si="2"/>
        <v>19</v>
      </c>
      <c r="W19" s="2">
        <f t="shared" si="3"/>
        <v>208.36</v>
      </c>
      <c r="X19" s="2">
        <f t="shared" si="4"/>
        <v>252.36</v>
      </c>
      <c r="Y19" s="2">
        <f t="shared" si="5"/>
        <v>0</v>
      </c>
      <c r="Z19" s="2">
        <f t="shared" si="6"/>
        <v>208.36</v>
      </c>
      <c r="AA19" s="2">
        <f t="shared" si="7"/>
        <v>208.36</v>
      </c>
      <c r="AB19" s="2" t="str">
        <f t="shared" si="8"/>
        <v>Saturday</v>
      </c>
      <c r="AC19" s="2" t="str">
        <f t="shared" si="9"/>
        <v>Weekend</v>
      </c>
      <c r="AD19" s="2" t="str">
        <f t="shared" si="10"/>
        <v>gina.moreno</v>
      </c>
      <c r="AE19" s="2" t="str">
        <f t="shared" si="11"/>
        <v>rediffmail</v>
      </c>
      <c r="AF19" s="2" t="str">
        <f t="shared" si="12"/>
        <v>Gina Moreno</v>
      </c>
      <c r="AG19" s="2" t="str">
        <f t="shared" si="13"/>
        <v>Gina</v>
      </c>
      <c r="AH19" s="2" t="str">
        <f t="shared" si="14"/>
        <v>Moreno</v>
      </c>
      <c r="AI19" s="2" t="str">
        <f t="shared" si="15"/>
        <v>Before Time</v>
      </c>
      <c r="AJ19" s="2" t="str">
        <f t="shared" si="16"/>
        <v>#NAME?</v>
      </c>
    </row>
    <row r="20" ht="14.25" customHeight="1">
      <c r="A20" s="2" t="s">
        <v>177</v>
      </c>
      <c r="B20" s="2" t="s">
        <v>178</v>
      </c>
      <c r="C20" s="2" t="s">
        <v>179</v>
      </c>
      <c r="D20" s="2">
        <v>42.0</v>
      </c>
      <c r="E20" s="2" t="s">
        <v>34</v>
      </c>
      <c r="F20" s="2" t="s">
        <v>161</v>
      </c>
      <c r="G20" s="2" t="s">
        <v>180</v>
      </c>
      <c r="H20" s="2" t="s">
        <v>2107</v>
      </c>
      <c r="I20" s="2" t="s">
        <v>181</v>
      </c>
      <c r="J20" s="2" t="s">
        <v>182</v>
      </c>
      <c r="K20" s="3">
        <v>45665.0</v>
      </c>
      <c r="L20" s="2" t="s">
        <v>183</v>
      </c>
      <c r="M20" s="2" t="s">
        <v>107</v>
      </c>
      <c r="N20" s="2">
        <v>48.45</v>
      </c>
      <c r="O20" s="2">
        <v>4.0</v>
      </c>
      <c r="P20" s="2" t="s">
        <v>89</v>
      </c>
      <c r="Q20" s="2">
        <v>1.0</v>
      </c>
      <c r="R20" s="2">
        <v>70.0</v>
      </c>
      <c r="S20" s="3">
        <v>45670.0</v>
      </c>
      <c r="T20" s="2" t="s">
        <v>184</v>
      </c>
      <c r="U20" s="2">
        <f t="shared" si="1"/>
        <v>5</v>
      </c>
      <c r="V20" s="2">
        <f t="shared" si="2"/>
        <v>11</v>
      </c>
      <c r="W20" s="2">
        <f t="shared" si="3"/>
        <v>193.8</v>
      </c>
      <c r="X20" s="2">
        <f t="shared" si="4"/>
        <v>263.8</v>
      </c>
      <c r="Y20" s="2">
        <f t="shared" si="5"/>
        <v>0</v>
      </c>
      <c r="Z20" s="2">
        <f t="shared" si="6"/>
        <v>193.8</v>
      </c>
      <c r="AA20" s="2">
        <f t="shared" si="7"/>
        <v>263.8</v>
      </c>
      <c r="AB20" s="2" t="str">
        <f t="shared" si="8"/>
        <v>Wednesday</v>
      </c>
      <c r="AC20" s="2" t="str">
        <f t="shared" si="9"/>
        <v>Weekday</v>
      </c>
      <c r="AD20" s="2" t="str">
        <f t="shared" si="10"/>
        <v>mallory.mitchell</v>
      </c>
      <c r="AE20" s="2" t="str">
        <f t="shared" si="11"/>
        <v>yahoo</v>
      </c>
      <c r="AF20" s="2" t="str">
        <f t="shared" si="12"/>
        <v>Mallory Mitchell</v>
      </c>
      <c r="AG20" s="2" t="str">
        <f t="shared" si="13"/>
        <v>Mallory</v>
      </c>
      <c r="AH20" s="2" t="str">
        <f t="shared" si="14"/>
        <v>Mitchell</v>
      </c>
      <c r="AI20" s="2" t="str">
        <f t="shared" si="15"/>
        <v>Late</v>
      </c>
      <c r="AJ20" s="2" t="str">
        <f t="shared" si="16"/>
        <v>#NAME?</v>
      </c>
    </row>
    <row r="21" ht="14.25" customHeight="1">
      <c r="A21" s="2" t="s">
        <v>185</v>
      </c>
      <c r="B21" s="2" t="s">
        <v>186</v>
      </c>
      <c r="C21" s="2" t="s">
        <v>187</v>
      </c>
      <c r="D21" s="2">
        <v>34.0</v>
      </c>
      <c r="E21" s="2" t="s">
        <v>22</v>
      </c>
      <c r="F21" s="2" t="s">
        <v>83</v>
      </c>
      <c r="G21" s="2" t="s">
        <v>188</v>
      </c>
      <c r="H21" s="2" t="s">
        <v>2108</v>
      </c>
      <c r="I21" s="2" t="s">
        <v>189</v>
      </c>
      <c r="J21" s="2" t="s">
        <v>190</v>
      </c>
      <c r="K21" s="3">
        <v>45556.0</v>
      </c>
      <c r="L21" s="2" t="s">
        <v>191</v>
      </c>
      <c r="M21" s="2" t="s">
        <v>192</v>
      </c>
      <c r="N21" s="2">
        <v>20.7</v>
      </c>
      <c r="O21" s="2">
        <v>5.0</v>
      </c>
      <c r="P21" s="2" t="s">
        <v>56</v>
      </c>
      <c r="Q21" s="2">
        <v>7.0</v>
      </c>
      <c r="R21" s="2">
        <v>38.0</v>
      </c>
      <c r="S21" s="3">
        <v>45561.0</v>
      </c>
      <c r="T21" s="2" t="s">
        <v>193</v>
      </c>
      <c r="U21" s="2">
        <f t="shared" si="1"/>
        <v>5</v>
      </c>
      <c r="V21" s="2">
        <f t="shared" si="2"/>
        <v>6</v>
      </c>
      <c r="W21" s="2">
        <f t="shared" si="3"/>
        <v>103.5</v>
      </c>
      <c r="X21" s="2">
        <f t="shared" si="4"/>
        <v>141.5</v>
      </c>
      <c r="Y21" s="2">
        <f t="shared" si="5"/>
        <v>0</v>
      </c>
      <c r="Z21" s="2">
        <f t="shared" si="6"/>
        <v>103.5</v>
      </c>
      <c r="AA21" s="2">
        <f t="shared" si="7"/>
        <v>103.5</v>
      </c>
      <c r="AB21" s="2" t="str">
        <f t="shared" si="8"/>
        <v>Saturday</v>
      </c>
      <c r="AC21" s="2" t="str">
        <f t="shared" si="9"/>
        <v>Weekend</v>
      </c>
      <c r="AD21" s="2" t="str">
        <f t="shared" si="10"/>
        <v>traci.jones</v>
      </c>
      <c r="AE21" s="2" t="str">
        <f t="shared" si="11"/>
        <v>yahoo</v>
      </c>
      <c r="AF21" s="2" t="str">
        <f t="shared" si="12"/>
        <v>Traci Jones</v>
      </c>
      <c r="AG21" s="2" t="str">
        <f t="shared" si="13"/>
        <v>Traci</v>
      </c>
      <c r="AH21" s="2" t="str">
        <f t="shared" si="14"/>
        <v>Jones</v>
      </c>
      <c r="AI21" s="2" t="str">
        <f t="shared" si="15"/>
        <v>Before Time</v>
      </c>
      <c r="AJ21" s="2" t="str">
        <f t="shared" si="16"/>
        <v>#NAME?</v>
      </c>
    </row>
    <row r="22" ht="14.25" customHeight="1">
      <c r="A22" s="2" t="s">
        <v>194</v>
      </c>
      <c r="B22" s="2" t="s">
        <v>195</v>
      </c>
      <c r="C22" s="2" t="s">
        <v>196</v>
      </c>
      <c r="D22" s="2">
        <v>23.0</v>
      </c>
      <c r="E22" s="2" t="s">
        <v>22</v>
      </c>
      <c r="F22" s="2" t="s">
        <v>83</v>
      </c>
      <c r="G22" s="2" t="s">
        <v>197</v>
      </c>
      <c r="H22" s="2" t="s">
        <v>2109</v>
      </c>
      <c r="I22" s="2" t="s">
        <v>198</v>
      </c>
      <c r="J22" s="2" t="s">
        <v>199</v>
      </c>
      <c r="K22" s="3">
        <v>45520.0</v>
      </c>
      <c r="L22" s="2" t="s">
        <v>200</v>
      </c>
      <c r="M22" s="2" t="s">
        <v>28</v>
      </c>
      <c r="N22" s="2">
        <v>308.88</v>
      </c>
      <c r="O22" s="2">
        <v>3.0</v>
      </c>
      <c r="P22" s="2" t="s">
        <v>89</v>
      </c>
      <c r="Q22" s="2">
        <v>7.0</v>
      </c>
      <c r="R22" s="2">
        <v>43.0</v>
      </c>
      <c r="S22" s="3">
        <v>45521.0</v>
      </c>
      <c r="T22" s="2" t="s">
        <v>201</v>
      </c>
      <c r="U22" s="2">
        <f t="shared" si="1"/>
        <v>1</v>
      </c>
      <c r="V22" s="2">
        <f t="shared" si="2"/>
        <v>4</v>
      </c>
      <c r="W22" s="2">
        <f t="shared" si="3"/>
        <v>926.64</v>
      </c>
      <c r="X22" s="2">
        <f t="shared" si="4"/>
        <v>969.64</v>
      </c>
      <c r="Y22" s="2">
        <f t="shared" si="5"/>
        <v>0</v>
      </c>
      <c r="Z22" s="2">
        <f t="shared" si="6"/>
        <v>926.64</v>
      </c>
      <c r="AA22" s="2">
        <f t="shared" si="7"/>
        <v>969.64</v>
      </c>
      <c r="AB22" s="2" t="str">
        <f t="shared" si="8"/>
        <v>Friday</v>
      </c>
      <c r="AC22" s="2" t="str">
        <f t="shared" si="9"/>
        <v>Weekday</v>
      </c>
      <c r="AD22" s="2" t="str">
        <f t="shared" si="10"/>
        <v>deborah.bates</v>
      </c>
      <c r="AE22" s="2" t="str">
        <f t="shared" si="11"/>
        <v>yahoo</v>
      </c>
      <c r="AF22" s="2" t="str">
        <f t="shared" si="12"/>
        <v>Deborah Bates</v>
      </c>
      <c r="AG22" s="2" t="str">
        <f t="shared" si="13"/>
        <v>Deborah</v>
      </c>
      <c r="AH22" s="2" t="str">
        <f t="shared" si="14"/>
        <v>Bates</v>
      </c>
      <c r="AI22" s="2" t="str">
        <f t="shared" si="15"/>
        <v>Before Time</v>
      </c>
      <c r="AJ22" s="2" t="str">
        <f t="shared" si="16"/>
        <v>#NAME?</v>
      </c>
    </row>
    <row r="23" ht="14.25" customHeight="1">
      <c r="A23" s="2" t="s">
        <v>202</v>
      </c>
      <c r="B23" s="2" t="s">
        <v>203</v>
      </c>
      <c r="C23" s="2" t="s">
        <v>204</v>
      </c>
      <c r="D23" s="2">
        <v>39.0</v>
      </c>
      <c r="E23" s="2" t="s">
        <v>34</v>
      </c>
      <c r="F23" s="2" t="s">
        <v>152</v>
      </c>
      <c r="G23" s="2" t="s">
        <v>205</v>
      </c>
      <c r="H23" s="2" t="s">
        <v>2110</v>
      </c>
      <c r="I23" s="2" t="s">
        <v>206</v>
      </c>
      <c r="J23" s="2" t="s">
        <v>207</v>
      </c>
      <c r="K23" s="3">
        <v>45352.0</v>
      </c>
      <c r="L23" s="2" t="s">
        <v>208</v>
      </c>
      <c r="M23" s="2" t="s">
        <v>175</v>
      </c>
      <c r="N23" s="2">
        <v>104.18</v>
      </c>
      <c r="O23" s="2">
        <v>5.0</v>
      </c>
      <c r="P23" s="2" t="s">
        <v>29</v>
      </c>
      <c r="Q23" s="2">
        <v>5.0</v>
      </c>
      <c r="R23" s="2">
        <v>58.0</v>
      </c>
      <c r="S23" s="3">
        <v>45356.0</v>
      </c>
      <c r="T23" s="2" t="s">
        <v>209</v>
      </c>
      <c r="U23" s="2">
        <f t="shared" si="1"/>
        <v>4</v>
      </c>
      <c r="V23" s="2">
        <f t="shared" si="2"/>
        <v>10</v>
      </c>
      <c r="W23" s="2">
        <f t="shared" si="3"/>
        <v>520.9</v>
      </c>
      <c r="X23" s="2">
        <f t="shared" si="4"/>
        <v>578.9</v>
      </c>
      <c r="Y23" s="2">
        <f t="shared" si="5"/>
        <v>0</v>
      </c>
      <c r="Z23" s="2">
        <f t="shared" si="6"/>
        <v>520.9</v>
      </c>
      <c r="AA23" s="2">
        <f t="shared" si="7"/>
        <v>578.9</v>
      </c>
      <c r="AB23" s="2" t="str">
        <f t="shared" si="8"/>
        <v>Friday</v>
      </c>
      <c r="AC23" s="2" t="str">
        <f t="shared" si="9"/>
        <v>Weekday</v>
      </c>
      <c r="AD23" s="2" t="str">
        <f t="shared" si="10"/>
        <v>christian.clayton</v>
      </c>
      <c r="AE23" s="2" t="str">
        <f t="shared" si="11"/>
        <v>yahoo</v>
      </c>
      <c r="AF23" s="2" t="str">
        <f t="shared" si="12"/>
        <v>Christian Clayton</v>
      </c>
      <c r="AG23" s="2" t="str">
        <f t="shared" si="13"/>
        <v>Christian</v>
      </c>
      <c r="AH23" s="2" t="str">
        <f t="shared" si="14"/>
        <v>Clayton</v>
      </c>
      <c r="AI23" s="2" t="str">
        <f t="shared" si="15"/>
        <v>Before Time</v>
      </c>
      <c r="AJ23" s="2" t="str">
        <f t="shared" si="16"/>
        <v>#NAME?</v>
      </c>
    </row>
    <row r="24" ht="14.25" customHeight="1">
      <c r="A24" s="2" t="s">
        <v>210</v>
      </c>
      <c r="B24" s="2" t="s">
        <v>211</v>
      </c>
      <c r="C24" s="2" t="s">
        <v>212</v>
      </c>
      <c r="D24" s="2">
        <v>33.0</v>
      </c>
      <c r="E24" s="2" t="s">
        <v>45</v>
      </c>
      <c r="F24" s="2" t="s">
        <v>213</v>
      </c>
      <c r="G24" s="2" t="s">
        <v>214</v>
      </c>
      <c r="H24" s="2" t="s">
        <v>2111</v>
      </c>
      <c r="I24" s="2" t="s">
        <v>215</v>
      </c>
      <c r="J24" s="2" t="s">
        <v>216</v>
      </c>
      <c r="K24" s="3">
        <v>45125.0</v>
      </c>
      <c r="L24" s="2" t="s">
        <v>217</v>
      </c>
      <c r="M24" s="2" t="s">
        <v>218</v>
      </c>
      <c r="N24" s="2">
        <v>461.07</v>
      </c>
      <c r="O24" s="2">
        <v>1.0</v>
      </c>
      <c r="P24" s="2" t="s">
        <v>29</v>
      </c>
      <c r="Q24" s="2">
        <v>1.0</v>
      </c>
      <c r="R24" s="2">
        <v>56.0</v>
      </c>
      <c r="S24" s="3">
        <v>45126.0</v>
      </c>
      <c r="T24" s="2" t="s">
        <v>219</v>
      </c>
      <c r="U24" s="2">
        <f t="shared" si="1"/>
        <v>1</v>
      </c>
      <c r="V24" s="2">
        <f t="shared" si="2"/>
        <v>20</v>
      </c>
      <c r="W24" s="2">
        <f t="shared" si="3"/>
        <v>461.07</v>
      </c>
      <c r="X24" s="2">
        <f t="shared" si="4"/>
        <v>517.07</v>
      </c>
      <c r="Y24" s="2">
        <f t="shared" si="5"/>
        <v>0</v>
      </c>
      <c r="Z24" s="2">
        <f t="shared" si="6"/>
        <v>461.07</v>
      </c>
      <c r="AA24" s="2">
        <f t="shared" si="7"/>
        <v>517.07</v>
      </c>
      <c r="AB24" s="2" t="str">
        <f t="shared" si="8"/>
        <v>Tuesday</v>
      </c>
      <c r="AC24" s="2" t="str">
        <f t="shared" si="9"/>
        <v>Weekday</v>
      </c>
      <c r="AD24" s="2" t="str">
        <f t="shared" si="10"/>
        <v>mark.henderson</v>
      </c>
      <c r="AE24" s="2" t="str">
        <f t="shared" si="11"/>
        <v>yahoo</v>
      </c>
      <c r="AF24" s="2" t="str">
        <f t="shared" si="12"/>
        <v>Mark Henderson</v>
      </c>
      <c r="AG24" s="2" t="str">
        <f t="shared" si="13"/>
        <v>Mark</v>
      </c>
      <c r="AH24" s="2" t="str">
        <f t="shared" si="14"/>
        <v>Henderson</v>
      </c>
      <c r="AI24" s="2" t="str">
        <f t="shared" si="15"/>
        <v>InTime</v>
      </c>
      <c r="AJ24" s="2" t="str">
        <f t="shared" si="16"/>
        <v>#NAME?</v>
      </c>
    </row>
    <row r="25" ht="14.25" customHeight="1">
      <c r="A25" s="2" t="s">
        <v>220</v>
      </c>
      <c r="B25" s="2" t="s">
        <v>221</v>
      </c>
      <c r="C25" s="2" t="s">
        <v>222</v>
      </c>
      <c r="D25" s="2">
        <v>64.0</v>
      </c>
      <c r="E25" s="2" t="s">
        <v>34</v>
      </c>
      <c r="F25" s="2" t="s">
        <v>35</v>
      </c>
      <c r="G25" s="2" t="s">
        <v>223</v>
      </c>
      <c r="H25" s="2" t="s">
        <v>2112</v>
      </c>
      <c r="I25" s="2" t="s">
        <v>224</v>
      </c>
      <c r="J25" s="2" t="s">
        <v>225</v>
      </c>
      <c r="K25" s="3">
        <v>45194.0</v>
      </c>
      <c r="L25" s="2" t="s">
        <v>226</v>
      </c>
      <c r="M25" s="2" t="s">
        <v>227</v>
      </c>
      <c r="N25" s="2">
        <v>132.97</v>
      </c>
      <c r="O25" s="2">
        <v>1.0</v>
      </c>
      <c r="P25" s="2" t="s">
        <v>51</v>
      </c>
      <c r="Q25" s="2">
        <v>4.0</v>
      </c>
      <c r="R25" s="2">
        <v>55.0</v>
      </c>
      <c r="S25" s="3">
        <v>45198.0</v>
      </c>
      <c r="T25" s="2" t="s">
        <v>228</v>
      </c>
      <c r="U25" s="2">
        <f t="shared" si="1"/>
        <v>4</v>
      </c>
      <c r="V25" s="2">
        <f t="shared" si="2"/>
        <v>8</v>
      </c>
      <c r="W25" s="2">
        <f t="shared" si="3"/>
        <v>132.97</v>
      </c>
      <c r="X25" s="2">
        <f t="shared" si="4"/>
        <v>187.97</v>
      </c>
      <c r="Y25" s="2">
        <f t="shared" si="5"/>
        <v>0</v>
      </c>
      <c r="Z25" s="2">
        <f t="shared" si="6"/>
        <v>132.97</v>
      </c>
      <c r="AA25" s="2">
        <f t="shared" si="7"/>
        <v>187.97</v>
      </c>
      <c r="AB25" s="2" t="str">
        <f t="shared" si="8"/>
        <v>Monday</v>
      </c>
      <c r="AC25" s="2" t="str">
        <f t="shared" si="9"/>
        <v>Weekday</v>
      </c>
      <c r="AD25" s="2" t="str">
        <f t="shared" si="10"/>
        <v>john.herrera</v>
      </c>
      <c r="AE25" s="2" t="str">
        <f t="shared" si="11"/>
        <v>outlook</v>
      </c>
      <c r="AF25" s="2" t="str">
        <f t="shared" si="12"/>
        <v>John Herrera</v>
      </c>
      <c r="AG25" s="2" t="str">
        <f t="shared" si="13"/>
        <v>John</v>
      </c>
      <c r="AH25" s="2" t="str">
        <f t="shared" si="14"/>
        <v>Herrera</v>
      </c>
      <c r="AI25" s="2" t="str">
        <f t="shared" si="15"/>
        <v>InTime</v>
      </c>
      <c r="AJ25" s="2" t="str">
        <f t="shared" si="16"/>
        <v>#NAME?</v>
      </c>
    </row>
    <row r="26" ht="14.25" customHeight="1">
      <c r="A26" s="2" t="s">
        <v>229</v>
      </c>
      <c r="B26" s="2" t="s">
        <v>59</v>
      </c>
      <c r="C26" s="2" t="s">
        <v>230</v>
      </c>
      <c r="D26" s="2">
        <v>52.0</v>
      </c>
      <c r="E26" s="2" t="s">
        <v>45</v>
      </c>
      <c r="F26" s="2" t="s">
        <v>35</v>
      </c>
      <c r="G26" s="2" t="s">
        <v>231</v>
      </c>
      <c r="H26" s="2" t="s">
        <v>2113</v>
      </c>
      <c r="I26" s="2" t="s">
        <v>232</v>
      </c>
      <c r="J26" s="2" t="s">
        <v>233</v>
      </c>
      <c r="K26" s="3">
        <v>45146.0</v>
      </c>
      <c r="L26" s="2" t="s">
        <v>234</v>
      </c>
      <c r="M26" s="2" t="s">
        <v>235</v>
      </c>
      <c r="N26" s="2">
        <v>126.19</v>
      </c>
      <c r="O26" s="2">
        <v>2.0</v>
      </c>
      <c r="P26" s="2" t="s">
        <v>56</v>
      </c>
      <c r="Q26" s="2">
        <v>3.0</v>
      </c>
      <c r="R26" s="2">
        <v>63.0</v>
      </c>
      <c r="S26" s="3">
        <v>45150.0</v>
      </c>
      <c r="T26" s="2" t="s">
        <v>236</v>
      </c>
      <c r="U26" s="2">
        <f t="shared" si="1"/>
        <v>4</v>
      </c>
      <c r="V26" s="2">
        <f t="shared" si="2"/>
        <v>19</v>
      </c>
      <c r="W26" s="2">
        <f t="shared" si="3"/>
        <v>252.38</v>
      </c>
      <c r="X26" s="2">
        <f t="shared" si="4"/>
        <v>315.38</v>
      </c>
      <c r="Y26" s="2">
        <f t="shared" si="5"/>
        <v>0</v>
      </c>
      <c r="Z26" s="2">
        <f t="shared" si="6"/>
        <v>252.38</v>
      </c>
      <c r="AA26" s="2">
        <f t="shared" si="7"/>
        <v>252.38</v>
      </c>
      <c r="AB26" s="2" t="str">
        <f t="shared" si="8"/>
        <v>Tuesday</v>
      </c>
      <c r="AC26" s="2" t="str">
        <f t="shared" si="9"/>
        <v>Weekday</v>
      </c>
      <c r="AD26" s="2" t="str">
        <f t="shared" si="10"/>
        <v>angela.evans</v>
      </c>
      <c r="AE26" s="2" t="str">
        <f t="shared" si="11"/>
        <v>outlook</v>
      </c>
      <c r="AF26" s="2" t="str">
        <f t="shared" si="12"/>
        <v>Angela Evans</v>
      </c>
      <c r="AG26" s="2" t="str">
        <f t="shared" si="13"/>
        <v>Angela</v>
      </c>
      <c r="AH26" s="2" t="str">
        <f t="shared" si="14"/>
        <v>Evans</v>
      </c>
      <c r="AI26" s="2" t="str">
        <f t="shared" si="15"/>
        <v>Late</v>
      </c>
      <c r="AJ26" s="2" t="str">
        <f t="shared" si="16"/>
        <v>#NAME?</v>
      </c>
    </row>
    <row r="27" ht="14.25" customHeight="1">
      <c r="A27" s="2" t="s">
        <v>229</v>
      </c>
      <c r="B27" s="2" t="s">
        <v>59</v>
      </c>
      <c r="C27" s="2" t="s">
        <v>230</v>
      </c>
      <c r="D27" s="2">
        <v>52.0</v>
      </c>
      <c r="E27" s="2" t="s">
        <v>45</v>
      </c>
      <c r="F27" s="2" t="s">
        <v>35</v>
      </c>
      <c r="G27" s="2" t="s">
        <v>231</v>
      </c>
      <c r="H27" s="2" t="s">
        <v>2113</v>
      </c>
      <c r="I27" s="2" t="s">
        <v>232</v>
      </c>
      <c r="J27" s="2" t="s">
        <v>237</v>
      </c>
      <c r="K27" s="3">
        <v>45138.0</v>
      </c>
      <c r="L27" s="2" t="s">
        <v>238</v>
      </c>
      <c r="M27" s="2" t="s">
        <v>239</v>
      </c>
      <c r="N27" s="2">
        <v>282.63</v>
      </c>
      <c r="O27" s="2">
        <v>3.0</v>
      </c>
      <c r="P27" s="2" t="s">
        <v>56</v>
      </c>
      <c r="Q27" s="2">
        <v>2.0</v>
      </c>
      <c r="R27" s="2">
        <v>40.0</v>
      </c>
      <c r="S27" s="3">
        <v>45142.0</v>
      </c>
      <c r="T27" s="2" t="s">
        <v>240</v>
      </c>
      <c r="U27" s="2">
        <f t="shared" si="1"/>
        <v>4</v>
      </c>
      <c r="V27" s="2">
        <f t="shared" si="2"/>
        <v>6</v>
      </c>
      <c r="W27" s="2">
        <f t="shared" si="3"/>
        <v>847.89</v>
      </c>
      <c r="X27" s="2">
        <f t="shared" si="4"/>
        <v>887.89</v>
      </c>
      <c r="Y27" s="2">
        <f t="shared" si="5"/>
        <v>0</v>
      </c>
      <c r="Z27" s="2">
        <f t="shared" si="6"/>
        <v>847.89</v>
      </c>
      <c r="AA27" s="2">
        <f t="shared" si="7"/>
        <v>847.89</v>
      </c>
      <c r="AB27" s="2" t="str">
        <f t="shared" si="8"/>
        <v>Monday</v>
      </c>
      <c r="AC27" s="2" t="str">
        <f t="shared" si="9"/>
        <v>Weekday</v>
      </c>
      <c r="AD27" s="2" t="str">
        <f t="shared" si="10"/>
        <v>angela.evans</v>
      </c>
      <c r="AE27" s="2" t="str">
        <f t="shared" si="11"/>
        <v>outlook</v>
      </c>
      <c r="AF27" s="2" t="str">
        <f t="shared" si="12"/>
        <v>Angela Evans</v>
      </c>
      <c r="AG27" s="2" t="str">
        <f t="shared" si="13"/>
        <v>Angela</v>
      </c>
      <c r="AH27" s="2" t="str">
        <f t="shared" si="14"/>
        <v>Evans</v>
      </c>
      <c r="AI27" s="2" t="str">
        <f t="shared" si="15"/>
        <v>Late</v>
      </c>
      <c r="AJ27" s="2" t="str">
        <f t="shared" si="16"/>
        <v>#NAME?</v>
      </c>
    </row>
    <row r="28" ht="14.25" customHeight="1">
      <c r="A28" s="2" t="s">
        <v>112</v>
      </c>
      <c r="B28" s="2" t="s">
        <v>113</v>
      </c>
      <c r="C28" s="2" t="s">
        <v>114</v>
      </c>
      <c r="D28" s="2">
        <v>20.0</v>
      </c>
      <c r="E28" s="2" t="s">
        <v>22</v>
      </c>
      <c r="F28" s="2" t="s">
        <v>83</v>
      </c>
      <c r="G28" s="2" t="s">
        <v>115</v>
      </c>
      <c r="H28" s="2" t="s">
        <v>2100</v>
      </c>
      <c r="I28" s="2" t="s">
        <v>116</v>
      </c>
      <c r="J28" s="2" t="s">
        <v>241</v>
      </c>
      <c r="K28" s="3">
        <v>45066.0</v>
      </c>
      <c r="L28" s="2" t="s">
        <v>242</v>
      </c>
      <c r="M28" s="2" t="s">
        <v>243</v>
      </c>
      <c r="N28" s="2">
        <v>128.14</v>
      </c>
      <c r="O28" s="2">
        <v>3.0</v>
      </c>
      <c r="P28" s="2" t="s">
        <v>29</v>
      </c>
      <c r="Q28" s="2">
        <v>4.0</v>
      </c>
      <c r="R28" s="2">
        <v>70.0</v>
      </c>
      <c r="S28" s="3">
        <v>45069.0</v>
      </c>
      <c r="T28" s="2" t="s">
        <v>244</v>
      </c>
      <c r="U28" s="2">
        <f t="shared" si="1"/>
        <v>3</v>
      </c>
      <c r="V28" s="2">
        <f t="shared" si="2"/>
        <v>17</v>
      </c>
      <c r="W28" s="2">
        <f t="shared" si="3"/>
        <v>384.42</v>
      </c>
      <c r="X28" s="2">
        <f t="shared" si="4"/>
        <v>454.42</v>
      </c>
      <c r="Y28" s="2">
        <f t="shared" si="5"/>
        <v>0</v>
      </c>
      <c r="Z28" s="2">
        <f t="shared" si="6"/>
        <v>384.42</v>
      </c>
      <c r="AA28" s="2">
        <f t="shared" si="7"/>
        <v>454.42</v>
      </c>
      <c r="AB28" s="2" t="str">
        <f t="shared" si="8"/>
        <v>Saturday</v>
      </c>
      <c r="AC28" s="2" t="str">
        <f t="shared" si="9"/>
        <v>Weekend</v>
      </c>
      <c r="AD28" s="2" t="str">
        <f t="shared" si="10"/>
        <v>bobby.forbes</v>
      </c>
      <c r="AE28" s="2" t="str">
        <f t="shared" si="11"/>
        <v>gmail</v>
      </c>
      <c r="AF28" s="2" t="str">
        <f t="shared" si="12"/>
        <v>Bobby Forbes</v>
      </c>
      <c r="AG28" s="2" t="str">
        <f t="shared" si="13"/>
        <v>Bobby</v>
      </c>
      <c r="AH28" s="2" t="str">
        <f t="shared" si="14"/>
        <v>Forbes</v>
      </c>
      <c r="AI28" s="2" t="str">
        <f t="shared" si="15"/>
        <v>Before Time</v>
      </c>
      <c r="AJ28" s="2" t="str">
        <f t="shared" si="16"/>
        <v>#NAME?</v>
      </c>
    </row>
    <row r="29" ht="14.25" customHeight="1">
      <c r="A29" s="2" t="s">
        <v>112</v>
      </c>
      <c r="B29" s="2" t="s">
        <v>113</v>
      </c>
      <c r="C29" s="2" t="s">
        <v>114</v>
      </c>
      <c r="D29" s="2">
        <v>20.0</v>
      </c>
      <c r="E29" s="2" t="s">
        <v>22</v>
      </c>
      <c r="F29" s="2" t="s">
        <v>83</v>
      </c>
      <c r="G29" s="2" t="s">
        <v>115</v>
      </c>
      <c r="H29" s="2" t="s">
        <v>2100</v>
      </c>
      <c r="I29" s="2" t="s">
        <v>116</v>
      </c>
      <c r="J29" s="2" t="s">
        <v>245</v>
      </c>
      <c r="K29" s="3">
        <v>45185.0</v>
      </c>
      <c r="L29" s="2" t="s">
        <v>246</v>
      </c>
      <c r="M29" s="2" t="s">
        <v>88</v>
      </c>
      <c r="N29" s="2">
        <v>363.64</v>
      </c>
      <c r="O29" s="2">
        <v>3.0</v>
      </c>
      <c r="P29" s="2" t="s">
        <v>78</v>
      </c>
      <c r="Q29" s="2">
        <v>5.0</v>
      </c>
      <c r="R29" s="2">
        <v>39.0</v>
      </c>
      <c r="S29" s="3">
        <v>45189.0</v>
      </c>
      <c r="T29" s="2" t="s">
        <v>247</v>
      </c>
      <c r="U29" s="2">
        <f t="shared" si="1"/>
        <v>4</v>
      </c>
      <c r="V29" s="2">
        <f t="shared" si="2"/>
        <v>18</v>
      </c>
      <c r="W29" s="2">
        <f t="shared" si="3"/>
        <v>1090.92</v>
      </c>
      <c r="X29" s="2">
        <f t="shared" si="4"/>
        <v>1129.92</v>
      </c>
      <c r="Y29" s="2">
        <f t="shared" si="5"/>
        <v>0</v>
      </c>
      <c r="Z29" s="2">
        <f t="shared" si="6"/>
        <v>1090.92</v>
      </c>
      <c r="AA29" s="2">
        <f t="shared" si="7"/>
        <v>1129.92</v>
      </c>
      <c r="AB29" s="2" t="str">
        <f t="shared" si="8"/>
        <v>Saturday</v>
      </c>
      <c r="AC29" s="2" t="str">
        <f t="shared" si="9"/>
        <v>Weekend</v>
      </c>
      <c r="AD29" s="2" t="str">
        <f t="shared" si="10"/>
        <v>bobby.forbes</v>
      </c>
      <c r="AE29" s="2" t="str">
        <f t="shared" si="11"/>
        <v>gmail</v>
      </c>
      <c r="AF29" s="2" t="str">
        <f t="shared" si="12"/>
        <v>Bobby Forbes</v>
      </c>
      <c r="AG29" s="2" t="str">
        <f t="shared" si="13"/>
        <v>Bobby</v>
      </c>
      <c r="AH29" s="2" t="str">
        <f t="shared" si="14"/>
        <v>Forbes</v>
      </c>
      <c r="AI29" s="2" t="str">
        <f t="shared" si="15"/>
        <v>Before Time</v>
      </c>
      <c r="AJ29" s="2" t="str">
        <f t="shared" si="16"/>
        <v>#NAME?</v>
      </c>
    </row>
    <row r="30" ht="14.25" customHeight="1">
      <c r="A30" s="2" t="s">
        <v>248</v>
      </c>
      <c r="B30" s="2" t="s">
        <v>249</v>
      </c>
      <c r="C30" s="2" t="s">
        <v>250</v>
      </c>
      <c r="D30" s="2">
        <v>60.0</v>
      </c>
      <c r="E30" s="2" t="s">
        <v>45</v>
      </c>
      <c r="F30" s="2" t="s">
        <v>23</v>
      </c>
      <c r="G30" s="2" t="s">
        <v>251</v>
      </c>
      <c r="H30" s="2" t="s">
        <v>2114</v>
      </c>
      <c r="I30" s="2" t="s">
        <v>252</v>
      </c>
      <c r="J30" s="2" t="s">
        <v>253</v>
      </c>
      <c r="K30" s="3">
        <v>44987.0</v>
      </c>
      <c r="L30" s="2" t="s">
        <v>254</v>
      </c>
      <c r="M30" s="2" t="s">
        <v>88</v>
      </c>
      <c r="N30" s="2">
        <v>363.64</v>
      </c>
      <c r="O30" s="2">
        <v>2.0</v>
      </c>
      <c r="P30" s="2" t="s">
        <v>51</v>
      </c>
      <c r="Q30" s="2">
        <v>1.0</v>
      </c>
      <c r="R30" s="2">
        <v>43.0</v>
      </c>
      <c r="S30" s="3">
        <v>44988.0</v>
      </c>
      <c r="T30" s="2" t="s">
        <v>255</v>
      </c>
      <c r="U30" s="2">
        <f t="shared" si="1"/>
        <v>1</v>
      </c>
      <c r="V30" s="2">
        <f t="shared" si="2"/>
        <v>12</v>
      </c>
      <c r="W30" s="2">
        <f t="shared" si="3"/>
        <v>727.28</v>
      </c>
      <c r="X30" s="2">
        <f t="shared" si="4"/>
        <v>770.28</v>
      </c>
      <c r="Y30" s="2">
        <f t="shared" si="5"/>
        <v>0</v>
      </c>
      <c r="Z30" s="2">
        <f t="shared" si="6"/>
        <v>727.28</v>
      </c>
      <c r="AA30" s="2">
        <f t="shared" si="7"/>
        <v>770.28</v>
      </c>
      <c r="AB30" s="2" t="str">
        <f t="shared" si="8"/>
        <v>Thursday</v>
      </c>
      <c r="AC30" s="2" t="str">
        <f t="shared" si="9"/>
        <v>Weekday</v>
      </c>
      <c r="AD30" s="2" t="str">
        <f t="shared" si="10"/>
        <v>ashley.rose</v>
      </c>
      <c r="AE30" s="2" t="str">
        <f t="shared" si="11"/>
        <v>gmail</v>
      </c>
      <c r="AF30" s="2" t="str">
        <f t="shared" si="12"/>
        <v>Ashley Rose</v>
      </c>
      <c r="AG30" s="2" t="str">
        <f t="shared" si="13"/>
        <v>Ashley</v>
      </c>
      <c r="AH30" s="2" t="str">
        <f t="shared" si="14"/>
        <v>Rose</v>
      </c>
      <c r="AI30" s="2" t="str">
        <f t="shared" si="15"/>
        <v>InTime</v>
      </c>
      <c r="AJ30" s="2" t="str">
        <f t="shared" si="16"/>
        <v>#NAME?</v>
      </c>
    </row>
    <row r="31" ht="14.25" customHeight="1">
      <c r="A31" s="2" t="s">
        <v>256</v>
      </c>
      <c r="B31" s="2" t="s">
        <v>257</v>
      </c>
      <c r="C31" s="2" t="s">
        <v>258</v>
      </c>
      <c r="D31" s="2">
        <v>54.0</v>
      </c>
      <c r="E31" s="2" t="s">
        <v>34</v>
      </c>
      <c r="F31" s="2" t="s">
        <v>23</v>
      </c>
      <c r="G31" s="2" t="s">
        <v>259</v>
      </c>
      <c r="H31" s="2" t="s">
        <v>2115</v>
      </c>
      <c r="I31" s="2" t="s">
        <v>260</v>
      </c>
      <c r="J31" s="2" t="s">
        <v>261</v>
      </c>
      <c r="K31" s="3">
        <v>45224.0</v>
      </c>
      <c r="L31" s="2" t="s">
        <v>262</v>
      </c>
      <c r="M31" s="2" t="s">
        <v>263</v>
      </c>
      <c r="N31" s="2">
        <v>62.42</v>
      </c>
      <c r="O31" s="2">
        <v>1.0</v>
      </c>
      <c r="P31" s="2" t="s">
        <v>56</v>
      </c>
      <c r="Q31" s="2">
        <v>3.0</v>
      </c>
      <c r="R31" s="2">
        <v>58.0</v>
      </c>
      <c r="S31" s="3">
        <v>45229.0</v>
      </c>
      <c r="T31" s="2" t="s">
        <v>264</v>
      </c>
      <c r="U31" s="2">
        <f t="shared" si="1"/>
        <v>5</v>
      </c>
      <c r="V31" s="2">
        <f t="shared" si="2"/>
        <v>0</v>
      </c>
      <c r="W31" s="2">
        <f t="shared" si="3"/>
        <v>62.42</v>
      </c>
      <c r="X31" s="2">
        <f t="shared" si="4"/>
        <v>120.42</v>
      </c>
      <c r="Y31" s="2">
        <f t="shared" si="5"/>
        <v>0</v>
      </c>
      <c r="Z31" s="2">
        <f t="shared" si="6"/>
        <v>62.42</v>
      </c>
      <c r="AA31" s="2">
        <f t="shared" si="7"/>
        <v>62.42</v>
      </c>
      <c r="AB31" s="2" t="str">
        <f t="shared" si="8"/>
        <v>Wednesday</v>
      </c>
      <c r="AC31" s="2" t="str">
        <f t="shared" si="9"/>
        <v>Weekday</v>
      </c>
      <c r="AD31" s="2" t="str">
        <f t="shared" si="10"/>
        <v>taylor.davis</v>
      </c>
      <c r="AE31" s="2" t="str">
        <f t="shared" si="11"/>
        <v>yahoo</v>
      </c>
      <c r="AF31" s="2" t="str">
        <f t="shared" si="12"/>
        <v>Taylor Davis</v>
      </c>
      <c r="AG31" s="2" t="str">
        <f t="shared" si="13"/>
        <v>Taylor</v>
      </c>
      <c r="AH31" s="2" t="str">
        <f t="shared" si="14"/>
        <v>Davis</v>
      </c>
      <c r="AI31" s="2" t="str">
        <f t="shared" si="15"/>
        <v>Late</v>
      </c>
      <c r="AJ31" s="2" t="str">
        <f t="shared" si="16"/>
        <v>#NAME?</v>
      </c>
    </row>
    <row r="32" ht="14.25" customHeight="1">
      <c r="A32" s="2" t="s">
        <v>265</v>
      </c>
      <c r="B32" s="2" t="s">
        <v>266</v>
      </c>
      <c r="C32" s="2" t="s">
        <v>267</v>
      </c>
      <c r="D32" s="2">
        <v>44.0</v>
      </c>
      <c r="E32" s="2" t="s">
        <v>22</v>
      </c>
      <c r="F32" s="2" t="s">
        <v>213</v>
      </c>
      <c r="G32" s="2" t="s">
        <v>268</v>
      </c>
      <c r="H32" s="2" t="s">
        <v>2116</v>
      </c>
      <c r="I32" s="2" t="s">
        <v>269</v>
      </c>
      <c r="J32" s="2" t="s">
        <v>270</v>
      </c>
      <c r="K32" s="3">
        <v>45389.0</v>
      </c>
      <c r="L32" s="2" t="s">
        <v>271</v>
      </c>
      <c r="M32" s="2" t="s">
        <v>227</v>
      </c>
      <c r="N32" s="2">
        <v>132.97</v>
      </c>
      <c r="O32" s="2">
        <v>1.0</v>
      </c>
      <c r="P32" s="2" t="s">
        <v>56</v>
      </c>
      <c r="Q32" s="2">
        <v>6.0</v>
      </c>
      <c r="R32" s="2">
        <v>57.0</v>
      </c>
      <c r="S32" s="3">
        <v>45396.0</v>
      </c>
      <c r="T32" s="2" t="s">
        <v>272</v>
      </c>
      <c r="U32" s="2">
        <f t="shared" si="1"/>
        <v>7</v>
      </c>
      <c r="V32" s="2">
        <f t="shared" si="2"/>
        <v>21</v>
      </c>
      <c r="W32" s="2">
        <f t="shared" si="3"/>
        <v>132.97</v>
      </c>
      <c r="X32" s="2">
        <f t="shared" si="4"/>
        <v>189.97</v>
      </c>
      <c r="Y32" s="2">
        <f t="shared" si="5"/>
        <v>0</v>
      </c>
      <c r="Z32" s="2">
        <f t="shared" si="6"/>
        <v>132.97</v>
      </c>
      <c r="AA32" s="2">
        <f t="shared" si="7"/>
        <v>132.97</v>
      </c>
      <c r="AB32" s="2" t="str">
        <f t="shared" si="8"/>
        <v>Sunday</v>
      </c>
      <c r="AC32" s="2" t="str">
        <f t="shared" si="9"/>
        <v>Weekend</v>
      </c>
      <c r="AD32" s="2" t="str">
        <f t="shared" si="10"/>
        <v>lauren.long</v>
      </c>
      <c r="AE32" s="2" t="str">
        <f t="shared" si="11"/>
        <v>gmail</v>
      </c>
      <c r="AF32" s="2" t="str">
        <f t="shared" si="12"/>
        <v>Lauren Long</v>
      </c>
      <c r="AG32" s="2" t="str">
        <f t="shared" si="13"/>
        <v>Lauren</v>
      </c>
      <c r="AH32" s="2" t="str">
        <f t="shared" si="14"/>
        <v>Long</v>
      </c>
      <c r="AI32" s="2" t="str">
        <f t="shared" si="15"/>
        <v>Late</v>
      </c>
      <c r="AJ32" s="2" t="str">
        <f t="shared" si="16"/>
        <v>#NAME?</v>
      </c>
    </row>
    <row r="33" ht="14.25" customHeight="1">
      <c r="A33" s="2" t="s">
        <v>273</v>
      </c>
      <c r="B33" s="2" t="s">
        <v>274</v>
      </c>
      <c r="C33" s="2" t="s">
        <v>275</v>
      </c>
      <c r="D33" s="2">
        <v>64.0</v>
      </c>
      <c r="E33" s="2" t="s">
        <v>45</v>
      </c>
      <c r="F33" s="2" t="s">
        <v>23</v>
      </c>
      <c r="G33" s="2" t="s">
        <v>276</v>
      </c>
      <c r="H33" s="2" t="s">
        <v>2117</v>
      </c>
      <c r="I33" s="2" t="s">
        <v>277</v>
      </c>
      <c r="J33" s="2" t="s">
        <v>278</v>
      </c>
      <c r="K33" s="3">
        <v>45039.0</v>
      </c>
      <c r="L33" s="2" t="s">
        <v>279</v>
      </c>
      <c r="M33" s="2" t="s">
        <v>280</v>
      </c>
      <c r="N33" s="2">
        <v>157.64</v>
      </c>
      <c r="O33" s="2">
        <v>4.0</v>
      </c>
      <c r="P33" s="2" t="s">
        <v>78</v>
      </c>
      <c r="Q33" s="2">
        <v>7.0</v>
      </c>
      <c r="R33" s="2">
        <v>59.0</v>
      </c>
      <c r="S33" s="3">
        <v>45046.0</v>
      </c>
      <c r="T33" s="2" t="s">
        <v>281</v>
      </c>
      <c r="U33" s="2">
        <f t="shared" si="1"/>
        <v>7</v>
      </c>
      <c r="V33" s="2">
        <f t="shared" si="2"/>
        <v>10</v>
      </c>
      <c r="W33" s="2">
        <f t="shared" si="3"/>
        <v>630.56</v>
      </c>
      <c r="X33" s="2">
        <f t="shared" si="4"/>
        <v>689.56</v>
      </c>
      <c r="Y33" s="2">
        <f t="shared" si="5"/>
        <v>0</v>
      </c>
      <c r="Z33" s="2">
        <f t="shared" si="6"/>
        <v>630.56</v>
      </c>
      <c r="AA33" s="2">
        <f t="shared" si="7"/>
        <v>689.56</v>
      </c>
      <c r="AB33" s="2" t="str">
        <f t="shared" si="8"/>
        <v>Sunday</v>
      </c>
      <c r="AC33" s="2" t="str">
        <f t="shared" si="9"/>
        <v>Weekend</v>
      </c>
      <c r="AD33" s="2" t="str">
        <f t="shared" si="10"/>
        <v>teresa.harvey</v>
      </c>
      <c r="AE33" s="2" t="str">
        <f t="shared" si="11"/>
        <v>gmail</v>
      </c>
      <c r="AF33" s="2" t="str">
        <f t="shared" si="12"/>
        <v>Teresa Harvey</v>
      </c>
      <c r="AG33" s="2" t="str">
        <f t="shared" si="13"/>
        <v>Teresa</v>
      </c>
      <c r="AH33" s="2" t="str">
        <f t="shared" si="14"/>
        <v>Harvey</v>
      </c>
      <c r="AI33" s="2" t="str">
        <f t="shared" si="15"/>
        <v>InTime</v>
      </c>
      <c r="AJ33" s="2" t="str">
        <f t="shared" si="16"/>
        <v>#NAME?</v>
      </c>
    </row>
    <row r="34" ht="14.25" customHeight="1">
      <c r="A34" s="2" t="s">
        <v>265</v>
      </c>
      <c r="B34" s="2" t="s">
        <v>266</v>
      </c>
      <c r="C34" s="2" t="s">
        <v>267</v>
      </c>
      <c r="D34" s="2">
        <v>44.0</v>
      </c>
      <c r="E34" s="2" t="s">
        <v>22</v>
      </c>
      <c r="F34" s="2" t="s">
        <v>213</v>
      </c>
      <c r="G34" s="2" t="s">
        <v>268</v>
      </c>
      <c r="H34" s="2" t="s">
        <v>2116</v>
      </c>
      <c r="I34" s="2" t="s">
        <v>269</v>
      </c>
      <c r="J34" s="2" t="s">
        <v>282</v>
      </c>
      <c r="K34" s="3">
        <v>45548.0</v>
      </c>
      <c r="L34" s="2" t="s">
        <v>283</v>
      </c>
      <c r="M34" s="2" t="s">
        <v>284</v>
      </c>
      <c r="N34" s="2">
        <v>158.53</v>
      </c>
      <c r="O34" s="2">
        <v>5.0</v>
      </c>
      <c r="P34" s="2" t="s">
        <v>78</v>
      </c>
      <c r="Q34" s="2">
        <v>3.0</v>
      </c>
      <c r="R34" s="2">
        <v>42.0</v>
      </c>
      <c r="S34" s="3">
        <v>45553.0</v>
      </c>
      <c r="T34" s="2" t="s">
        <v>285</v>
      </c>
      <c r="U34" s="2">
        <f t="shared" si="1"/>
        <v>5</v>
      </c>
      <c r="V34" s="2">
        <f t="shared" si="2"/>
        <v>13</v>
      </c>
      <c r="W34" s="2">
        <f t="shared" si="3"/>
        <v>792.65</v>
      </c>
      <c r="X34" s="2">
        <f t="shared" si="4"/>
        <v>834.65</v>
      </c>
      <c r="Y34" s="2">
        <f t="shared" si="5"/>
        <v>0</v>
      </c>
      <c r="Z34" s="2">
        <f t="shared" si="6"/>
        <v>792.65</v>
      </c>
      <c r="AA34" s="2">
        <f t="shared" si="7"/>
        <v>834.65</v>
      </c>
      <c r="AB34" s="2" t="str">
        <f t="shared" si="8"/>
        <v>Friday</v>
      </c>
      <c r="AC34" s="2" t="str">
        <f t="shared" si="9"/>
        <v>Weekday</v>
      </c>
      <c r="AD34" s="2" t="str">
        <f t="shared" si="10"/>
        <v>lauren.long</v>
      </c>
      <c r="AE34" s="2" t="str">
        <f t="shared" si="11"/>
        <v>gmail</v>
      </c>
      <c r="AF34" s="2" t="str">
        <f t="shared" si="12"/>
        <v>Lauren Long</v>
      </c>
      <c r="AG34" s="2" t="str">
        <f t="shared" si="13"/>
        <v>Lauren</v>
      </c>
      <c r="AH34" s="2" t="str">
        <f t="shared" si="14"/>
        <v>Long</v>
      </c>
      <c r="AI34" s="2" t="str">
        <f t="shared" si="15"/>
        <v>Late</v>
      </c>
      <c r="AJ34" s="2" t="str">
        <f t="shared" si="16"/>
        <v>#NAME?</v>
      </c>
    </row>
    <row r="35" ht="14.25" customHeight="1">
      <c r="A35" s="2" t="s">
        <v>286</v>
      </c>
      <c r="B35" s="2" t="s">
        <v>287</v>
      </c>
      <c r="C35" s="2" t="s">
        <v>288</v>
      </c>
      <c r="D35" s="2">
        <v>48.0</v>
      </c>
      <c r="E35" s="2" t="s">
        <v>34</v>
      </c>
      <c r="F35" s="2" t="s">
        <v>83</v>
      </c>
      <c r="G35" s="2" t="s">
        <v>289</v>
      </c>
      <c r="H35" s="2" t="s">
        <v>2118</v>
      </c>
      <c r="I35" s="2" t="s">
        <v>290</v>
      </c>
      <c r="J35" s="2" t="s">
        <v>291</v>
      </c>
      <c r="K35" s="3">
        <v>45407.0</v>
      </c>
      <c r="L35" s="2" t="s">
        <v>292</v>
      </c>
      <c r="M35" s="2" t="s">
        <v>263</v>
      </c>
      <c r="N35" s="2">
        <v>62.42</v>
      </c>
      <c r="O35" s="2">
        <v>3.0</v>
      </c>
      <c r="P35" s="2" t="s">
        <v>29</v>
      </c>
      <c r="Q35" s="2">
        <v>4.0</v>
      </c>
      <c r="R35" s="2">
        <v>36.0</v>
      </c>
      <c r="S35" s="3">
        <v>45414.0</v>
      </c>
      <c r="T35" s="2" t="s">
        <v>293</v>
      </c>
      <c r="U35" s="2">
        <f t="shared" si="1"/>
        <v>7</v>
      </c>
      <c r="V35" s="2">
        <f t="shared" si="2"/>
        <v>1</v>
      </c>
      <c r="W35" s="2">
        <f t="shared" si="3"/>
        <v>187.26</v>
      </c>
      <c r="X35" s="2">
        <f t="shared" si="4"/>
        <v>223.26</v>
      </c>
      <c r="Y35" s="2">
        <f t="shared" si="5"/>
        <v>0</v>
      </c>
      <c r="Z35" s="2">
        <f t="shared" si="6"/>
        <v>187.26</v>
      </c>
      <c r="AA35" s="2">
        <f t="shared" si="7"/>
        <v>223.26</v>
      </c>
      <c r="AB35" s="2" t="str">
        <f t="shared" si="8"/>
        <v>Thursday</v>
      </c>
      <c r="AC35" s="2" t="str">
        <f t="shared" si="9"/>
        <v>Weekday</v>
      </c>
      <c r="AD35" s="2" t="str">
        <f t="shared" si="10"/>
        <v>heather.schneider</v>
      </c>
      <c r="AE35" s="2" t="str">
        <f t="shared" si="11"/>
        <v>outlook</v>
      </c>
      <c r="AF35" s="2" t="str">
        <f t="shared" si="12"/>
        <v>Heather Schneider</v>
      </c>
      <c r="AG35" s="2" t="str">
        <f t="shared" si="13"/>
        <v>Heather</v>
      </c>
      <c r="AH35" s="2" t="str">
        <f t="shared" si="14"/>
        <v>Schneider</v>
      </c>
      <c r="AI35" s="2" t="str">
        <f t="shared" si="15"/>
        <v>Late</v>
      </c>
      <c r="AJ35" s="2" t="str">
        <f t="shared" si="16"/>
        <v>#NAME?</v>
      </c>
    </row>
    <row r="36" ht="14.25" customHeight="1">
      <c r="A36" s="2" t="s">
        <v>294</v>
      </c>
      <c r="B36" s="2" t="s">
        <v>295</v>
      </c>
      <c r="C36" s="2" t="s">
        <v>296</v>
      </c>
      <c r="D36" s="2">
        <v>26.0</v>
      </c>
      <c r="E36" s="2" t="s">
        <v>45</v>
      </c>
      <c r="F36" s="2" t="s">
        <v>161</v>
      </c>
      <c r="G36" s="2" t="s">
        <v>297</v>
      </c>
      <c r="H36" s="2" t="s">
        <v>2119</v>
      </c>
      <c r="I36" s="2" t="s">
        <v>298</v>
      </c>
      <c r="J36" s="2" t="s">
        <v>299</v>
      </c>
      <c r="K36" s="3">
        <v>45168.0</v>
      </c>
      <c r="L36" s="2" t="s">
        <v>300</v>
      </c>
      <c r="M36" s="2" t="s">
        <v>301</v>
      </c>
      <c r="N36" s="2">
        <v>129.75</v>
      </c>
      <c r="O36" s="2">
        <v>1.0</v>
      </c>
      <c r="P36" s="2" t="s">
        <v>89</v>
      </c>
      <c r="Q36" s="2">
        <v>5.0</v>
      </c>
      <c r="R36" s="2">
        <v>70.0</v>
      </c>
      <c r="S36" s="3">
        <v>45172.0</v>
      </c>
      <c r="T36" s="2" t="s">
        <v>302</v>
      </c>
      <c r="U36" s="2">
        <f t="shared" si="1"/>
        <v>4</v>
      </c>
      <c r="V36" s="2">
        <f t="shared" si="2"/>
        <v>14</v>
      </c>
      <c r="W36" s="2">
        <f t="shared" si="3"/>
        <v>129.75</v>
      </c>
      <c r="X36" s="2">
        <f t="shared" si="4"/>
        <v>199.75</v>
      </c>
      <c r="Y36" s="2">
        <f t="shared" si="5"/>
        <v>0</v>
      </c>
      <c r="Z36" s="2">
        <f t="shared" si="6"/>
        <v>129.75</v>
      </c>
      <c r="AA36" s="2">
        <f t="shared" si="7"/>
        <v>199.75</v>
      </c>
      <c r="AB36" s="2" t="str">
        <f t="shared" si="8"/>
        <v>Wednesday</v>
      </c>
      <c r="AC36" s="2" t="str">
        <f t="shared" si="9"/>
        <v>Weekday</v>
      </c>
      <c r="AD36" s="2" t="str">
        <f t="shared" si="10"/>
        <v>valerie.carr</v>
      </c>
      <c r="AE36" s="2" t="str">
        <f t="shared" si="11"/>
        <v>rediffmail</v>
      </c>
      <c r="AF36" s="2" t="str">
        <f t="shared" si="12"/>
        <v>Valerie Carr</v>
      </c>
      <c r="AG36" s="2" t="str">
        <f t="shared" si="13"/>
        <v>Valerie</v>
      </c>
      <c r="AH36" s="2" t="str">
        <f t="shared" si="14"/>
        <v>Carr</v>
      </c>
      <c r="AI36" s="2" t="str">
        <f t="shared" si="15"/>
        <v>Before Time</v>
      </c>
      <c r="AJ36" s="2" t="str">
        <f t="shared" si="16"/>
        <v>#NAME?</v>
      </c>
    </row>
    <row r="37" ht="14.25" customHeight="1">
      <c r="A37" s="2" t="s">
        <v>229</v>
      </c>
      <c r="B37" s="2" t="s">
        <v>59</v>
      </c>
      <c r="C37" s="2" t="s">
        <v>230</v>
      </c>
      <c r="D37" s="2">
        <v>52.0</v>
      </c>
      <c r="E37" s="2" t="s">
        <v>45</v>
      </c>
      <c r="F37" s="2" t="s">
        <v>35</v>
      </c>
      <c r="G37" s="2" t="s">
        <v>231</v>
      </c>
      <c r="H37" s="2" t="s">
        <v>2113</v>
      </c>
      <c r="I37" s="2" t="s">
        <v>232</v>
      </c>
      <c r="J37" s="2" t="s">
        <v>303</v>
      </c>
      <c r="K37" s="3">
        <v>45244.0</v>
      </c>
      <c r="L37" s="2" t="s">
        <v>304</v>
      </c>
      <c r="M37" s="2" t="s">
        <v>280</v>
      </c>
      <c r="N37" s="2">
        <v>157.64</v>
      </c>
      <c r="O37" s="2">
        <v>5.0</v>
      </c>
      <c r="P37" s="2" t="s">
        <v>29</v>
      </c>
      <c r="Q37" s="2">
        <v>4.0</v>
      </c>
      <c r="R37" s="2">
        <v>53.0</v>
      </c>
      <c r="S37" s="3">
        <v>45246.0</v>
      </c>
      <c r="T37" s="2" t="s">
        <v>305</v>
      </c>
      <c r="U37" s="2">
        <f t="shared" si="1"/>
        <v>2</v>
      </c>
      <c r="V37" s="2">
        <f t="shared" si="2"/>
        <v>5</v>
      </c>
      <c r="W37" s="2">
        <f t="shared" si="3"/>
        <v>788.2</v>
      </c>
      <c r="X37" s="2">
        <f t="shared" si="4"/>
        <v>841.2</v>
      </c>
      <c r="Y37" s="2">
        <f t="shared" si="5"/>
        <v>0</v>
      </c>
      <c r="Z37" s="2">
        <f t="shared" si="6"/>
        <v>788.2</v>
      </c>
      <c r="AA37" s="2">
        <f t="shared" si="7"/>
        <v>841.2</v>
      </c>
      <c r="AB37" s="2" t="str">
        <f t="shared" si="8"/>
        <v>Tuesday</v>
      </c>
      <c r="AC37" s="2" t="str">
        <f t="shared" si="9"/>
        <v>Weekday</v>
      </c>
      <c r="AD37" s="2" t="str">
        <f t="shared" si="10"/>
        <v>angela.evans</v>
      </c>
      <c r="AE37" s="2" t="str">
        <f t="shared" si="11"/>
        <v>outlook</v>
      </c>
      <c r="AF37" s="2" t="str">
        <f t="shared" si="12"/>
        <v>Angela Evans</v>
      </c>
      <c r="AG37" s="2" t="str">
        <f t="shared" si="13"/>
        <v>Angela</v>
      </c>
      <c r="AH37" s="2" t="str">
        <f t="shared" si="14"/>
        <v>Evans</v>
      </c>
      <c r="AI37" s="2" t="str">
        <f t="shared" si="15"/>
        <v>Before Time</v>
      </c>
      <c r="AJ37" s="2" t="str">
        <f t="shared" si="16"/>
        <v>#NAME?</v>
      </c>
    </row>
    <row r="38" ht="14.25" customHeight="1">
      <c r="A38" s="2" t="s">
        <v>58</v>
      </c>
      <c r="B38" s="2" t="s">
        <v>59</v>
      </c>
      <c r="C38" s="2" t="s">
        <v>60</v>
      </c>
      <c r="D38" s="2">
        <v>49.0</v>
      </c>
      <c r="E38" s="2" t="s">
        <v>45</v>
      </c>
      <c r="F38" s="2" t="s">
        <v>23</v>
      </c>
      <c r="G38" s="2" t="s">
        <v>61</v>
      </c>
      <c r="H38" s="2" t="s">
        <v>2095</v>
      </c>
      <c r="I38" s="2" t="s">
        <v>62</v>
      </c>
      <c r="J38" s="2" t="s">
        <v>306</v>
      </c>
      <c r="K38" s="3">
        <v>45242.0</v>
      </c>
      <c r="L38" s="2" t="s">
        <v>307</v>
      </c>
      <c r="M38" s="2" t="s">
        <v>192</v>
      </c>
      <c r="N38" s="2">
        <v>20.7</v>
      </c>
      <c r="O38" s="2">
        <v>5.0</v>
      </c>
      <c r="P38" s="2" t="s">
        <v>56</v>
      </c>
      <c r="Q38" s="2">
        <v>2.0</v>
      </c>
      <c r="R38" s="2">
        <v>64.0</v>
      </c>
      <c r="S38" s="3">
        <v>45248.0</v>
      </c>
      <c r="T38" s="2" t="s">
        <v>308</v>
      </c>
      <c r="U38" s="2">
        <f t="shared" si="1"/>
        <v>6</v>
      </c>
      <c r="V38" s="2">
        <f t="shared" si="2"/>
        <v>12</v>
      </c>
      <c r="W38" s="2">
        <f t="shared" si="3"/>
        <v>103.5</v>
      </c>
      <c r="X38" s="2">
        <f t="shared" si="4"/>
        <v>167.5</v>
      </c>
      <c r="Y38" s="2">
        <f t="shared" si="5"/>
        <v>0</v>
      </c>
      <c r="Z38" s="2">
        <f t="shared" si="6"/>
        <v>103.5</v>
      </c>
      <c r="AA38" s="2">
        <f t="shared" si="7"/>
        <v>103.5</v>
      </c>
      <c r="AB38" s="2" t="str">
        <f t="shared" si="8"/>
        <v>Sunday</v>
      </c>
      <c r="AC38" s="2" t="str">
        <f t="shared" si="9"/>
        <v>Weekend</v>
      </c>
      <c r="AD38" s="2" t="str">
        <f t="shared" si="10"/>
        <v>angela.horne</v>
      </c>
      <c r="AE38" s="2" t="str">
        <f t="shared" si="11"/>
        <v>outlook</v>
      </c>
      <c r="AF38" s="2" t="str">
        <f t="shared" si="12"/>
        <v>Angela Horne</v>
      </c>
      <c r="AG38" s="2" t="str">
        <f t="shared" si="13"/>
        <v>Angela</v>
      </c>
      <c r="AH38" s="2" t="str">
        <f t="shared" si="14"/>
        <v>Horne</v>
      </c>
      <c r="AI38" s="2" t="str">
        <f t="shared" si="15"/>
        <v>Late</v>
      </c>
      <c r="AJ38" s="2" t="str">
        <f t="shared" si="16"/>
        <v>#NAME?</v>
      </c>
    </row>
    <row r="39" ht="14.25" customHeight="1">
      <c r="A39" s="2" t="s">
        <v>309</v>
      </c>
      <c r="B39" s="2" t="s">
        <v>310</v>
      </c>
      <c r="C39" s="2" t="s">
        <v>311</v>
      </c>
      <c r="D39" s="2">
        <v>45.0</v>
      </c>
      <c r="E39" s="2" t="s">
        <v>22</v>
      </c>
      <c r="F39" s="2" t="s">
        <v>35</v>
      </c>
      <c r="G39" s="2" t="s">
        <v>312</v>
      </c>
      <c r="H39" s="2" t="s">
        <v>2120</v>
      </c>
      <c r="I39" s="2" t="s">
        <v>313</v>
      </c>
      <c r="J39" s="2" t="s">
        <v>314</v>
      </c>
      <c r="K39" s="3">
        <v>45193.0</v>
      </c>
      <c r="L39" s="2" t="s">
        <v>315</v>
      </c>
      <c r="M39" s="2" t="s">
        <v>316</v>
      </c>
      <c r="N39" s="2">
        <v>481.48</v>
      </c>
      <c r="O39" s="2">
        <v>2.0</v>
      </c>
      <c r="P39" s="2" t="s">
        <v>51</v>
      </c>
      <c r="Q39" s="2">
        <v>3.0</v>
      </c>
      <c r="R39" s="2">
        <v>50.0</v>
      </c>
      <c r="S39" s="3">
        <v>45196.0</v>
      </c>
      <c r="T39" s="2" t="s">
        <v>317</v>
      </c>
      <c r="U39" s="2">
        <f t="shared" si="1"/>
        <v>3</v>
      </c>
      <c r="V39" s="2">
        <f t="shared" si="2"/>
        <v>23</v>
      </c>
      <c r="W39" s="2">
        <f t="shared" si="3"/>
        <v>962.96</v>
      </c>
      <c r="X39" s="2">
        <f t="shared" si="4"/>
        <v>1012.96</v>
      </c>
      <c r="Y39" s="2">
        <f t="shared" si="5"/>
        <v>0</v>
      </c>
      <c r="Z39" s="2">
        <f t="shared" si="6"/>
        <v>962.96</v>
      </c>
      <c r="AA39" s="2">
        <f t="shared" si="7"/>
        <v>1012.96</v>
      </c>
      <c r="AB39" s="2" t="str">
        <f t="shared" si="8"/>
        <v>Sunday</v>
      </c>
      <c r="AC39" s="2" t="str">
        <f t="shared" si="9"/>
        <v>Weekend</v>
      </c>
      <c r="AD39" s="2" t="str">
        <f t="shared" si="10"/>
        <v>jenny.estrada</v>
      </c>
      <c r="AE39" s="2" t="str">
        <f t="shared" si="11"/>
        <v>yahoo</v>
      </c>
      <c r="AF39" s="2" t="str">
        <f t="shared" si="12"/>
        <v>Jenny Estrada</v>
      </c>
      <c r="AG39" s="2" t="str">
        <f t="shared" si="13"/>
        <v>Jenny</v>
      </c>
      <c r="AH39" s="2" t="str">
        <f t="shared" si="14"/>
        <v>Estrada</v>
      </c>
      <c r="AI39" s="2" t="str">
        <f t="shared" si="15"/>
        <v>InTime</v>
      </c>
      <c r="AJ39" s="2" t="str">
        <f t="shared" si="16"/>
        <v>#NAME?</v>
      </c>
    </row>
    <row r="40" ht="14.25" customHeight="1">
      <c r="A40" s="2" t="s">
        <v>318</v>
      </c>
      <c r="B40" s="2" t="s">
        <v>319</v>
      </c>
      <c r="C40" s="2" t="s">
        <v>320</v>
      </c>
      <c r="D40" s="2">
        <v>29.0</v>
      </c>
      <c r="E40" s="2" t="s">
        <v>45</v>
      </c>
      <c r="F40" s="2" t="s">
        <v>83</v>
      </c>
      <c r="G40" s="2" t="s">
        <v>321</v>
      </c>
      <c r="H40" s="2" t="s">
        <v>2121</v>
      </c>
      <c r="I40" s="2" t="s">
        <v>322</v>
      </c>
      <c r="J40" s="2" t="s">
        <v>323</v>
      </c>
      <c r="K40" s="3">
        <v>45656.0</v>
      </c>
      <c r="L40" s="2" t="s">
        <v>324</v>
      </c>
      <c r="M40" s="2" t="s">
        <v>55</v>
      </c>
      <c r="N40" s="2">
        <v>405.0</v>
      </c>
      <c r="O40" s="2">
        <v>1.0</v>
      </c>
      <c r="P40" s="2" t="s">
        <v>56</v>
      </c>
      <c r="Q40" s="2">
        <v>7.0</v>
      </c>
      <c r="R40" s="2">
        <v>36.0</v>
      </c>
      <c r="S40" s="3">
        <v>45661.0</v>
      </c>
      <c r="T40" s="2" t="s">
        <v>325</v>
      </c>
      <c r="U40" s="2">
        <f t="shared" si="1"/>
        <v>5</v>
      </c>
      <c r="V40" s="2">
        <f t="shared" si="2"/>
        <v>4</v>
      </c>
      <c r="W40" s="2">
        <f t="shared" si="3"/>
        <v>405</v>
      </c>
      <c r="X40" s="2">
        <f t="shared" si="4"/>
        <v>441</v>
      </c>
      <c r="Y40" s="2">
        <f t="shared" si="5"/>
        <v>0</v>
      </c>
      <c r="Z40" s="2">
        <f t="shared" si="6"/>
        <v>405</v>
      </c>
      <c r="AA40" s="2">
        <f t="shared" si="7"/>
        <v>405</v>
      </c>
      <c r="AB40" s="2" t="str">
        <f t="shared" si="8"/>
        <v>Monday</v>
      </c>
      <c r="AC40" s="2" t="str">
        <f t="shared" si="9"/>
        <v>Weekday</v>
      </c>
      <c r="AD40" s="2" t="str">
        <f t="shared" si="10"/>
        <v>courtney.parker</v>
      </c>
      <c r="AE40" s="2" t="str">
        <f t="shared" si="11"/>
        <v>yahoo</v>
      </c>
      <c r="AF40" s="2" t="str">
        <f t="shared" si="12"/>
        <v>Courtney Parker</v>
      </c>
      <c r="AG40" s="2" t="str">
        <f t="shared" si="13"/>
        <v>Courtney</v>
      </c>
      <c r="AH40" s="2" t="str">
        <f t="shared" si="14"/>
        <v>Parker</v>
      </c>
      <c r="AI40" s="2" t="str">
        <f t="shared" si="15"/>
        <v>Before Time</v>
      </c>
      <c r="AJ40" s="2" t="str">
        <f t="shared" si="16"/>
        <v>#NAME?</v>
      </c>
    </row>
    <row r="41" ht="14.25" customHeight="1">
      <c r="A41" s="2" t="s">
        <v>326</v>
      </c>
      <c r="B41" s="2" t="s">
        <v>327</v>
      </c>
      <c r="C41" s="2" t="s">
        <v>328</v>
      </c>
      <c r="D41" s="2">
        <v>23.0</v>
      </c>
      <c r="E41" s="2" t="s">
        <v>22</v>
      </c>
      <c r="F41" s="2" t="s">
        <v>23</v>
      </c>
      <c r="G41" s="2" t="s">
        <v>329</v>
      </c>
      <c r="H41" s="2" t="s">
        <v>2122</v>
      </c>
      <c r="I41" s="2" t="s">
        <v>330</v>
      </c>
      <c r="J41" s="2" t="s">
        <v>331</v>
      </c>
      <c r="K41" s="3">
        <v>45574.0</v>
      </c>
      <c r="L41" s="2" t="s">
        <v>332</v>
      </c>
      <c r="M41" s="2" t="s">
        <v>333</v>
      </c>
      <c r="N41" s="2">
        <v>77.84</v>
      </c>
      <c r="O41" s="2">
        <v>5.0</v>
      </c>
      <c r="P41" s="2" t="s">
        <v>56</v>
      </c>
      <c r="Q41" s="2">
        <v>4.0</v>
      </c>
      <c r="R41" s="2">
        <v>47.0</v>
      </c>
      <c r="S41" s="3">
        <v>45575.0</v>
      </c>
      <c r="T41" s="2" t="s">
        <v>334</v>
      </c>
      <c r="U41" s="2">
        <f t="shared" si="1"/>
        <v>1</v>
      </c>
      <c r="V41" s="2">
        <f t="shared" si="2"/>
        <v>4</v>
      </c>
      <c r="W41" s="2">
        <f t="shared" si="3"/>
        <v>389.2</v>
      </c>
      <c r="X41" s="2">
        <f t="shared" si="4"/>
        <v>436.2</v>
      </c>
      <c r="Y41" s="2">
        <f t="shared" si="5"/>
        <v>0</v>
      </c>
      <c r="Z41" s="2">
        <f t="shared" si="6"/>
        <v>389.2</v>
      </c>
      <c r="AA41" s="2">
        <f t="shared" si="7"/>
        <v>389.2</v>
      </c>
      <c r="AB41" s="2" t="str">
        <f t="shared" si="8"/>
        <v>Wednesday</v>
      </c>
      <c r="AC41" s="2" t="str">
        <f t="shared" si="9"/>
        <v>Weekday</v>
      </c>
      <c r="AD41" s="2" t="str">
        <f t="shared" si="10"/>
        <v>julie.meyer</v>
      </c>
      <c r="AE41" s="2" t="str">
        <f t="shared" si="11"/>
        <v>yahoo</v>
      </c>
      <c r="AF41" s="2" t="str">
        <f t="shared" si="12"/>
        <v>Julie Meyer</v>
      </c>
      <c r="AG41" s="2" t="str">
        <f t="shared" si="13"/>
        <v>Julie</v>
      </c>
      <c r="AH41" s="2" t="str">
        <f t="shared" si="14"/>
        <v>Meyer</v>
      </c>
      <c r="AI41" s="2" t="str">
        <f t="shared" si="15"/>
        <v>Before Time</v>
      </c>
      <c r="AJ41" s="2" t="str">
        <f t="shared" si="16"/>
        <v>#NAME?</v>
      </c>
    </row>
    <row r="42" ht="14.25" customHeight="1">
      <c r="A42" s="2" t="s">
        <v>58</v>
      </c>
      <c r="B42" s="2" t="s">
        <v>59</v>
      </c>
      <c r="C42" s="2" t="s">
        <v>60</v>
      </c>
      <c r="D42" s="2">
        <v>49.0</v>
      </c>
      <c r="E42" s="2" t="s">
        <v>45</v>
      </c>
      <c r="F42" s="2" t="s">
        <v>23</v>
      </c>
      <c r="G42" s="2" t="s">
        <v>61</v>
      </c>
      <c r="H42" s="2" t="s">
        <v>2095</v>
      </c>
      <c r="I42" s="2" t="s">
        <v>62</v>
      </c>
      <c r="J42" s="2" t="s">
        <v>335</v>
      </c>
      <c r="K42" s="3">
        <v>45557.0</v>
      </c>
      <c r="L42" s="2" t="s">
        <v>336</v>
      </c>
      <c r="M42" s="2" t="s">
        <v>337</v>
      </c>
      <c r="N42" s="2">
        <v>372.62</v>
      </c>
      <c r="O42" s="2">
        <v>3.0</v>
      </c>
      <c r="P42" s="2" t="s">
        <v>29</v>
      </c>
      <c r="Q42" s="2">
        <v>3.0</v>
      </c>
      <c r="R42" s="2">
        <v>59.0</v>
      </c>
      <c r="S42" s="3">
        <v>45564.0</v>
      </c>
      <c r="T42" s="2" t="s">
        <v>338</v>
      </c>
      <c r="U42" s="2">
        <f t="shared" si="1"/>
        <v>7</v>
      </c>
      <c r="V42" s="2">
        <f t="shared" si="2"/>
        <v>0</v>
      </c>
      <c r="W42" s="2">
        <f t="shared" si="3"/>
        <v>1117.86</v>
      </c>
      <c r="X42" s="2">
        <f t="shared" si="4"/>
        <v>1176.86</v>
      </c>
      <c r="Y42" s="2">
        <f t="shared" si="5"/>
        <v>0</v>
      </c>
      <c r="Z42" s="2">
        <f t="shared" si="6"/>
        <v>1117.86</v>
      </c>
      <c r="AA42" s="2">
        <f t="shared" si="7"/>
        <v>1176.86</v>
      </c>
      <c r="AB42" s="2" t="str">
        <f t="shared" si="8"/>
        <v>Sunday</v>
      </c>
      <c r="AC42" s="2" t="str">
        <f t="shared" si="9"/>
        <v>Weekend</v>
      </c>
      <c r="AD42" s="2" t="str">
        <f t="shared" si="10"/>
        <v>angela.horne</v>
      </c>
      <c r="AE42" s="2" t="str">
        <f t="shared" si="11"/>
        <v>outlook</v>
      </c>
      <c r="AF42" s="2" t="str">
        <f t="shared" si="12"/>
        <v>Angela Horne</v>
      </c>
      <c r="AG42" s="2" t="str">
        <f t="shared" si="13"/>
        <v>Angela</v>
      </c>
      <c r="AH42" s="2" t="str">
        <f t="shared" si="14"/>
        <v>Horne</v>
      </c>
      <c r="AI42" s="2" t="str">
        <f t="shared" si="15"/>
        <v>Late</v>
      </c>
      <c r="AJ42" s="2" t="str">
        <f t="shared" si="16"/>
        <v>#NAME?</v>
      </c>
    </row>
    <row r="43" ht="14.25" customHeight="1">
      <c r="A43" s="2" t="s">
        <v>140</v>
      </c>
      <c r="B43" s="2" t="s">
        <v>141</v>
      </c>
      <c r="C43" s="2" t="s">
        <v>142</v>
      </c>
      <c r="D43" s="2">
        <v>44.0</v>
      </c>
      <c r="E43" s="2" t="s">
        <v>34</v>
      </c>
      <c r="F43" s="2" t="s">
        <v>83</v>
      </c>
      <c r="G43" s="2" t="s">
        <v>143</v>
      </c>
      <c r="H43" s="2" t="s">
        <v>2103</v>
      </c>
      <c r="I43" s="2" t="s">
        <v>144</v>
      </c>
      <c r="J43" s="2" t="s">
        <v>339</v>
      </c>
      <c r="K43" s="3">
        <v>45568.0</v>
      </c>
      <c r="L43" s="2" t="s">
        <v>340</v>
      </c>
      <c r="M43" s="2" t="s">
        <v>337</v>
      </c>
      <c r="N43" s="2">
        <v>372.62</v>
      </c>
      <c r="O43" s="2">
        <v>3.0</v>
      </c>
      <c r="P43" s="2" t="s">
        <v>29</v>
      </c>
      <c r="Q43" s="2">
        <v>1.0</v>
      </c>
      <c r="R43" s="2">
        <v>52.0</v>
      </c>
      <c r="S43" s="3">
        <v>45575.0</v>
      </c>
      <c r="T43" s="2" t="s">
        <v>341</v>
      </c>
      <c r="U43" s="2">
        <f t="shared" si="1"/>
        <v>7</v>
      </c>
      <c r="V43" s="2">
        <f t="shared" si="2"/>
        <v>12</v>
      </c>
      <c r="W43" s="2">
        <f t="shared" si="3"/>
        <v>1117.86</v>
      </c>
      <c r="X43" s="2">
        <f t="shared" si="4"/>
        <v>1169.86</v>
      </c>
      <c r="Y43" s="2">
        <f t="shared" si="5"/>
        <v>0</v>
      </c>
      <c r="Z43" s="2">
        <f t="shared" si="6"/>
        <v>1117.86</v>
      </c>
      <c r="AA43" s="2">
        <f t="shared" si="7"/>
        <v>1169.86</v>
      </c>
      <c r="AB43" s="2" t="str">
        <f t="shared" si="8"/>
        <v>Thursday</v>
      </c>
      <c r="AC43" s="2" t="str">
        <f t="shared" si="9"/>
        <v>Weekday</v>
      </c>
      <c r="AD43" s="2" t="str">
        <f t="shared" si="10"/>
        <v>amy.reid</v>
      </c>
      <c r="AE43" s="2" t="str">
        <f t="shared" si="11"/>
        <v>rediffmail</v>
      </c>
      <c r="AF43" s="2" t="str">
        <f t="shared" si="12"/>
        <v>Amy Reid</v>
      </c>
      <c r="AG43" s="2" t="str">
        <f t="shared" si="13"/>
        <v>Amy</v>
      </c>
      <c r="AH43" s="2" t="str">
        <f t="shared" si="14"/>
        <v>Reid</v>
      </c>
      <c r="AI43" s="2" t="str">
        <f t="shared" si="15"/>
        <v>Late</v>
      </c>
      <c r="AJ43" s="2" t="str">
        <f t="shared" si="16"/>
        <v>#NAME?</v>
      </c>
    </row>
    <row r="44" ht="14.25" customHeight="1">
      <c r="A44" s="2" t="s">
        <v>342</v>
      </c>
      <c r="B44" s="2" t="s">
        <v>343</v>
      </c>
      <c r="C44" s="2" t="s">
        <v>344</v>
      </c>
      <c r="D44" s="2">
        <v>70.0</v>
      </c>
      <c r="E44" s="2" t="s">
        <v>22</v>
      </c>
      <c r="F44" s="2" t="s">
        <v>161</v>
      </c>
      <c r="G44" s="2" t="s">
        <v>345</v>
      </c>
      <c r="H44" s="2" t="s">
        <v>2123</v>
      </c>
      <c r="I44" s="2" t="s">
        <v>346</v>
      </c>
      <c r="J44" s="2" t="s">
        <v>347</v>
      </c>
      <c r="K44" s="3">
        <v>45151.0</v>
      </c>
      <c r="L44" s="2" t="s">
        <v>348</v>
      </c>
      <c r="M44" s="2" t="s">
        <v>349</v>
      </c>
      <c r="N44" s="2">
        <v>496.59</v>
      </c>
      <c r="O44" s="2">
        <v>3.0</v>
      </c>
      <c r="P44" s="2" t="s">
        <v>51</v>
      </c>
      <c r="Q44" s="2">
        <v>4.0</v>
      </c>
      <c r="R44" s="2">
        <v>49.0</v>
      </c>
      <c r="S44" s="3">
        <v>45152.0</v>
      </c>
      <c r="T44" s="2" t="s">
        <v>350</v>
      </c>
      <c r="U44" s="2">
        <f t="shared" si="1"/>
        <v>1</v>
      </c>
      <c r="V44" s="2">
        <f t="shared" si="2"/>
        <v>17</v>
      </c>
      <c r="W44" s="2">
        <f t="shared" si="3"/>
        <v>1489.77</v>
      </c>
      <c r="X44" s="2">
        <f t="shared" si="4"/>
        <v>1538.77</v>
      </c>
      <c r="Y44" s="2">
        <f t="shared" si="5"/>
        <v>0</v>
      </c>
      <c r="Z44" s="2">
        <f t="shared" si="6"/>
        <v>1489.77</v>
      </c>
      <c r="AA44" s="2">
        <f t="shared" si="7"/>
        <v>1538.77</v>
      </c>
      <c r="AB44" s="2" t="str">
        <f t="shared" si="8"/>
        <v>Sunday</v>
      </c>
      <c r="AC44" s="2" t="str">
        <f t="shared" si="9"/>
        <v>Weekend</v>
      </c>
      <c r="AD44" s="2" t="str">
        <f t="shared" si="10"/>
        <v>donna.oneill</v>
      </c>
      <c r="AE44" s="2" t="str">
        <f t="shared" si="11"/>
        <v>yahoo</v>
      </c>
      <c r="AF44" s="2" t="str">
        <f t="shared" si="12"/>
        <v>Donna Oneill</v>
      </c>
      <c r="AG44" s="2" t="str">
        <f t="shared" si="13"/>
        <v>Donna</v>
      </c>
      <c r="AH44" s="2" t="str">
        <f t="shared" si="14"/>
        <v>Oneill</v>
      </c>
      <c r="AI44" s="2" t="str">
        <f t="shared" si="15"/>
        <v>Before Time</v>
      </c>
      <c r="AJ44" s="2" t="str">
        <f t="shared" si="16"/>
        <v>#NAME?</v>
      </c>
    </row>
    <row r="45" ht="14.25" customHeight="1">
      <c r="A45" s="2" t="s">
        <v>351</v>
      </c>
      <c r="B45" s="2" t="s">
        <v>352</v>
      </c>
      <c r="C45" s="2" t="s">
        <v>353</v>
      </c>
      <c r="D45" s="2">
        <v>32.0</v>
      </c>
      <c r="E45" s="2" t="s">
        <v>34</v>
      </c>
      <c r="F45" s="2" t="s">
        <v>161</v>
      </c>
      <c r="G45" s="2" t="s">
        <v>354</v>
      </c>
      <c r="H45" s="2" t="s">
        <v>2124</v>
      </c>
      <c r="I45" s="2" t="s">
        <v>355</v>
      </c>
      <c r="J45" s="2" t="s">
        <v>356</v>
      </c>
      <c r="K45" s="3">
        <v>45020.0</v>
      </c>
      <c r="L45" s="2" t="s">
        <v>357</v>
      </c>
      <c r="M45" s="2" t="s">
        <v>301</v>
      </c>
      <c r="N45" s="2">
        <v>129.75</v>
      </c>
      <c r="O45" s="2">
        <v>1.0</v>
      </c>
      <c r="P45" s="2" t="s">
        <v>89</v>
      </c>
      <c r="Q45" s="2">
        <v>6.0</v>
      </c>
      <c r="R45" s="2">
        <v>43.0</v>
      </c>
      <c r="S45" s="3">
        <v>45026.0</v>
      </c>
      <c r="T45" s="2" t="s">
        <v>358</v>
      </c>
      <c r="U45" s="2">
        <f t="shared" si="1"/>
        <v>6</v>
      </c>
      <c r="V45" s="2">
        <f t="shared" si="2"/>
        <v>1</v>
      </c>
      <c r="W45" s="2">
        <f t="shared" si="3"/>
        <v>129.75</v>
      </c>
      <c r="X45" s="2">
        <f t="shared" si="4"/>
        <v>172.75</v>
      </c>
      <c r="Y45" s="2">
        <f t="shared" si="5"/>
        <v>0</v>
      </c>
      <c r="Z45" s="2">
        <f t="shared" si="6"/>
        <v>129.75</v>
      </c>
      <c r="AA45" s="2">
        <f t="shared" si="7"/>
        <v>172.75</v>
      </c>
      <c r="AB45" s="2" t="str">
        <f t="shared" si="8"/>
        <v>Tuesday</v>
      </c>
      <c r="AC45" s="2" t="str">
        <f t="shared" si="9"/>
        <v>Weekday</v>
      </c>
      <c r="AD45" s="2" t="str">
        <f t="shared" si="10"/>
        <v>robert.castillo</v>
      </c>
      <c r="AE45" s="2" t="str">
        <f t="shared" si="11"/>
        <v>gmail</v>
      </c>
      <c r="AF45" s="2" t="str">
        <f t="shared" si="12"/>
        <v>Robert Castillo</v>
      </c>
      <c r="AG45" s="2" t="str">
        <f t="shared" si="13"/>
        <v>Robert</v>
      </c>
      <c r="AH45" s="2" t="str">
        <f t="shared" si="14"/>
        <v>Castillo</v>
      </c>
      <c r="AI45" s="2" t="str">
        <f t="shared" si="15"/>
        <v>InTime</v>
      </c>
      <c r="AJ45" s="2" t="str">
        <f t="shared" si="16"/>
        <v>#NAME?</v>
      </c>
    </row>
    <row r="46" ht="14.25" customHeight="1">
      <c r="A46" s="2" t="s">
        <v>359</v>
      </c>
      <c r="B46" s="2" t="s">
        <v>360</v>
      </c>
      <c r="C46" s="2" t="s">
        <v>361</v>
      </c>
      <c r="D46" s="2">
        <v>31.0</v>
      </c>
      <c r="E46" s="2" t="s">
        <v>45</v>
      </c>
      <c r="F46" s="2" t="s">
        <v>133</v>
      </c>
      <c r="G46" s="2" t="s">
        <v>362</v>
      </c>
      <c r="H46" s="2" t="s">
        <v>2125</v>
      </c>
      <c r="I46" s="2" t="s">
        <v>363</v>
      </c>
      <c r="J46" s="2" t="s">
        <v>364</v>
      </c>
      <c r="K46" s="3">
        <v>45336.0</v>
      </c>
      <c r="L46" s="2" t="s">
        <v>365</v>
      </c>
      <c r="M46" s="2" t="s">
        <v>138</v>
      </c>
      <c r="N46" s="2">
        <v>190.1</v>
      </c>
      <c r="O46" s="2">
        <v>5.0</v>
      </c>
      <c r="P46" s="2" t="s">
        <v>29</v>
      </c>
      <c r="Q46" s="2">
        <v>5.0</v>
      </c>
      <c r="R46" s="2">
        <v>35.0</v>
      </c>
      <c r="S46" s="3">
        <v>45341.0</v>
      </c>
      <c r="T46" s="2" t="s">
        <v>366</v>
      </c>
      <c r="U46" s="2">
        <f t="shared" si="1"/>
        <v>5</v>
      </c>
      <c r="V46" s="2">
        <f t="shared" si="2"/>
        <v>21</v>
      </c>
      <c r="W46" s="2">
        <f t="shared" si="3"/>
        <v>950.5</v>
      </c>
      <c r="X46" s="2">
        <f t="shared" si="4"/>
        <v>985.5</v>
      </c>
      <c r="Y46" s="2">
        <f t="shared" si="5"/>
        <v>0</v>
      </c>
      <c r="Z46" s="2">
        <f t="shared" si="6"/>
        <v>950.5</v>
      </c>
      <c r="AA46" s="2">
        <f t="shared" si="7"/>
        <v>985.5</v>
      </c>
      <c r="AB46" s="2" t="str">
        <f t="shared" si="8"/>
        <v>Wednesday</v>
      </c>
      <c r="AC46" s="2" t="str">
        <f t="shared" si="9"/>
        <v>Weekday</v>
      </c>
      <c r="AD46" s="2" t="str">
        <f t="shared" si="10"/>
        <v>timothy.hicks</v>
      </c>
      <c r="AE46" s="2" t="str">
        <f t="shared" si="11"/>
        <v>gmail</v>
      </c>
      <c r="AF46" s="2" t="str">
        <f t="shared" si="12"/>
        <v>Timothy Hicks</v>
      </c>
      <c r="AG46" s="2" t="str">
        <f t="shared" si="13"/>
        <v>Timothy</v>
      </c>
      <c r="AH46" s="2" t="str">
        <f t="shared" si="14"/>
        <v>Hicks</v>
      </c>
      <c r="AI46" s="2" t="str">
        <f t="shared" si="15"/>
        <v>InTime</v>
      </c>
      <c r="AJ46" s="2" t="str">
        <f t="shared" si="16"/>
        <v>#NAME?</v>
      </c>
    </row>
    <row r="47" ht="14.25" customHeight="1">
      <c r="A47" s="2" t="s">
        <v>367</v>
      </c>
      <c r="B47" s="2" t="s">
        <v>33</v>
      </c>
      <c r="C47" s="2" t="s">
        <v>368</v>
      </c>
      <c r="D47" s="2">
        <v>50.0</v>
      </c>
      <c r="E47" s="2" t="s">
        <v>45</v>
      </c>
      <c r="F47" s="2" t="s">
        <v>133</v>
      </c>
      <c r="G47" s="2" t="s">
        <v>369</v>
      </c>
      <c r="H47" s="2" t="s">
        <v>2126</v>
      </c>
      <c r="I47" s="2" t="s">
        <v>370</v>
      </c>
      <c r="J47" s="2" t="s">
        <v>371</v>
      </c>
      <c r="K47" s="3">
        <v>44987.0</v>
      </c>
      <c r="L47" s="2" t="s">
        <v>372</v>
      </c>
      <c r="M47" s="2" t="s">
        <v>138</v>
      </c>
      <c r="N47" s="2">
        <v>190.1</v>
      </c>
      <c r="O47" s="2">
        <v>1.0</v>
      </c>
      <c r="P47" s="2" t="s">
        <v>78</v>
      </c>
      <c r="Q47" s="2">
        <v>4.0</v>
      </c>
      <c r="R47" s="2">
        <v>63.0</v>
      </c>
      <c r="S47" s="3">
        <v>44992.0</v>
      </c>
      <c r="T47" s="2" t="s">
        <v>373</v>
      </c>
      <c r="U47" s="2">
        <f t="shared" si="1"/>
        <v>5</v>
      </c>
      <c r="V47" s="2">
        <f t="shared" si="2"/>
        <v>18</v>
      </c>
      <c r="W47" s="2">
        <f t="shared" si="3"/>
        <v>190.1</v>
      </c>
      <c r="X47" s="2">
        <f t="shared" si="4"/>
        <v>253.1</v>
      </c>
      <c r="Y47" s="2">
        <f t="shared" si="5"/>
        <v>0</v>
      </c>
      <c r="Z47" s="2">
        <f t="shared" si="6"/>
        <v>190.1</v>
      </c>
      <c r="AA47" s="2">
        <f t="shared" si="7"/>
        <v>253.1</v>
      </c>
      <c r="AB47" s="2" t="str">
        <f t="shared" si="8"/>
        <v>Thursday</v>
      </c>
      <c r="AC47" s="2" t="str">
        <f t="shared" si="9"/>
        <v>Weekday</v>
      </c>
      <c r="AD47" s="2" t="str">
        <f t="shared" si="10"/>
        <v>thomas.andersen</v>
      </c>
      <c r="AE47" s="2" t="str">
        <f t="shared" si="11"/>
        <v>yahoo</v>
      </c>
      <c r="AF47" s="2" t="str">
        <f t="shared" si="12"/>
        <v>Thomas Andersen</v>
      </c>
      <c r="AG47" s="2" t="str">
        <f t="shared" si="13"/>
        <v>Thomas</v>
      </c>
      <c r="AH47" s="2" t="str">
        <f t="shared" si="14"/>
        <v>Andersen</v>
      </c>
      <c r="AI47" s="2" t="str">
        <f t="shared" si="15"/>
        <v>Late</v>
      </c>
      <c r="AJ47" s="2" t="str">
        <f t="shared" si="16"/>
        <v>#NAME?</v>
      </c>
    </row>
    <row r="48" ht="14.25" customHeight="1">
      <c r="A48" s="2" t="s">
        <v>294</v>
      </c>
      <c r="B48" s="2" t="s">
        <v>295</v>
      </c>
      <c r="C48" s="2" t="s">
        <v>296</v>
      </c>
      <c r="D48" s="2">
        <v>26.0</v>
      </c>
      <c r="E48" s="2" t="s">
        <v>45</v>
      </c>
      <c r="F48" s="2" t="s">
        <v>161</v>
      </c>
      <c r="G48" s="2" t="s">
        <v>297</v>
      </c>
      <c r="H48" s="2" t="s">
        <v>2119</v>
      </c>
      <c r="I48" s="2" t="s">
        <v>298</v>
      </c>
      <c r="J48" s="2" t="s">
        <v>374</v>
      </c>
      <c r="K48" s="3">
        <v>45313.0</v>
      </c>
      <c r="L48" s="2" t="s">
        <v>375</v>
      </c>
      <c r="M48" s="2" t="s">
        <v>376</v>
      </c>
      <c r="N48" s="2">
        <v>431.44</v>
      </c>
      <c r="O48" s="2">
        <v>5.0</v>
      </c>
      <c r="P48" s="2" t="s">
        <v>29</v>
      </c>
      <c r="Q48" s="2">
        <v>2.0</v>
      </c>
      <c r="R48" s="2">
        <v>57.0</v>
      </c>
      <c r="S48" s="3">
        <v>45318.0</v>
      </c>
      <c r="T48" s="2" t="s">
        <v>377</v>
      </c>
      <c r="U48" s="2">
        <f t="shared" si="1"/>
        <v>5</v>
      </c>
      <c r="V48" s="2">
        <f t="shared" si="2"/>
        <v>22</v>
      </c>
      <c r="W48" s="2">
        <f t="shared" si="3"/>
        <v>2157.2</v>
      </c>
      <c r="X48" s="2">
        <f t="shared" si="4"/>
        <v>2214.2</v>
      </c>
      <c r="Y48" s="2">
        <f t="shared" si="5"/>
        <v>0</v>
      </c>
      <c r="Z48" s="2">
        <f t="shared" si="6"/>
        <v>2157.2</v>
      </c>
      <c r="AA48" s="2">
        <f t="shared" si="7"/>
        <v>2214.2</v>
      </c>
      <c r="AB48" s="2" t="str">
        <f t="shared" si="8"/>
        <v>Monday</v>
      </c>
      <c r="AC48" s="2" t="str">
        <f t="shared" si="9"/>
        <v>Weekday</v>
      </c>
      <c r="AD48" s="2" t="str">
        <f t="shared" si="10"/>
        <v>valerie.carr</v>
      </c>
      <c r="AE48" s="2" t="str">
        <f t="shared" si="11"/>
        <v>rediffmail</v>
      </c>
      <c r="AF48" s="2" t="str">
        <f t="shared" si="12"/>
        <v>Valerie Carr</v>
      </c>
      <c r="AG48" s="2" t="str">
        <f t="shared" si="13"/>
        <v>Valerie</v>
      </c>
      <c r="AH48" s="2" t="str">
        <f t="shared" si="14"/>
        <v>Carr</v>
      </c>
      <c r="AI48" s="2" t="str">
        <f t="shared" si="15"/>
        <v>Late</v>
      </c>
      <c r="AJ48" s="2" t="str">
        <f t="shared" si="16"/>
        <v>#NAME?</v>
      </c>
    </row>
    <row r="49" ht="14.25" customHeight="1">
      <c r="A49" s="2" t="s">
        <v>378</v>
      </c>
      <c r="B49" s="2" t="s">
        <v>379</v>
      </c>
      <c r="C49" s="2" t="s">
        <v>380</v>
      </c>
      <c r="D49" s="2">
        <v>47.0</v>
      </c>
      <c r="E49" s="2" t="s">
        <v>34</v>
      </c>
      <c r="F49" s="2" t="s">
        <v>83</v>
      </c>
      <c r="G49" s="2" t="s">
        <v>381</v>
      </c>
      <c r="H49" s="2" t="s">
        <v>2127</v>
      </c>
      <c r="I49" s="2" t="s">
        <v>382</v>
      </c>
      <c r="J49" s="2" t="s">
        <v>383</v>
      </c>
      <c r="K49" s="3">
        <v>45054.0</v>
      </c>
      <c r="L49" s="2" t="s">
        <v>384</v>
      </c>
      <c r="M49" s="2" t="s">
        <v>280</v>
      </c>
      <c r="N49" s="2">
        <v>157.64</v>
      </c>
      <c r="O49" s="2">
        <v>4.0</v>
      </c>
      <c r="P49" s="2" t="s">
        <v>29</v>
      </c>
      <c r="Q49" s="2">
        <v>4.0</v>
      </c>
      <c r="R49" s="2">
        <v>44.0</v>
      </c>
      <c r="S49" s="3">
        <v>45061.0</v>
      </c>
      <c r="T49" s="2" t="s">
        <v>385</v>
      </c>
      <c r="U49" s="2">
        <f t="shared" si="1"/>
        <v>7</v>
      </c>
      <c r="V49" s="2">
        <f t="shared" si="2"/>
        <v>19</v>
      </c>
      <c r="W49" s="2">
        <f t="shared" si="3"/>
        <v>630.56</v>
      </c>
      <c r="X49" s="2">
        <f t="shared" si="4"/>
        <v>674.56</v>
      </c>
      <c r="Y49" s="2">
        <f t="shared" si="5"/>
        <v>0</v>
      </c>
      <c r="Z49" s="2">
        <f t="shared" si="6"/>
        <v>630.56</v>
      </c>
      <c r="AA49" s="2">
        <f t="shared" si="7"/>
        <v>674.56</v>
      </c>
      <c r="AB49" s="2" t="str">
        <f t="shared" si="8"/>
        <v>Monday</v>
      </c>
      <c r="AC49" s="2" t="str">
        <f t="shared" si="9"/>
        <v>Weekday</v>
      </c>
      <c r="AD49" s="2" t="str">
        <f t="shared" si="10"/>
        <v>aaron.thompson</v>
      </c>
      <c r="AE49" s="2" t="str">
        <f t="shared" si="11"/>
        <v>gmail</v>
      </c>
      <c r="AF49" s="2" t="str">
        <f t="shared" si="12"/>
        <v>Aaron Thompson</v>
      </c>
      <c r="AG49" s="2" t="str">
        <f t="shared" si="13"/>
        <v>Aaron</v>
      </c>
      <c r="AH49" s="2" t="str">
        <f t="shared" si="14"/>
        <v>Thompson</v>
      </c>
      <c r="AI49" s="2" t="str">
        <f t="shared" si="15"/>
        <v>Late</v>
      </c>
      <c r="AJ49" s="2" t="str">
        <f t="shared" si="16"/>
        <v>#NAME?</v>
      </c>
    </row>
    <row r="50" ht="14.25" customHeight="1">
      <c r="A50" s="2" t="s">
        <v>386</v>
      </c>
      <c r="B50" s="2" t="s">
        <v>387</v>
      </c>
      <c r="C50" s="2" t="s">
        <v>388</v>
      </c>
      <c r="D50" s="2">
        <v>40.0</v>
      </c>
      <c r="E50" s="2" t="s">
        <v>45</v>
      </c>
      <c r="F50" s="2" t="s">
        <v>161</v>
      </c>
      <c r="G50" s="2" t="s">
        <v>389</v>
      </c>
      <c r="H50" s="2" t="s">
        <v>2128</v>
      </c>
      <c r="I50" s="2" t="s">
        <v>390</v>
      </c>
      <c r="J50" s="2" t="s">
        <v>391</v>
      </c>
      <c r="K50" s="3">
        <v>45620.0</v>
      </c>
      <c r="L50" s="2" t="s">
        <v>392</v>
      </c>
      <c r="M50" s="2" t="s">
        <v>40</v>
      </c>
      <c r="N50" s="2">
        <v>166.28</v>
      </c>
      <c r="O50" s="2">
        <v>4.0</v>
      </c>
      <c r="P50" s="2" t="s">
        <v>56</v>
      </c>
      <c r="Q50" s="2">
        <v>3.0</v>
      </c>
      <c r="R50" s="2">
        <v>41.0</v>
      </c>
      <c r="S50" s="3">
        <v>45626.0</v>
      </c>
      <c r="T50" s="2" t="s">
        <v>393</v>
      </c>
      <c r="U50" s="2">
        <f t="shared" si="1"/>
        <v>6</v>
      </c>
      <c r="V50" s="2">
        <f t="shared" si="2"/>
        <v>0</v>
      </c>
      <c r="W50" s="2">
        <f t="shared" si="3"/>
        <v>665.12</v>
      </c>
      <c r="X50" s="2">
        <f t="shared" si="4"/>
        <v>706.12</v>
      </c>
      <c r="Y50" s="2">
        <f t="shared" si="5"/>
        <v>0</v>
      </c>
      <c r="Z50" s="2">
        <f t="shared" si="6"/>
        <v>665.12</v>
      </c>
      <c r="AA50" s="2">
        <f t="shared" si="7"/>
        <v>665.12</v>
      </c>
      <c r="AB50" s="2" t="str">
        <f t="shared" si="8"/>
        <v>Sunday</v>
      </c>
      <c r="AC50" s="2" t="str">
        <f t="shared" si="9"/>
        <v>Weekend</v>
      </c>
      <c r="AD50" s="2" t="str">
        <f t="shared" si="10"/>
        <v>jason.lopez</v>
      </c>
      <c r="AE50" s="2" t="str">
        <f t="shared" si="11"/>
        <v>outlook</v>
      </c>
      <c r="AF50" s="2" t="str">
        <f t="shared" si="12"/>
        <v>Jason Lopez</v>
      </c>
      <c r="AG50" s="2" t="str">
        <f t="shared" si="13"/>
        <v>Jason</v>
      </c>
      <c r="AH50" s="2" t="str">
        <f t="shared" si="14"/>
        <v>Lopez</v>
      </c>
      <c r="AI50" s="2" t="str">
        <f t="shared" si="15"/>
        <v>Late</v>
      </c>
      <c r="AJ50" s="2" t="str">
        <f t="shared" si="16"/>
        <v>#NAME?</v>
      </c>
    </row>
    <row r="51" ht="14.25" customHeight="1">
      <c r="A51" s="2" t="s">
        <v>394</v>
      </c>
      <c r="B51" s="2" t="s">
        <v>395</v>
      </c>
      <c r="C51" s="2" t="s">
        <v>396</v>
      </c>
      <c r="D51" s="2">
        <v>70.0</v>
      </c>
      <c r="E51" s="2" t="s">
        <v>22</v>
      </c>
      <c r="F51" s="2" t="s">
        <v>23</v>
      </c>
      <c r="G51" s="2" t="s">
        <v>397</v>
      </c>
      <c r="H51" s="2" t="s">
        <v>2129</v>
      </c>
      <c r="I51" s="2" t="s">
        <v>398</v>
      </c>
      <c r="J51" s="2" t="s">
        <v>399</v>
      </c>
      <c r="K51" s="3">
        <v>45545.0</v>
      </c>
      <c r="L51" s="2" t="s">
        <v>400</v>
      </c>
      <c r="M51" s="2" t="s">
        <v>192</v>
      </c>
      <c r="N51" s="2">
        <v>20.7</v>
      </c>
      <c r="O51" s="2">
        <v>2.0</v>
      </c>
      <c r="P51" s="2" t="s">
        <v>89</v>
      </c>
      <c r="Q51" s="2">
        <v>2.0</v>
      </c>
      <c r="R51" s="2">
        <v>50.0</v>
      </c>
      <c r="S51" s="3">
        <v>45547.0</v>
      </c>
      <c r="T51" s="2" t="s">
        <v>401</v>
      </c>
      <c r="U51" s="2">
        <f t="shared" si="1"/>
        <v>2</v>
      </c>
      <c r="V51" s="2">
        <f t="shared" si="2"/>
        <v>4</v>
      </c>
      <c r="W51" s="2">
        <f t="shared" si="3"/>
        <v>41.4</v>
      </c>
      <c r="X51" s="2">
        <f t="shared" si="4"/>
        <v>91.4</v>
      </c>
      <c r="Y51" s="2">
        <f t="shared" si="5"/>
        <v>0</v>
      </c>
      <c r="Z51" s="2">
        <f t="shared" si="6"/>
        <v>41.4</v>
      </c>
      <c r="AA51" s="2">
        <f t="shared" si="7"/>
        <v>91.4</v>
      </c>
      <c r="AB51" s="2" t="str">
        <f t="shared" si="8"/>
        <v>Tuesday</v>
      </c>
      <c r="AC51" s="2" t="str">
        <f t="shared" si="9"/>
        <v>Weekday</v>
      </c>
      <c r="AD51" s="2" t="str">
        <f t="shared" si="10"/>
        <v>alexandra.smith</v>
      </c>
      <c r="AE51" s="2" t="str">
        <f t="shared" si="11"/>
        <v>rediffmail</v>
      </c>
      <c r="AF51" s="2" t="str">
        <f t="shared" si="12"/>
        <v>Alexandra Smith</v>
      </c>
      <c r="AG51" s="2" t="str">
        <f t="shared" si="13"/>
        <v>Alexandra</v>
      </c>
      <c r="AH51" s="2" t="str">
        <f t="shared" si="14"/>
        <v>Smith</v>
      </c>
      <c r="AI51" s="2" t="str">
        <f t="shared" si="15"/>
        <v>InTime</v>
      </c>
      <c r="AJ51" s="2" t="str">
        <f t="shared" si="16"/>
        <v>#NAME?</v>
      </c>
    </row>
    <row r="52" ht="14.25" customHeight="1">
      <c r="A52" s="2" t="s">
        <v>342</v>
      </c>
      <c r="B52" s="2" t="s">
        <v>343</v>
      </c>
      <c r="C52" s="2" t="s">
        <v>344</v>
      </c>
      <c r="D52" s="2">
        <v>70.0</v>
      </c>
      <c r="E52" s="2" t="s">
        <v>22</v>
      </c>
      <c r="F52" s="2" t="s">
        <v>161</v>
      </c>
      <c r="G52" s="2" t="s">
        <v>345</v>
      </c>
      <c r="H52" s="2" t="s">
        <v>2123</v>
      </c>
      <c r="I52" s="2" t="s">
        <v>346</v>
      </c>
      <c r="J52" s="2" t="s">
        <v>402</v>
      </c>
      <c r="K52" s="3">
        <v>45224.0</v>
      </c>
      <c r="L52" s="2" t="s">
        <v>403</v>
      </c>
      <c r="M52" s="2" t="s">
        <v>301</v>
      </c>
      <c r="N52" s="2">
        <v>129.75</v>
      </c>
      <c r="O52" s="2">
        <v>2.0</v>
      </c>
      <c r="P52" s="2" t="s">
        <v>78</v>
      </c>
      <c r="Q52" s="2">
        <v>5.0</v>
      </c>
      <c r="R52" s="2">
        <v>42.0</v>
      </c>
      <c r="S52" s="3">
        <v>45227.0</v>
      </c>
      <c r="T52" s="2" t="s">
        <v>404</v>
      </c>
      <c r="U52" s="2">
        <f t="shared" si="1"/>
        <v>3</v>
      </c>
      <c r="V52" s="2">
        <f t="shared" si="2"/>
        <v>7</v>
      </c>
      <c r="W52" s="2">
        <f t="shared" si="3"/>
        <v>259.5</v>
      </c>
      <c r="X52" s="2">
        <f t="shared" si="4"/>
        <v>301.5</v>
      </c>
      <c r="Y52" s="2">
        <f t="shared" si="5"/>
        <v>0</v>
      </c>
      <c r="Z52" s="2">
        <f t="shared" si="6"/>
        <v>259.5</v>
      </c>
      <c r="AA52" s="2">
        <f t="shared" si="7"/>
        <v>301.5</v>
      </c>
      <c r="AB52" s="2" t="str">
        <f t="shared" si="8"/>
        <v>Wednesday</v>
      </c>
      <c r="AC52" s="2" t="str">
        <f t="shared" si="9"/>
        <v>Weekday</v>
      </c>
      <c r="AD52" s="2" t="str">
        <f t="shared" si="10"/>
        <v>donna.oneill</v>
      </c>
      <c r="AE52" s="2" t="str">
        <f t="shared" si="11"/>
        <v>yahoo</v>
      </c>
      <c r="AF52" s="2" t="str">
        <f t="shared" si="12"/>
        <v>Donna Oneill</v>
      </c>
      <c r="AG52" s="2" t="str">
        <f t="shared" si="13"/>
        <v>Donna</v>
      </c>
      <c r="AH52" s="2" t="str">
        <f t="shared" si="14"/>
        <v>Oneill</v>
      </c>
      <c r="AI52" s="2" t="str">
        <f t="shared" si="15"/>
        <v>Before Time</v>
      </c>
      <c r="AJ52" s="2" t="str">
        <f t="shared" si="16"/>
        <v>#NAME?</v>
      </c>
    </row>
    <row r="53" ht="14.25" customHeight="1">
      <c r="A53" s="2" t="s">
        <v>405</v>
      </c>
      <c r="B53" s="2" t="s">
        <v>221</v>
      </c>
      <c r="C53" s="2" t="s">
        <v>406</v>
      </c>
      <c r="D53" s="2">
        <v>28.0</v>
      </c>
      <c r="E53" s="2" t="s">
        <v>45</v>
      </c>
      <c r="F53" s="2" t="s">
        <v>133</v>
      </c>
      <c r="G53" s="2" t="s">
        <v>407</v>
      </c>
      <c r="H53" s="2" t="s">
        <v>2130</v>
      </c>
      <c r="I53" s="2" t="s">
        <v>408</v>
      </c>
      <c r="J53" s="2" t="s">
        <v>409</v>
      </c>
      <c r="K53" s="3">
        <v>45365.0</v>
      </c>
      <c r="L53" s="2" t="s">
        <v>410</v>
      </c>
      <c r="M53" s="2" t="s">
        <v>411</v>
      </c>
      <c r="N53" s="2">
        <v>44.5</v>
      </c>
      <c r="O53" s="2">
        <v>4.0</v>
      </c>
      <c r="P53" s="2" t="s">
        <v>29</v>
      </c>
      <c r="Q53" s="2">
        <v>2.0</v>
      </c>
      <c r="R53" s="2">
        <v>40.0</v>
      </c>
      <c r="S53" s="3">
        <v>45368.0</v>
      </c>
      <c r="T53" s="2" t="s">
        <v>412</v>
      </c>
      <c r="U53" s="2">
        <f t="shared" si="1"/>
        <v>3</v>
      </c>
      <c r="V53" s="2">
        <f t="shared" si="2"/>
        <v>15</v>
      </c>
      <c r="W53" s="2">
        <f t="shared" si="3"/>
        <v>178</v>
      </c>
      <c r="X53" s="2">
        <f t="shared" si="4"/>
        <v>218</v>
      </c>
      <c r="Y53" s="2">
        <f t="shared" si="5"/>
        <v>0</v>
      </c>
      <c r="Z53" s="2">
        <f t="shared" si="6"/>
        <v>178</v>
      </c>
      <c r="AA53" s="2">
        <f t="shared" si="7"/>
        <v>218</v>
      </c>
      <c r="AB53" s="2" t="str">
        <f t="shared" si="8"/>
        <v>Thursday</v>
      </c>
      <c r="AC53" s="2" t="str">
        <f t="shared" si="9"/>
        <v>Weekday</v>
      </c>
      <c r="AD53" s="2" t="str">
        <f t="shared" si="10"/>
        <v>john.ramirez</v>
      </c>
      <c r="AE53" s="2" t="str">
        <f t="shared" si="11"/>
        <v>outlook</v>
      </c>
      <c r="AF53" s="2" t="str">
        <f t="shared" si="12"/>
        <v>John Ramirez</v>
      </c>
      <c r="AG53" s="2" t="str">
        <f t="shared" si="13"/>
        <v>John</v>
      </c>
      <c r="AH53" s="2" t="str">
        <f t="shared" si="14"/>
        <v>Ramirez</v>
      </c>
      <c r="AI53" s="2" t="str">
        <f t="shared" si="15"/>
        <v>Late</v>
      </c>
      <c r="AJ53" s="2" t="str">
        <f t="shared" si="16"/>
        <v>#NAME?</v>
      </c>
    </row>
    <row r="54" ht="14.25" customHeight="1">
      <c r="A54" s="2" t="s">
        <v>413</v>
      </c>
      <c r="B54" s="2" t="s">
        <v>414</v>
      </c>
      <c r="C54" s="2" t="s">
        <v>415</v>
      </c>
      <c r="D54" s="2">
        <v>52.0</v>
      </c>
      <c r="E54" s="2" t="s">
        <v>45</v>
      </c>
      <c r="F54" s="2" t="s">
        <v>213</v>
      </c>
      <c r="G54" s="2" t="s">
        <v>416</v>
      </c>
      <c r="H54" s="2" t="s">
        <v>2131</v>
      </c>
      <c r="I54" s="2" t="s">
        <v>417</v>
      </c>
      <c r="J54" s="2" t="s">
        <v>418</v>
      </c>
      <c r="K54" s="3">
        <v>45145.0</v>
      </c>
      <c r="L54" s="2" t="s">
        <v>419</v>
      </c>
      <c r="M54" s="2" t="s">
        <v>243</v>
      </c>
      <c r="N54" s="2">
        <v>128.14</v>
      </c>
      <c r="O54" s="2">
        <v>5.0</v>
      </c>
      <c r="P54" s="2" t="s">
        <v>51</v>
      </c>
      <c r="Q54" s="2">
        <v>2.0</v>
      </c>
      <c r="R54" s="2">
        <v>57.0</v>
      </c>
      <c r="S54" s="3">
        <v>45147.0</v>
      </c>
      <c r="T54" s="2" t="s">
        <v>420</v>
      </c>
      <c r="U54" s="2">
        <f t="shared" si="1"/>
        <v>2</v>
      </c>
      <c r="V54" s="2">
        <f t="shared" si="2"/>
        <v>1</v>
      </c>
      <c r="W54" s="2">
        <f t="shared" si="3"/>
        <v>640.7</v>
      </c>
      <c r="X54" s="2">
        <f t="shared" si="4"/>
        <v>697.7</v>
      </c>
      <c r="Y54" s="2">
        <f t="shared" si="5"/>
        <v>0</v>
      </c>
      <c r="Z54" s="2">
        <f t="shared" si="6"/>
        <v>640.7</v>
      </c>
      <c r="AA54" s="2">
        <f t="shared" si="7"/>
        <v>697.7</v>
      </c>
      <c r="AB54" s="2" t="str">
        <f t="shared" si="8"/>
        <v>Monday</v>
      </c>
      <c r="AC54" s="2" t="str">
        <f t="shared" si="9"/>
        <v>Weekday</v>
      </c>
      <c r="AD54" s="2" t="str">
        <f t="shared" si="10"/>
        <v>amanda.howard</v>
      </c>
      <c r="AE54" s="2" t="str">
        <f t="shared" si="11"/>
        <v>outlook</v>
      </c>
      <c r="AF54" s="2" t="str">
        <f t="shared" si="12"/>
        <v>Amanda Howard</v>
      </c>
      <c r="AG54" s="2" t="str">
        <f t="shared" si="13"/>
        <v>Amanda</v>
      </c>
      <c r="AH54" s="2" t="str">
        <f t="shared" si="14"/>
        <v>Howard</v>
      </c>
      <c r="AI54" s="2" t="str">
        <f t="shared" si="15"/>
        <v>InTime</v>
      </c>
      <c r="AJ54" s="2" t="str">
        <f t="shared" si="16"/>
        <v>#NAME?</v>
      </c>
    </row>
    <row r="55" ht="14.25" customHeight="1">
      <c r="A55" s="2" t="s">
        <v>294</v>
      </c>
      <c r="B55" s="2" t="s">
        <v>295</v>
      </c>
      <c r="C55" s="2" t="s">
        <v>296</v>
      </c>
      <c r="D55" s="2">
        <v>26.0</v>
      </c>
      <c r="E55" s="2" t="s">
        <v>45</v>
      </c>
      <c r="F55" s="2" t="s">
        <v>161</v>
      </c>
      <c r="G55" s="2" t="s">
        <v>297</v>
      </c>
      <c r="H55" s="2" t="s">
        <v>2119</v>
      </c>
      <c r="I55" s="2" t="s">
        <v>298</v>
      </c>
      <c r="J55" s="2" t="s">
        <v>421</v>
      </c>
      <c r="K55" s="3">
        <v>45312.0</v>
      </c>
      <c r="L55" s="2" t="s">
        <v>422</v>
      </c>
      <c r="M55" s="2" t="s">
        <v>423</v>
      </c>
      <c r="N55" s="2">
        <v>369.03</v>
      </c>
      <c r="O55" s="2">
        <v>2.0</v>
      </c>
      <c r="P55" s="2" t="s">
        <v>89</v>
      </c>
      <c r="Q55" s="2">
        <v>4.0</v>
      </c>
      <c r="R55" s="2">
        <v>46.0</v>
      </c>
      <c r="S55" s="3">
        <v>45318.0</v>
      </c>
      <c r="T55" s="2" t="s">
        <v>424</v>
      </c>
      <c r="U55" s="2">
        <f t="shared" si="1"/>
        <v>6</v>
      </c>
      <c r="V55" s="2">
        <f t="shared" si="2"/>
        <v>12</v>
      </c>
      <c r="W55" s="2">
        <f t="shared" si="3"/>
        <v>738.06</v>
      </c>
      <c r="X55" s="2">
        <f t="shared" si="4"/>
        <v>784.06</v>
      </c>
      <c r="Y55" s="2">
        <f t="shared" si="5"/>
        <v>0</v>
      </c>
      <c r="Z55" s="2">
        <f t="shared" si="6"/>
        <v>738.06</v>
      </c>
      <c r="AA55" s="2">
        <f t="shared" si="7"/>
        <v>784.06</v>
      </c>
      <c r="AB55" s="2" t="str">
        <f t="shared" si="8"/>
        <v>Sunday</v>
      </c>
      <c r="AC55" s="2" t="str">
        <f t="shared" si="9"/>
        <v>Weekend</v>
      </c>
      <c r="AD55" s="2" t="str">
        <f t="shared" si="10"/>
        <v>valerie.carr</v>
      </c>
      <c r="AE55" s="2" t="str">
        <f t="shared" si="11"/>
        <v>rediffmail</v>
      </c>
      <c r="AF55" s="2" t="str">
        <f t="shared" si="12"/>
        <v>Valerie Carr</v>
      </c>
      <c r="AG55" s="2" t="str">
        <f t="shared" si="13"/>
        <v>Valerie</v>
      </c>
      <c r="AH55" s="2" t="str">
        <f t="shared" si="14"/>
        <v>Carr</v>
      </c>
      <c r="AI55" s="2" t="str">
        <f t="shared" si="15"/>
        <v>Late</v>
      </c>
      <c r="AJ55" s="2" t="str">
        <f t="shared" si="16"/>
        <v>#NAME?</v>
      </c>
    </row>
    <row r="56" ht="14.25" customHeight="1">
      <c r="A56" s="2" t="s">
        <v>405</v>
      </c>
      <c r="B56" s="2" t="s">
        <v>221</v>
      </c>
      <c r="C56" s="2" t="s">
        <v>406</v>
      </c>
      <c r="D56" s="2">
        <v>28.0</v>
      </c>
      <c r="E56" s="2" t="s">
        <v>45</v>
      </c>
      <c r="F56" s="2" t="s">
        <v>133</v>
      </c>
      <c r="G56" s="2" t="s">
        <v>407</v>
      </c>
      <c r="H56" s="2" t="s">
        <v>2130</v>
      </c>
      <c r="I56" s="2" t="s">
        <v>408</v>
      </c>
      <c r="J56" s="2" t="s">
        <v>425</v>
      </c>
      <c r="K56" s="3">
        <v>45599.0</v>
      </c>
      <c r="L56" s="2" t="s">
        <v>426</v>
      </c>
      <c r="M56" s="2" t="s">
        <v>88</v>
      </c>
      <c r="N56" s="2">
        <v>363.64</v>
      </c>
      <c r="O56" s="2">
        <v>1.0</v>
      </c>
      <c r="P56" s="2" t="s">
        <v>89</v>
      </c>
      <c r="Q56" s="2">
        <v>3.0</v>
      </c>
      <c r="R56" s="2">
        <v>70.0</v>
      </c>
      <c r="S56" s="3">
        <v>45606.0</v>
      </c>
      <c r="T56" s="2" t="s">
        <v>427</v>
      </c>
      <c r="U56" s="2">
        <f t="shared" si="1"/>
        <v>7</v>
      </c>
      <c r="V56" s="2">
        <f t="shared" si="2"/>
        <v>4</v>
      </c>
      <c r="W56" s="2">
        <f t="shared" si="3"/>
        <v>363.64</v>
      </c>
      <c r="X56" s="2">
        <f t="shared" si="4"/>
        <v>433.64</v>
      </c>
      <c r="Y56" s="2">
        <f t="shared" si="5"/>
        <v>0</v>
      </c>
      <c r="Z56" s="2">
        <f t="shared" si="6"/>
        <v>363.64</v>
      </c>
      <c r="AA56" s="2">
        <f t="shared" si="7"/>
        <v>433.64</v>
      </c>
      <c r="AB56" s="2" t="str">
        <f t="shared" si="8"/>
        <v>Sunday</v>
      </c>
      <c r="AC56" s="2" t="str">
        <f t="shared" si="9"/>
        <v>Weekend</v>
      </c>
      <c r="AD56" s="2" t="str">
        <f t="shared" si="10"/>
        <v>john.ramirez</v>
      </c>
      <c r="AE56" s="2" t="str">
        <f t="shared" si="11"/>
        <v>outlook</v>
      </c>
      <c r="AF56" s="2" t="str">
        <f t="shared" si="12"/>
        <v>John Ramirez</v>
      </c>
      <c r="AG56" s="2" t="str">
        <f t="shared" si="13"/>
        <v>John</v>
      </c>
      <c r="AH56" s="2" t="str">
        <f t="shared" si="14"/>
        <v>Ramirez</v>
      </c>
      <c r="AI56" s="2" t="str">
        <f t="shared" si="15"/>
        <v>Late</v>
      </c>
      <c r="AJ56" s="2" t="str">
        <f t="shared" si="16"/>
        <v>#NAME?</v>
      </c>
    </row>
    <row r="57" ht="14.25" customHeight="1">
      <c r="A57" s="2" t="s">
        <v>428</v>
      </c>
      <c r="B57" s="2" t="s">
        <v>429</v>
      </c>
      <c r="C57" s="2" t="s">
        <v>430</v>
      </c>
      <c r="D57" s="2">
        <v>28.0</v>
      </c>
      <c r="E57" s="2" t="s">
        <v>45</v>
      </c>
      <c r="F57" s="2" t="s">
        <v>69</v>
      </c>
      <c r="G57" s="2" t="s">
        <v>431</v>
      </c>
      <c r="H57" s="2" t="s">
        <v>2132</v>
      </c>
      <c r="I57" s="2" t="s">
        <v>432</v>
      </c>
      <c r="J57" s="2" t="s">
        <v>433</v>
      </c>
      <c r="K57" s="3">
        <v>45229.0</v>
      </c>
      <c r="L57" s="2" t="s">
        <v>434</v>
      </c>
      <c r="M57" s="2" t="s">
        <v>55</v>
      </c>
      <c r="N57" s="2">
        <v>405.0</v>
      </c>
      <c r="O57" s="2">
        <v>1.0</v>
      </c>
      <c r="P57" s="2" t="s">
        <v>56</v>
      </c>
      <c r="Q57" s="2">
        <v>5.0</v>
      </c>
      <c r="R57" s="2">
        <v>44.0</v>
      </c>
      <c r="S57" s="3">
        <v>45233.0</v>
      </c>
      <c r="T57" s="2" t="s">
        <v>435</v>
      </c>
      <c r="U57" s="2">
        <f t="shared" si="1"/>
        <v>4</v>
      </c>
      <c r="V57" s="2">
        <f t="shared" si="2"/>
        <v>14</v>
      </c>
      <c r="W57" s="2">
        <f t="shared" si="3"/>
        <v>405</v>
      </c>
      <c r="X57" s="2">
        <f t="shared" si="4"/>
        <v>449</v>
      </c>
      <c r="Y57" s="2">
        <f t="shared" si="5"/>
        <v>0</v>
      </c>
      <c r="Z57" s="2">
        <f t="shared" si="6"/>
        <v>405</v>
      </c>
      <c r="AA57" s="2">
        <f t="shared" si="7"/>
        <v>405</v>
      </c>
      <c r="AB57" s="2" t="str">
        <f t="shared" si="8"/>
        <v>Monday</v>
      </c>
      <c r="AC57" s="2" t="str">
        <f t="shared" si="9"/>
        <v>Weekday</v>
      </c>
      <c r="AD57" s="2" t="str">
        <f t="shared" si="10"/>
        <v>mary.knight</v>
      </c>
      <c r="AE57" s="2" t="str">
        <f t="shared" si="11"/>
        <v>yahoo</v>
      </c>
      <c r="AF57" s="2" t="str">
        <f t="shared" si="12"/>
        <v>Mary Knight</v>
      </c>
      <c r="AG57" s="2" t="str">
        <f t="shared" si="13"/>
        <v>Mary</v>
      </c>
      <c r="AH57" s="2" t="str">
        <f t="shared" si="14"/>
        <v>Knight</v>
      </c>
      <c r="AI57" s="2" t="str">
        <f t="shared" si="15"/>
        <v>Before Time</v>
      </c>
      <c r="AJ57" s="2" t="str">
        <f t="shared" si="16"/>
        <v>#NAME?</v>
      </c>
    </row>
    <row r="58" ht="14.25" customHeight="1">
      <c r="A58" s="2" t="s">
        <v>436</v>
      </c>
      <c r="B58" s="2" t="s">
        <v>92</v>
      </c>
      <c r="C58" s="2" t="s">
        <v>437</v>
      </c>
      <c r="D58" s="2">
        <v>36.0</v>
      </c>
      <c r="E58" s="2" t="s">
        <v>34</v>
      </c>
      <c r="F58" s="2" t="s">
        <v>23</v>
      </c>
      <c r="G58" s="2" t="s">
        <v>438</v>
      </c>
      <c r="H58" s="2" t="s">
        <v>2133</v>
      </c>
      <c r="I58" s="2" t="s">
        <v>439</v>
      </c>
      <c r="J58" s="2" t="s">
        <v>440</v>
      </c>
      <c r="K58" s="3">
        <v>45149.0</v>
      </c>
      <c r="L58" s="2" t="s">
        <v>441</v>
      </c>
      <c r="M58" s="2" t="s">
        <v>263</v>
      </c>
      <c r="N58" s="2">
        <v>62.42</v>
      </c>
      <c r="O58" s="2">
        <v>2.0</v>
      </c>
      <c r="P58" s="2" t="s">
        <v>51</v>
      </c>
      <c r="Q58" s="2">
        <v>1.0</v>
      </c>
      <c r="R58" s="2">
        <v>53.0</v>
      </c>
      <c r="S58" s="3">
        <v>45154.0</v>
      </c>
      <c r="T58" s="2" t="s">
        <v>442</v>
      </c>
      <c r="U58" s="2">
        <f t="shared" si="1"/>
        <v>5</v>
      </c>
      <c r="V58" s="2">
        <f t="shared" si="2"/>
        <v>2</v>
      </c>
      <c r="W58" s="2">
        <f t="shared" si="3"/>
        <v>124.84</v>
      </c>
      <c r="X58" s="2">
        <f t="shared" si="4"/>
        <v>177.84</v>
      </c>
      <c r="Y58" s="2">
        <f t="shared" si="5"/>
        <v>0</v>
      </c>
      <c r="Z58" s="2">
        <f t="shared" si="6"/>
        <v>124.84</v>
      </c>
      <c r="AA58" s="2">
        <f t="shared" si="7"/>
        <v>177.84</v>
      </c>
      <c r="AB58" s="2" t="str">
        <f t="shared" si="8"/>
        <v>Friday</v>
      </c>
      <c r="AC58" s="2" t="str">
        <f t="shared" si="9"/>
        <v>Weekday</v>
      </c>
      <c r="AD58" s="2" t="str">
        <f t="shared" si="10"/>
        <v>marcus.rogers</v>
      </c>
      <c r="AE58" s="2" t="str">
        <f t="shared" si="11"/>
        <v>outlook</v>
      </c>
      <c r="AF58" s="2" t="str">
        <f t="shared" si="12"/>
        <v>Marcus Rogers</v>
      </c>
      <c r="AG58" s="2" t="str">
        <f t="shared" si="13"/>
        <v>Marcus</v>
      </c>
      <c r="AH58" s="2" t="str">
        <f t="shared" si="14"/>
        <v>Rogers</v>
      </c>
      <c r="AI58" s="2" t="str">
        <f t="shared" si="15"/>
        <v>Late</v>
      </c>
      <c r="AJ58" s="2" t="str">
        <f t="shared" si="16"/>
        <v>#NAME?</v>
      </c>
    </row>
    <row r="59" ht="14.25" customHeight="1">
      <c r="A59" s="2" t="s">
        <v>443</v>
      </c>
      <c r="B59" s="2" t="s">
        <v>444</v>
      </c>
      <c r="C59" s="2" t="s">
        <v>445</v>
      </c>
      <c r="D59" s="2">
        <v>69.0</v>
      </c>
      <c r="E59" s="2" t="s">
        <v>22</v>
      </c>
      <c r="F59" s="2" t="s">
        <v>23</v>
      </c>
      <c r="G59" s="2" t="s">
        <v>446</v>
      </c>
      <c r="H59" s="2" t="s">
        <v>2134</v>
      </c>
      <c r="I59" s="2" t="s">
        <v>447</v>
      </c>
      <c r="J59" s="2" t="s">
        <v>448</v>
      </c>
      <c r="K59" s="3">
        <v>45213.0</v>
      </c>
      <c r="L59" s="2" t="s">
        <v>449</v>
      </c>
      <c r="M59" s="2" t="s">
        <v>192</v>
      </c>
      <c r="N59" s="2">
        <v>20.7</v>
      </c>
      <c r="O59" s="2">
        <v>5.0</v>
      </c>
      <c r="P59" s="2" t="s">
        <v>51</v>
      </c>
      <c r="Q59" s="2">
        <v>7.0</v>
      </c>
      <c r="R59" s="2">
        <v>57.0</v>
      </c>
      <c r="S59" s="3">
        <v>45218.0</v>
      </c>
      <c r="T59" s="2" t="s">
        <v>450</v>
      </c>
      <c r="U59" s="2">
        <f t="shared" si="1"/>
        <v>5</v>
      </c>
      <c r="V59" s="2">
        <f t="shared" si="2"/>
        <v>16</v>
      </c>
      <c r="W59" s="2">
        <f t="shared" si="3"/>
        <v>103.5</v>
      </c>
      <c r="X59" s="2">
        <f t="shared" si="4"/>
        <v>160.5</v>
      </c>
      <c r="Y59" s="2">
        <f t="shared" si="5"/>
        <v>0</v>
      </c>
      <c r="Z59" s="2">
        <f t="shared" si="6"/>
        <v>103.5</v>
      </c>
      <c r="AA59" s="2">
        <f t="shared" si="7"/>
        <v>160.5</v>
      </c>
      <c r="AB59" s="2" t="str">
        <f t="shared" si="8"/>
        <v>Saturday</v>
      </c>
      <c r="AC59" s="2" t="str">
        <f t="shared" si="9"/>
        <v>Weekend</v>
      </c>
      <c r="AD59" s="2" t="str">
        <f t="shared" si="10"/>
        <v>brian.kennedy</v>
      </c>
      <c r="AE59" s="2" t="str">
        <f t="shared" si="11"/>
        <v>outlook</v>
      </c>
      <c r="AF59" s="2" t="str">
        <f t="shared" si="12"/>
        <v>Brian Kennedy</v>
      </c>
      <c r="AG59" s="2" t="str">
        <f t="shared" si="13"/>
        <v>Brian</v>
      </c>
      <c r="AH59" s="2" t="str">
        <f t="shared" si="14"/>
        <v>Kennedy</v>
      </c>
      <c r="AI59" s="2" t="str">
        <f t="shared" si="15"/>
        <v>Before Time</v>
      </c>
      <c r="AJ59" s="2" t="str">
        <f t="shared" si="16"/>
        <v>#NAME?</v>
      </c>
    </row>
    <row r="60" ht="14.25" customHeight="1">
      <c r="A60" s="2" t="s">
        <v>451</v>
      </c>
      <c r="B60" s="2" t="s">
        <v>452</v>
      </c>
      <c r="C60" s="2" t="s">
        <v>453</v>
      </c>
      <c r="D60" s="2">
        <v>63.0</v>
      </c>
      <c r="E60" s="2" t="s">
        <v>22</v>
      </c>
      <c r="F60" s="2" t="s">
        <v>133</v>
      </c>
      <c r="G60" s="2" t="s">
        <v>454</v>
      </c>
      <c r="H60" s="2" t="s">
        <v>2135</v>
      </c>
      <c r="I60" s="2" t="s">
        <v>455</v>
      </c>
      <c r="J60" s="2" t="s">
        <v>456</v>
      </c>
      <c r="K60" s="3">
        <v>45655.0</v>
      </c>
      <c r="L60" s="2" t="s">
        <v>457</v>
      </c>
      <c r="M60" s="2" t="s">
        <v>88</v>
      </c>
      <c r="N60" s="2">
        <v>363.64</v>
      </c>
      <c r="O60" s="2">
        <v>3.0</v>
      </c>
      <c r="P60" s="2" t="s">
        <v>89</v>
      </c>
      <c r="Q60" s="2">
        <v>6.0</v>
      </c>
      <c r="R60" s="2">
        <v>69.0</v>
      </c>
      <c r="S60" s="3">
        <v>45662.0</v>
      </c>
      <c r="T60" s="2" t="s">
        <v>458</v>
      </c>
      <c r="U60" s="2">
        <f t="shared" si="1"/>
        <v>7</v>
      </c>
      <c r="V60" s="2">
        <f t="shared" si="2"/>
        <v>9</v>
      </c>
      <c r="W60" s="2">
        <f t="shared" si="3"/>
        <v>1090.92</v>
      </c>
      <c r="X60" s="2">
        <f t="shared" si="4"/>
        <v>1159.92</v>
      </c>
      <c r="Y60" s="2">
        <f t="shared" si="5"/>
        <v>0</v>
      </c>
      <c r="Z60" s="2">
        <f t="shared" si="6"/>
        <v>1090.92</v>
      </c>
      <c r="AA60" s="2">
        <f t="shared" si="7"/>
        <v>1159.92</v>
      </c>
      <c r="AB60" s="2" t="str">
        <f t="shared" si="8"/>
        <v>Sunday</v>
      </c>
      <c r="AC60" s="2" t="str">
        <f t="shared" si="9"/>
        <v>Weekend</v>
      </c>
      <c r="AD60" s="2" t="str">
        <f t="shared" si="10"/>
        <v>rebecca.figueroa</v>
      </c>
      <c r="AE60" s="2" t="str">
        <f t="shared" si="11"/>
        <v>outlook</v>
      </c>
      <c r="AF60" s="2" t="str">
        <f t="shared" si="12"/>
        <v>Rebecca Figueroa</v>
      </c>
      <c r="AG60" s="2" t="str">
        <f t="shared" si="13"/>
        <v>Rebecca</v>
      </c>
      <c r="AH60" s="2" t="str">
        <f t="shared" si="14"/>
        <v>Figueroa</v>
      </c>
      <c r="AI60" s="2" t="str">
        <f t="shared" si="15"/>
        <v>Late</v>
      </c>
      <c r="AJ60" s="2" t="str">
        <f t="shared" si="16"/>
        <v>#NAME?</v>
      </c>
    </row>
    <row r="61" ht="14.25" customHeight="1">
      <c r="A61" s="2" t="s">
        <v>459</v>
      </c>
      <c r="B61" s="2" t="s">
        <v>460</v>
      </c>
      <c r="C61" s="2" t="s">
        <v>461</v>
      </c>
      <c r="D61" s="2">
        <v>18.0</v>
      </c>
      <c r="E61" s="2" t="s">
        <v>34</v>
      </c>
      <c r="F61" s="2" t="s">
        <v>35</v>
      </c>
      <c r="G61" s="2" t="s">
        <v>462</v>
      </c>
      <c r="H61" s="2" t="s">
        <v>2136</v>
      </c>
      <c r="I61" s="2" t="s">
        <v>463</v>
      </c>
      <c r="J61" s="2" t="s">
        <v>464</v>
      </c>
      <c r="K61" s="3">
        <v>44972.0</v>
      </c>
      <c r="L61" s="2" t="s">
        <v>465</v>
      </c>
      <c r="M61" s="2" t="s">
        <v>466</v>
      </c>
      <c r="N61" s="2">
        <v>286.07</v>
      </c>
      <c r="O61" s="2">
        <v>3.0</v>
      </c>
      <c r="P61" s="2" t="s">
        <v>78</v>
      </c>
      <c r="Q61" s="2">
        <v>2.0</v>
      </c>
      <c r="R61" s="2">
        <v>54.0</v>
      </c>
      <c r="S61" s="3">
        <v>44977.0</v>
      </c>
      <c r="T61" s="2" t="s">
        <v>467</v>
      </c>
      <c r="U61" s="2">
        <f t="shared" si="1"/>
        <v>5</v>
      </c>
      <c r="V61" s="2">
        <f t="shared" si="2"/>
        <v>2</v>
      </c>
      <c r="W61" s="2">
        <f t="shared" si="3"/>
        <v>858.21</v>
      </c>
      <c r="X61" s="2">
        <f t="shared" si="4"/>
        <v>912.21</v>
      </c>
      <c r="Y61" s="2">
        <f t="shared" si="5"/>
        <v>0</v>
      </c>
      <c r="Z61" s="2">
        <f t="shared" si="6"/>
        <v>858.21</v>
      </c>
      <c r="AA61" s="2">
        <f t="shared" si="7"/>
        <v>912.21</v>
      </c>
      <c r="AB61" s="2" t="str">
        <f t="shared" si="8"/>
        <v>Wednesday</v>
      </c>
      <c r="AC61" s="2" t="str">
        <f t="shared" si="9"/>
        <v>Weekday</v>
      </c>
      <c r="AD61" s="2" t="str">
        <f t="shared" si="10"/>
        <v>lori.cook</v>
      </c>
      <c r="AE61" s="2" t="str">
        <f t="shared" si="11"/>
        <v>rediffmail</v>
      </c>
      <c r="AF61" s="2" t="str">
        <f t="shared" si="12"/>
        <v>Lori Cook</v>
      </c>
      <c r="AG61" s="2" t="str">
        <f t="shared" si="13"/>
        <v>Lori</v>
      </c>
      <c r="AH61" s="2" t="str">
        <f t="shared" si="14"/>
        <v>Cook</v>
      </c>
      <c r="AI61" s="2" t="str">
        <f t="shared" si="15"/>
        <v>Late</v>
      </c>
      <c r="AJ61" s="2" t="str">
        <f t="shared" si="16"/>
        <v>#NAME?</v>
      </c>
    </row>
    <row r="62" ht="14.25" customHeight="1">
      <c r="A62" s="2" t="s">
        <v>468</v>
      </c>
      <c r="B62" s="2" t="s">
        <v>101</v>
      </c>
      <c r="C62" s="2" t="s">
        <v>469</v>
      </c>
      <c r="D62" s="2">
        <v>33.0</v>
      </c>
      <c r="E62" s="2" t="s">
        <v>22</v>
      </c>
      <c r="F62" s="2" t="s">
        <v>161</v>
      </c>
      <c r="G62" s="2" t="s">
        <v>470</v>
      </c>
      <c r="H62" s="2" t="s">
        <v>2137</v>
      </c>
      <c r="I62" s="2" t="s">
        <v>471</v>
      </c>
      <c r="J62" s="2" t="s">
        <v>472</v>
      </c>
      <c r="K62" s="3">
        <v>45435.0</v>
      </c>
      <c r="L62" s="2" t="s">
        <v>473</v>
      </c>
      <c r="M62" s="2" t="s">
        <v>474</v>
      </c>
      <c r="N62" s="2">
        <v>87.09</v>
      </c>
      <c r="O62" s="2">
        <v>4.0</v>
      </c>
      <c r="P62" s="2" t="s">
        <v>56</v>
      </c>
      <c r="Q62" s="2">
        <v>6.0</v>
      </c>
      <c r="R62" s="2">
        <v>63.0</v>
      </c>
      <c r="S62" s="3">
        <v>45439.0</v>
      </c>
      <c r="T62" s="2" t="s">
        <v>475</v>
      </c>
      <c r="U62" s="2">
        <f t="shared" si="1"/>
        <v>4</v>
      </c>
      <c r="V62" s="2">
        <f t="shared" si="2"/>
        <v>2</v>
      </c>
      <c r="W62" s="2">
        <f t="shared" si="3"/>
        <v>348.36</v>
      </c>
      <c r="X62" s="2">
        <f t="shared" si="4"/>
        <v>411.36</v>
      </c>
      <c r="Y62" s="2">
        <f t="shared" si="5"/>
        <v>0</v>
      </c>
      <c r="Z62" s="2">
        <f t="shared" si="6"/>
        <v>348.36</v>
      </c>
      <c r="AA62" s="2">
        <f t="shared" si="7"/>
        <v>348.36</v>
      </c>
      <c r="AB62" s="2" t="str">
        <f t="shared" si="8"/>
        <v>Thursday</v>
      </c>
      <c r="AC62" s="2" t="str">
        <f t="shared" si="9"/>
        <v>Weekday</v>
      </c>
      <c r="AD62" s="2" t="str">
        <f t="shared" si="10"/>
        <v>debra.hayes</v>
      </c>
      <c r="AE62" s="2" t="str">
        <f t="shared" si="11"/>
        <v>yahoo</v>
      </c>
      <c r="AF62" s="2" t="str">
        <f t="shared" si="12"/>
        <v>Debra Hayes</v>
      </c>
      <c r="AG62" s="2" t="str">
        <f t="shared" si="13"/>
        <v>Debra</v>
      </c>
      <c r="AH62" s="2" t="str">
        <f t="shared" si="14"/>
        <v>Hayes</v>
      </c>
      <c r="AI62" s="2" t="str">
        <f t="shared" si="15"/>
        <v>Before Time</v>
      </c>
      <c r="AJ62" s="2" t="str">
        <f t="shared" si="16"/>
        <v>#NAME?</v>
      </c>
    </row>
    <row r="63" ht="14.25" customHeight="1">
      <c r="A63" s="2" t="s">
        <v>476</v>
      </c>
      <c r="B63" s="2" t="s">
        <v>477</v>
      </c>
      <c r="C63" s="2" t="s">
        <v>123</v>
      </c>
      <c r="D63" s="2">
        <v>68.0</v>
      </c>
      <c r="E63" s="2" t="s">
        <v>45</v>
      </c>
      <c r="F63" s="2" t="s">
        <v>213</v>
      </c>
      <c r="G63" s="2" t="s">
        <v>478</v>
      </c>
      <c r="H63" s="2" t="s">
        <v>2138</v>
      </c>
      <c r="I63" s="2" t="s">
        <v>479</v>
      </c>
      <c r="J63" s="2" t="s">
        <v>480</v>
      </c>
      <c r="K63" s="3">
        <v>45002.0</v>
      </c>
      <c r="L63" s="2" t="s">
        <v>481</v>
      </c>
      <c r="M63" s="2" t="s">
        <v>98</v>
      </c>
      <c r="N63" s="2">
        <v>275.44</v>
      </c>
      <c r="O63" s="2">
        <v>4.0</v>
      </c>
      <c r="P63" s="2" t="s">
        <v>29</v>
      </c>
      <c r="Q63" s="2">
        <v>4.0</v>
      </c>
      <c r="R63" s="2">
        <v>40.0</v>
      </c>
      <c r="S63" s="3">
        <v>45007.0</v>
      </c>
      <c r="T63" s="2" t="s">
        <v>482</v>
      </c>
      <c r="U63" s="2">
        <f t="shared" si="1"/>
        <v>5</v>
      </c>
      <c r="V63" s="2">
        <f t="shared" si="2"/>
        <v>18</v>
      </c>
      <c r="W63" s="2">
        <f t="shared" si="3"/>
        <v>1101.76</v>
      </c>
      <c r="X63" s="2">
        <f t="shared" si="4"/>
        <v>1141.76</v>
      </c>
      <c r="Y63" s="2">
        <f t="shared" si="5"/>
        <v>0</v>
      </c>
      <c r="Z63" s="2">
        <f t="shared" si="6"/>
        <v>1101.76</v>
      </c>
      <c r="AA63" s="2">
        <f t="shared" si="7"/>
        <v>1141.76</v>
      </c>
      <c r="AB63" s="2" t="str">
        <f t="shared" si="8"/>
        <v>Friday</v>
      </c>
      <c r="AC63" s="2" t="str">
        <f t="shared" si="9"/>
        <v>Weekday</v>
      </c>
      <c r="AD63" s="2" t="str">
        <f t="shared" si="10"/>
        <v>brittany.stewart</v>
      </c>
      <c r="AE63" s="2" t="str">
        <f t="shared" si="11"/>
        <v>gmail</v>
      </c>
      <c r="AF63" s="2" t="str">
        <f t="shared" si="12"/>
        <v>Brittany Stewart</v>
      </c>
      <c r="AG63" s="2" t="str">
        <f t="shared" si="13"/>
        <v>Brittany</v>
      </c>
      <c r="AH63" s="2" t="str">
        <f t="shared" si="14"/>
        <v>Stewart</v>
      </c>
      <c r="AI63" s="2" t="str">
        <f t="shared" si="15"/>
        <v>Late</v>
      </c>
      <c r="AJ63" s="2" t="str">
        <f t="shared" si="16"/>
        <v>#NAME?</v>
      </c>
    </row>
    <row r="64" ht="14.25" customHeight="1">
      <c r="A64" s="2" t="s">
        <v>483</v>
      </c>
      <c r="B64" s="2" t="s">
        <v>179</v>
      </c>
      <c r="C64" s="2" t="s">
        <v>320</v>
      </c>
      <c r="D64" s="2">
        <v>39.0</v>
      </c>
      <c r="E64" s="2" t="s">
        <v>45</v>
      </c>
      <c r="F64" s="2" t="s">
        <v>35</v>
      </c>
      <c r="G64" s="2" t="s">
        <v>484</v>
      </c>
      <c r="H64" s="2" t="s">
        <v>2139</v>
      </c>
      <c r="I64" s="2" t="s">
        <v>485</v>
      </c>
      <c r="J64" s="2" t="s">
        <v>486</v>
      </c>
      <c r="K64" s="3">
        <v>45680.0</v>
      </c>
      <c r="L64" s="2" t="s">
        <v>487</v>
      </c>
      <c r="M64" s="2" t="s">
        <v>488</v>
      </c>
      <c r="N64" s="2">
        <v>421.7</v>
      </c>
      <c r="O64" s="2">
        <v>1.0</v>
      </c>
      <c r="P64" s="2" t="s">
        <v>89</v>
      </c>
      <c r="Q64" s="2">
        <v>3.0</v>
      </c>
      <c r="R64" s="2">
        <v>59.0</v>
      </c>
      <c r="S64" s="3">
        <v>45684.0</v>
      </c>
      <c r="T64" s="2" t="s">
        <v>489</v>
      </c>
      <c r="U64" s="2">
        <f t="shared" si="1"/>
        <v>4</v>
      </c>
      <c r="V64" s="2">
        <f t="shared" si="2"/>
        <v>19</v>
      </c>
      <c r="W64" s="2">
        <f t="shared" si="3"/>
        <v>421.7</v>
      </c>
      <c r="X64" s="2">
        <f t="shared" si="4"/>
        <v>480.7</v>
      </c>
      <c r="Y64" s="2">
        <f t="shared" si="5"/>
        <v>0</v>
      </c>
      <c r="Z64" s="2">
        <f t="shared" si="6"/>
        <v>421.7</v>
      </c>
      <c r="AA64" s="2">
        <f t="shared" si="7"/>
        <v>480.7</v>
      </c>
      <c r="AB64" s="2" t="str">
        <f t="shared" si="8"/>
        <v>Thursday</v>
      </c>
      <c r="AC64" s="2" t="str">
        <f t="shared" si="9"/>
        <v>Weekday</v>
      </c>
      <c r="AD64" s="2" t="str">
        <f t="shared" si="10"/>
        <v>mitchell.parker</v>
      </c>
      <c r="AE64" s="2" t="str">
        <f t="shared" si="11"/>
        <v>yahoo</v>
      </c>
      <c r="AF64" s="2" t="str">
        <f t="shared" si="12"/>
        <v>Mitchell Parker</v>
      </c>
      <c r="AG64" s="2" t="str">
        <f t="shared" si="13"/>
        <v>Mitchell</v>
      </c>
      <c r="AH64" s="2" t="str">
        <f t="shared" si="14"/>
        <v>Parker</v>
      </c>
      <c r="AI64" s="2" t="str">
        <f t="shared" si="15"/>
        <v>Late</v>
      </c>
      <c r="AJ64" s="2" t="str">
        <f t="shared" si="16"/>
        <v>#NAME?</v>
      </c>
    </row>
    <row r="65" ht="14.25" customHeight="1">
      <c r="A65" s="2" t="s">
        <v>220</v>
      </c>
      <c r="B65" s="2" t="s">
        <v>221</v>
      </c>
      <c r="C65" s="2" t="s">
        <v>222</v>
      </c>
      <c r="D65" s="2">
        <v>64.0</v>
      </c>
      <c r="E65" s="2" t="s">
        <v>34</v>
      </c>
      <c r="F65" s="2" t="s">
        <v>35</v>
      </c>
      <c r="G65" s="2" t="s">
        <v>223</v>
      </c>
      <c r="H65" s="2" t="s">
        <v>2112</v>
      </c>
      <c r="I65" s="2" t="s">
        <v>224</v>
      </c>
      <c r="J65" s="2" t="s">
        <v>490</v>
      </c>
      <c r="K65" s="3">
        <v>45629.0</v>
      </c>
      <c r="L65" s="2" t="s">
        <v>491</v>
      </c>
      <c r="M65" s="2" t="s">
        <v>166</v>
      </c>
      <c r="N65" s="2">
        <v>272.51</v>
      </c>
      <c r="O65" s="2">
        <v>1.0</v>
      </c>
      <c r="P65" s="2" t="s">
        <v>78</v>
      </c>
      <c r="Q65" s="2">
        <v>4.0</v>
      </c>
      <c r="R65" s="2">
        <v>43.0</v>
      </c>
      <c r="S65" s="3">
        <v>45630.0</v>
      </c>
      <c r="T65" s="2" t="s">
        <v>492</v>
      </c>
      <c r="U65" s="2">
        <f t="shared" si="1"/>
        <v>1</v>
      </c>
      <c r="V65" s="2">
        <f t="shared" si="2"/>
        <v>9</v>
      </c>
      <c r="W65" s="2">
        <f t="shared" si="3"/>
        <v>272.51</v>
      </c>
      <c r="X65" s="2">
        <f t="shared" si="4"/>
        <v>315.51</v>
      </c>
      <c r="Y65" s="2">
        <f t="shared" si="5"/>
        <v>0</v>
      </c>
      <c r="Z65" s="2">
        <f t="shared" si="6"/>
        <v>272.51</v>
      </c>
      <c r="AA65" s="2">
        <f t="shared" si="7"/>
        <v>315.51</v>
      </c>
      <c r="AB65" s="2" t="str">
        <f t="shared" si="8"/>
        <v>Tuesday</v>
      </c>
      <c r="AC65" s="2" t="str">
        <f t="shared" si="9"/>
        <v>Weekday</v>
      </c>
      <c r="AD65" s="2" t="str">
        <f t="shared" si="10"/>
        <v>john.herrera</v>
      </c>
      <c r="AE65" s="2" t="str">
        <f t="shared" si="11"/>
        <v>outlook</v>
      </c>
      <c r="AF65" s="2" t="str">
        <f t="shared" si="12"/>
        <v>John Herrera</v>
      </c>
      <c r="AG65" s="2" t="str">
        <f t="shared" si="13"/>
        <v>John</v>
      </c>
      <c r="AH65" s="2" t="str">
        <f t="shared" si="14"/>
        <v>Herrera</v>
      </c>
      <c r="AI65" s="2" t="str">
        <f t="shared" si="15"/>
        <v>Before Time</v>
      </c>
      <c r="AJ65" s="2" t="str">
        <f t="shared" si="16"/>
        <v>#NAME?</v>
      </c>
    </row>
    <row r="66" ht="14.25" customHeight="1">
      <c r="A66" s="2" t="s">
        <v>493</v>
      </c>
      <c r="B66" s="2" t="s">
        <v>494</v>
      </c>
      <c r="C66" s="2" t="s">
        <v>380</v>
      </c>
      <c r="D66" s="2">
        <v>57.0</v>
      </c>
      <c r="E66" s="2" t="s">
        <v>34</v>
      </c>
      <c r="F66" s="2" t="s">
        <v>213</v>
      </c>
      <c r="G66" s="2" t="s">
        <v>495</v>
      </c>
      <c r="H66" s="2" t="s">
        <v>2140</v>
      </c>
      <c r="I66" s="2" t="s">
        <v>496</v>
      </c>
      <c r="J66" s="2" t="s">
        <v>497</v>
      </c>
      <c r="K66" s="3">
        <v>45346.0</v>
      </c>
      <c r="L66" s="2" t="s">
        <v>498</v>
      </c>
      <c r="M66" s="2" t="s">
        <v>128</v>
      </c>
      <c r="N66" s="2">
        <v>175.93</v>
      </c>
      <c r="O66" s="2">
        <v>3.0</v>
      </c>
      <c r="P66" s="2" t="s">
        <v>29</v>
      </c>
      <c r="Q66" s="2">
        <v>4.0</v>
      </c>
      <c r="R66" s="2">
        <v>46.0</v>
      </c>
      <c r="S66" s="3">
        <v>45351.0</v>
      </c>
      <c r="T66" s="2" t="s">
        <v>499</v>
      </c>
      <c r="U66" s="2">
        <f t="shared" si="1"/>
        <v>5</v>
      </c>
      <c r="V66" s="2">
        <f t="shared" si="2"/>
        <v>2</v>
      </c>
      <c r="W66" s="2">
        <f t="shared" si="3"/>
        <v>527.79</v>
      </c>
      <c r="X66" s="2">
        <f t="shared" si="4"/>
        <v>573.79</v>
      </c>
      <c r="Y66" s="2">
        <f t="shared" si="5"/>
        <v>0</v>
      </c>
      <c r="Z66" s="2">
        <f t="shared" si="6"/>
        <v>527.79</v>
      </c>
      <c r="AA66" s="2">
        <f t="shared" si="7"/>
        <v>573.79</v>
      </c>
      <c r="AB66" s="2" t="str">
        <f t="shared" si="8"/>
        <v>Saturday</v>
      </c>
      <c r="AC66" s="2" t="str">
        <f t="shared" si="9"/>
        <v>Weekend</v>
      </c>
      <c r="AD66" s="2" t="str">
        <f t="shared" si="10"/>
        <v>sharon.thompson</v>
      </c>
      <c r="AE66" s="2" t="str">
        <f t="shared" si="11"/>
        <v>yahoo</v>
      </c>
      <c r="AF66" s="2" t="str">
        <f t="shared" si="12"/>
        <v>Sharon Thompson</v>
      </c>
      <c r="AG66" s="2" t="str">
        <f t="shared" si="13"/>
        <v>Sharon</v>
      </c>
      <c r="AH66" s="2" t="str">
        <f t="shared" si="14"/>
        <v>Thompson</v>
      </c>
      <c r="AI66" s="2" t="str">
        <f t="shared" si="15"/>
        <v>Late</v>
      </c>
      <c r="AJ66" s="2" t="str">
        <f t="shared" si="16"/>
        <v>#NAME?</v>
      </c>
    </row>
    <row r="67" ht="14.25" customHeight="1">
      <c r="A67" s="2" t="s">
        <v>500</v>
      </c>
      <c r="B67" s="2" t="s">
        <v>501</v>
      </c>
      <c r="C67" s="2" t="s">
        <v>502</v>
      </c>
      <c r="D67" s="2">
        <v>64.0</v>
      </c>
      <c r="E67" s="2" t="s">
        <v>22</v>
      </c>
      <c r="F67" s="2" t="s">
        <v>23</v>
      </c>
      <c r="G67" s="2" t="s">
        <v>503</v>
      </c>
      <c r="H67" s="2" t="s">
        <v>2141</v>
      </c>
      <c r="I67" s="2" t="s">
        <v>504</v>
      </c>
      <c r="J67" s="2" t="s">
        <v>505</v>
      </c>
      <c r="K67" s="3">
        <v>45503.0</v>
      </c>
      <c r="L67" s="2" t="s">
        <v>506</v>
      </c>
      <c r="M67" s="2" t="s">
        <v>507</v>
      </c>
      <c r="N67" s="2">
        <v>136.3</v>
      </c>
      <c r="O67" s="2">
        <v>5.0</v>
      </c>
      <c r="P67" s="2" t="s">
        <v>51</v>
      </c>
      <c r="Q67" s="2">
        <v>6.0</v>
      </c>
      <c r="R67" s="2">
        <v>39.0</v>
      </c>
      <c r="S67" s="3">
        <v>45510.0</v>
      </c>
      <c r="T67" s="2" t="s">
        <v>508</v>
      </c>
      <c r="U67" s="2">
        <f t="shared" si="1"/>
        <v>7</v>
      </c>
      <c r="V67" s="2">
        <f t="shared" si="2"/>
        <v>20</v>
      </c>
      <c r="W67" s="2">
        <f t="shared" si="3"/>
        <v>681.5</v>
      </c>
      <c r="X67" s="2">
        <f t="shared" si="4"/>
        <v>720.5</v>
      </c>
      <c r="Y67" s="2">
        <f t="shared" si="5"/>
        <v>0</v>
      </c>
      <c r="Z67" s="2">
        <f t="shared" si="6"/>
        <v>681.5</v>
      </c>
      <c r="AA67" s="2">
        <f t="shared" si="7"/>
        <v>720.5</v>
      </c>
      <c r="AB67" s="2" t="str">
        <f t="shared" si="8"/>
        <v>Tuesday</v>
      </c>
      <c r="AC67" s="2" t="str">
        <f t="shared" si="9"/>
        <v>Weekday</v>
      </c>
      <c r="AD67" s="2" t="str">
        <f t="shared" si="10"/>
        <v>sarah.butler</v>
      </c>
      <c r="AE67" s="2" t="str">
        <f t="shared" si="11"/>
        <v>rediffmail</v>
      </c>
      <c r="AF67" s="2" t="str">
        <f t="shared" si="12"/>
        <v>Sarah Butler</v>
      </c>
      <c r="AG67" s="2" t="str">
        <f t="shared" si="13"/>
        <v>Sarah</v>
      </c>
      <c r="AH67" s="2" t="str">
        <f t="shared" si="14"/>
        <v>Butler</v>
      </c>
      <c r="AI67" s="2" t="str">
        <f t="shared" si="15"/>
        <v>Late</v>
      </c>
      <c r="AJ67" s="2" t="str">
        <f t="shared" si="16"/>
        <v>#NAME?</v>
      </c>
    </row>
    <row r="68" ht="14.25" customHeight="1">
      <c r="A68" s="2" t="s">
        <v>248</v>
      </c>
      <c r="B68" s="2" t="s">
        <v>249</v>
      </c>
      <c r="C68" s="2" t="s">
        <v>250</v>
      </c>
      <c r="D68" s="2">
        <v>60.0</v>
      </c>
      <c r="E68" s="2" t="s">
        <v>45</v>
      </c>
      <c r="F68" s="2" t="s">
        <v>23</v>
      </c>
      <c r="G68" s="2" t="s">
        <v>251</v>
      </c>
      <c r="H68" s="2" t="s">
        <v>2114</v>
      </c>
      <c r="I68" s="2" t="s">
        <v>252</v>
      </c>
      <c r="J68" s="2" t="s">
        <v>509</v>
      </c>
      <c r="K68" s="3">
        <v>45451.0</v>
      </c>
      <c r="L68" s="2" t="s">
        <v>510</v>
      </c>
      <c r="M68" s="2" t="s">
        <v>511</v>
      </c>
      <c r="N68" s="2">
        <v>441.03</v>
      </c>
      <c r="O68" s="2">
        <v>2.0</v>
      </c>
      <c r="P68" s="2" t="s">
        <v>89</v>
      </c>
      <c r="Q68" s="2">
        <v>3.0</v>
      </c>
      <c r="R68" s="2">
        <v>49.0</v>
      </c>
      <c r="S68" s="3">
        <v>45458.0</v>
      </c>
      <c r="T68" s="2" t="s">
        <v>512</v>
      </c>
      <c r="U68" s="2">
        <f t="shared" si="1"/>
        <v>7</v>
      </c>
      <c r="V68" s="2">
        <f t="shared" si="2"/>
        <v>17</v>
      </c>
      <c r="W68" s="2">
        <f t="shared" si="3"/>
        <v>882.06</v>
      </c>
      <c r="X68" s="2">
        <f t="shared" si="4"/>
        <v>931.06</v>
      </c>
      <c r="Y68" s="2">
        <f t="shared" si="5"/>
        <v>0</v>
      </c>
      <c r="Z68" s="2">
        <f t="shared" si="6"/>
        <v>882.06</v>
      </c>
      <c r="AA68" s="2">
        <f t="shared" si="7"/>
        <v>931.06</v>
      </c>
      <c r="AB68" s="2" t="str">
        <f t="shared" si="8"/>
        <v>Saturday</v>
      </c>
      <c r="AC68" s="2" t="str">
        <f t="shared" si="9"/>
        <v>Weekend</v>
      </c>
      <c r="AD68" s="2" t="str">
        <f t="shared" si="10"/>
        <v>ashley.rose</v>
      </c>
      <c r="AE68" s="2" t="str">
        <f t="shared" si="11"/>
        <v>gmail</v>
      </c>
      <c r="AF68" s="2" t="str">
        <f t="shared" si="12"/>
        <v>Ashley Rose</v>
      </c>
      <c r="AG68" s="2" t="str">
        <f t="shared" si="13"/>
        <v>Ashley</v>
      </c>
      <c r="AH68" s="2" t="str">
        <f t="shared" si="14"/>
        <v>Rose</v>
      </c>
      <c r="AI68" s="2" t="str">
        <f t="shared" si="15"/>
        <v>Late</v>
      </c>
      <c r="AJ68" s="2" t="str">
        <f t="shared" si="16"/>
        <v>#NAME?</v>
      </c>
    </row>
    <row r="69" ht="14.25" customHeight="1">
      <c r="A69" s="2" t="s">
        <v>513</v>
      </c>
      <c r="B69" s="2" t="s">
        <v>514</v>
      </c>
      <c r="C69" s="2" t="s">
        <v>515</v>
      </c>
      <c r="D69" s="2">
        <v>42.0</v>
      </c>
      <c r="E69" s="2" t="s">
        <v>45</v>
      </c>
      <c r="F69" s="2" t="s">
        <v>69</v>
      </c>
      <c r="G69" s="2" t="s">
        <v>516</v>
      </c>
      <c r="H69" s="2" t="s">
        <v>2142</v>
      </c>
      <c r="I69" s="2" t="s">
        <v>517</v>
      </c>
      <c r="J69" s="2" t="s">
        <v>518</v>
      </c>
      <c r="K69" s="3">
        <v>45322.0</v>
      </c>
      <c r="L69" s="2" t="s">
        <v>519</v>
      </c>
      <c r="M69" s="2" t="s">
        <v>423</v>
      </c>
      <c r="N69" s="2">
        <v>369.03</v>
      </c>
      <c r="O69" s="2">
        <v>4.0</v>
      </c>
      <c r="P69" s="2" t="s">
        <v>78</v>
      </c>
      <c r="Q69" s="2">
        <v>7.0</v>
      </c>
      <c r="R69" s="2">
        <v>52.0</v>
      </c>
      <c r="S69" s="3">
        <v>45327.0</v>
      </c>
      <c r="T69" s="2" t="s">
        <v>520</v>
      </c>
      <c r="U69" s="2">
        <f t="shared" si="1"/>
        <v>5</v>
      </c>
      <c r="V69" s="2">
        <f t="shared" si="2"/>
        <v>22</v>
      </c>
      <c r="W69" s="2">
        <f t="shared" si="3"/>
        <v>1476.12</v>
      </c>
      <c r="X69" s="2">
        <f t="shared" si="4"/>
        <v>1528.12</v>
      </c>
      <c r="Y69" s="2">
        <f t="shared" si="5"/>
        <v>0</v>
      </c>
      <c r="Z69" s="2">
        <f t="shared" si="6"/>
        <v>1476.12</v>
      </c>
      <c r="AA69" s="2">
        <f t="shared" si="7"/>
        <v>1528.12</v>
      </c>
      <c r="AB69" s="2" t="str">
        <f t="shared" si="8"/>
        <v>Wednesday</v>
      </c>
      <c r="AC69" s="2" t="str">
        <f t="shared" si="9"/>
        <v>Weekday</v>
      </c>
      <c r="AD69" s="2" t="str">
        <f t="shared" si="10"/>
        <v>katherine.weber</v>
      </c>
      <c r="AE69" s="2" t="str">
        <f t="shared" si="11"/>
        <v>outlook</v>
      </c>
      <c r="AF69" s="2" t="str">
        <f t="shared" si="12"/>
        <v>Katherine Weber</v>
      </c>
      <c r="AG69" s="2" t="str">
        <f t="shared" si="13"/>
        <v>Katherine</v>
      </c>
      <c r="AH69" s="2" t="str">
        <f t="shared" si="14"/>
        <v>Weber</v>
      </c>
      <c r="AI69" s="2" t="str">
        <f t="shared" si="15"/>
        <v>Before Time</v>
      </c>
      <c r="AJ69" s="2" t="str">
        <f t="shared" si="16"/>
        <v>#NAME?</v>
      </c>
    </row>
    <row r="70" ht="14.25" customHeight="1">
      <c r="A70" s="2" t="s">
        <v>521</v>
      </c>
      <c r="B70" s="2" t="s">
        <v>387</v>
      </c>
      <c r="C70" s="2" t="s">
        <v>522</v>
      </c>
      <c r="D70" s="2">
        <v>51.0</v>
      </c>
      <c r="E70" s="2" t="s">
        <v>45</v>
      </c>
      <c r="F70" s="2" t="s">
        <v>133</v>
      </c>
      <c r="G70" s="2" t="s">
        <v>523</v>
      </c>
      <c r="H70" s="2" t="s">
        <v>2143</v>
      </c>
      <c r="I70" s="2" t="s">
        <v>524</v>
      </c>
      <c r="J70" s="2" t="s">
        <v>525</v>
      </c>
      <c r="K70" s="3">
        <v>45277.0</v>
      </c>
      <c r="L70" s="2" t="s">
        <v>526</v>
      </c>
      <c r="M70" s="2" t="s">
        <v>349</v>
      </c>
      <c r="N70" s="2">
        <v>496.59</v>
      </c>
      <c r="O70" s="2">
        <v>4.0</v>
      </c>
      <c r="P70" s="2" t="s">
        <v>51</v>
      </c>
      <c r="Q70" s="2">
        <v>7.0</v>
      </c>
      <c r="R70" s="2">
        <v>36.0</v>
      </c>
      <c r="S70" s="3">
        <v>45280.0</v>
      </c>
      <c r="T70" s="2" t="s">
        <v>527</v>
      </c>
      <c r="U70" s="2">
        <f t="shared" si="1"/>
        <v>3</v>
      </c>
      <c r="V70" s="2">
        <f t="shared" si="2"/>
        <v>12</v>
      </c>
      <c r="W70" s="2">
        <f t="shared" si="3"/>
        <v>1986.36</v>
      </c>
      <c r="X70" s="2">
        <f t="shared" si="4"/>
        <v>2022.36</v>
      </c>
      <c r="Y70" s="2">
        <f t="shared" si="5"/>
        <v>0</v>
      </c>
      <c r="Z70" s="2">
        <f t="shared" si="6"/>
        <v>1986.36</v>
      </c>
      <c r="AA70" s="2">
        <f t="shared" si="7"/>
        <v>2022.36</v>
      </c>
      <c r="AB70" s="2" t="str">
        <f t="shared" si="8"/>
        <v>Sunday</v>
      </c>
      <c r="AC70" s="2" t="str">
        <f t="shared" si="9"/>
        <v>Weekend</v>
      </c>
      <c r="AD70" s="2" t="str">
        <f t="shared" si="10"/>
        <v>jason.nguyen</v>
      </c>
      <c r="AE70" s="2" t="str">
        <f t="shared" si="11"/>
        <v>yahoo</v>
      </c>
      <c r="AF70" s="2" t="str">
        <f t="shared" si="12"/>
        <v>Jason Nguyen</v>
      </c>
      <c r="AG70" s="2" t="str">
        <f t="shared" si="13"/>
        <v>Jason</v>
      </c>
      <c r="AH70" s="2" t="str">
        <f t="shared" si="14"/>
        <v>Nguyen</v>
      </c>
      <c r="AI70" s="2" t="str">
        <f t="shared" si="15"/>
        <v>Before Time</v>
      </c>
      <c r="AJ70" s="2" t="str">
        <f t="shared" si="16"/>
        <v>#NAME?</v>
      </c>
    </row>
    <row r="71" ht="14.25" customHeight="1">
      <c r="A71" s="2" t="s">
        <v>528</v>
      </c>
      <c r="B71" s="2" t="s">
        <v>529</v>
      </c>
      <c r="C71" s="2" t="s">
        <v>530</v>
      </c>
      <c r="D71" s="2">
        <v>32.0</v>
      </c>
      <c r="E71" s="2" t="s">
        <v>45</v>
      </c>
      <c r="F71" s="2" t="s">
        <v>83</v>
      </c>
      <c r="G71" s="2" t="s">
        <v>531</v>
      </c>
      <c r="H71" s="2" t="s">
        <v>2144</v>
      </c>
      <c r="I71" s="2" t="s">
        <v>532</v>
      </c>
      <c r="J71" s="2" t="s">
        <v>533</v>
      </c>
      <c r="K71" s="3">
        <v>45586.0</v>
      </c>
      <c r="L71" s="2" t="s">
        <v>534</v>
      </c>
      <c r="M71" s="2" t="s">
        <v>349</v>
      </c>
      <c r="N71" s="2">
        <v>496.59</v>
      </c>
      <c r="O71" s="2">
        <v>2.0</v>
      </c>
      <c r="P71" s="2" t="s">
        <v>29</v>
      </c>
      <c r="Q71" s="2">
        <v>5.0</v>
      </c>
      <c r="R71" s="2">
        <v>41.0</v>
      </c>
      <c r="S71" s="3">
        <v>45588.0</v>
      </c>
      <c r="T71" s="2" t="s">
        <v>535</v>
      </c>
      <c r="U71" s="2">
        <f t="shared" si="1"/>
        <v>2</v>
      </c>
      <c r="V71" s="2">
        <f t="shared" si="2"/>
        <v>15</v>
      </c>
      <c r="W71" s="2">
        <f t="shared" si="3"/>
        <v>993.18</v>
      </c>
      <c r="X71" s="2">
        <f t="shared" si="4"/>
        <v>1034.18</v>
      </c>
      <c r="Y71" s="2">
        <f t="shared" si="5"/>
        <v>0</v>
      </c>
      <c r="Z71" s="2">
        <f t="shared" si="6"/>
        <v>993.18</v>
      </c>
      <c r="AA71" s="2">
        <f t="shared" si="7"/>
        <v>1034.18</v>
      </c>
      <c r="AB71" s="2" t="str">
        <f t="shared" si="8"/>
        <v>Monday</v>
      </c>
      <c r="AC71" s="2" t="str">
        <f t="shared" si="9"/>
        <v>Weekday</v>
      </c>
      <c r="AD71" s="2" t="str">
        <f t="shared" si="10"/>
        <v>brandon.cruz</v>
      </c>
      <c r="AE71" s="2" t="str">
        <f t="shared" si="11"/>
        <v>gmail</v>
      </c>
      <c r="AF71" s="2" t="str">
        <f t="shared" si="12"/>
        <v>Brandon Cruz</v>
      </c>
      <c r="AG71" s="2" t="str">
        <f t="shared" si="13"/>
        <v>Brandon</v>
      </c>
      <c r="AH71" s="2" t="str">
        <f t="shared" si="14"/>
        <v>Cruz</v>
      </c>
      <c r="AI71" s="2" t="str">
        <f t="shared" si="15"/>
        <v>Before Time</v>
      </c>
      <c r="AJ71" s="2" t="str">
        <f t="shared" si="16"/>
        <v>#NAME?</v>
      </c>
    </row>
    <row r="72" ht="14.25" customHeight="1">
      <c r="A72" s="2" t="s">
        <v>19</v>
      </c>
      <c r="B72" s="2" t="s">
        <v>20</v>
      </c>
      <c r="C72" s="2" t="s">
        <v>21</v>
      </c>
      <c r="D72" s="2">
        <v>37.0</v>
      </c>
      <c r="E72" s="2" t="s">
        <v>22</v>
      </c>
      <c r="F72" s="2" t="s">
        <v>23</v>
      </c>
      <c r="G72" s="2" t="s">
        <v>24</v>
      </c>
      <c r="H72" s="2" t="s">
        <v>2092</v>
      </c>
      <c r="I72" s="2" t="s">
        <v>25</v>
      </c>
      <c r="J72" s="2" t="s">
        <v>536</v>
      </c>
      <c r="K72" s="3">
        <v>45567.0</v>
      </c>
      <c r="L72" s="2" t="s">
        <v>537</v>
      </c>
      <c r="M72" s="2" t="s">
        <v>28</v>
      </c>
      <c r="N72" s="2">
        <v>308.88</v>
      </c>
      <c r="O72" s="2">
        <v>1.0</v>
      </c>
      <c r="P72" s="2" t="s">
        <v>56</v>
      </c>
      <c r="Q72" s="2">
        <v>6.0</v>
      </c>
      <c r="R72" s="2">
        <v>62.0</v>
      </c>
      <c r="S72" s="3">
        <v>45569.0</v>
      </c>
      <c r="T72" s="2" t="s">
        <v>538</v>
      </c>
      <c r="U72" s="2">
        <f t="shared" si="1"/>
        <v>2</v>
      </c>
      <c r="V72" s="2">
        <f t="shared" si="2"/>
        <v>19</v>
      </c>
      <c r="W72" s="2">
        <f t="shared" si="3"/>
        <v>308.88</v>
      </c>
      <c r="X72" s="2">
        <f t="shared" si="4"/>
        <v>370.88</v>
      </c>
      <c r="Y72" s="2">
        <f t="shared" si="5"/>
        <v>0</v>
      </c>
      <c r="Z72" s="2">
        <f t="shared" si="6"/>
        <v>308.88</v>
      </c>
      <c r="AA72" s="2">
        <f t="shared" si="7"/>
        <v>308.88</v>
      </c>
      <c r="AB72" s="2" t="str">
        <f t="shared" si="8"/>
        <v>Wednesday</v>
      </c>
      <c r="AC72" s="2" t="str">
        <f t="shared" si="9"/>
        <v>Weekday</v>
      </c>
      <c r="AD72" s="2" t="str">
        <f t="shared" si="10"/>
        <v>anne.oconnell</v>
      </c>
      <c r="AE72" s="2" t="str">
        <f t="shared" si="11"/>
        <v>outlook</v>
      </c>
      <c r="AF72" s="2" t="str">
        <f t="shared" si="12"/>
        <v>Anne Oconnell</v>
      </c>
      <c r="AG72" s="2" t="str">
        <f t="shared" si="13"/>
        <v>Anne</v>
      </c>
      <c r="AH72" s="2" t="str">
        <f t="shared" si="14"/>
        <v>Oconnell</v>
      </c>
      <c r="AI72" s="2" t="str">
        <f t="shared" si="15"/>
        <v>Before Time</v>
      </c>
      <c r="AJ72" s="2" t="str">
        <f t="shared" si="16"/>
        <v>#NAME?</v>
      </c>
    </row>
    <row r="73" ht="14.25" customHeight="1">
      <c r="A73" s="2" t="s">
        <v>539</v>
      </c>
      <c r="B73" s="2" t="s">
        <v>540</v>
      </c>
      <c r="C73" s="2" t="s">
        <v>541</v>
      </c>
      <c r="D73" s="2">
        <v>33.0</v>
      </c>
      <c r="E73" s="2" t="s">
        <v>45</v>
      </c>
      <c r="F73" s="2" t="s">
        <v>161</v>
      </c>
      <c r="G73" s="2" t="s">
        <v>542</v>
      </c>
      <c r="H73" s="2" t="s">
        <v>2145</v>
      </c>
      <c r="I73" s="2" t="s">
        <v>543</v>
      </c>
      <c r="J73" s="2" t="s">
        <v>544</v>
      </c>
      <c r="K73" s="3">
        <v>45495.0</v>
      </c>
      <c r="L73" s="2" t="s">
        <v>545</v>
      </c>
      <c r="M73" s="2" t="s">
        <v>546</v>
      </c>
      <c r="N73" s="2">
        <v>425.59</v>
      </c>
      <c r="O73" s="2">
        <v>4.0</v>
      </c>
      <c r="P73" s="2" t="s">
        <v>56</v>
      </c>
      <c r="Q73" s="2">
        <v>6.0</v>
      </c>
      <c r="R73" s="2">
        <v>53.0</v>
      </c>
      <c r="S73" s="3">
        <v>45496.0</v>
      </c>
      <c r="T73" s="2" t="s">
        <v>547</v>
      </c>
      <c r="U73" s="2">
        <f t="shared" si="1"/>
        <v>1</v>
      </c>
      <c r="V73" s="2">
        <f t="shared" si="2"/>
        <v>21</v>
      </c>
      <c r="W73" s="2">
        <f t="shared" si="3"/>
        <v>1702.36</v>
      </c>
      <c r="X73" s="2">
        <f t="shared" si="4"/>
        <v>1755.36</v>
      </c>
      <c r="Y73" s="2">
        <f t="shared" si="5"/>
        <v>0</v>
      </c>
      <c r="Z73" s="2">
        <f t="shared" si="6"/>
        <v>1702.36</v>
      </c>
      <c r="AA73" s="2">
        <f t="shared" si="7"/>
        <v>1702.36</v>
      </c>
      <c r="AB73" s="2" t="str">
        <f t="shared" si="8"/>
        <v>Monday</v>
      </c>
      <c r="AC73" s="2" t="str">
        <f t="shared" si="9"/>
        <v>Weekday</v>
      </c>
      <c r="AD73" s="2" t="str">
        <f t="shared" si="10"/>
        <v>jodi.whitney</v>
      </c>
      <c r="AE73" s="2" t="str">
        <f t="shared" si="11"/>
        <v>yahoo</v>
      </c>
      <c r="AF73" s="2" t="str">
        <f t="shared" si="12"/>
        <v>Jodi Whitney</v>
      </c>
      <c r="AG73" s="2" t="str">
        <f t="shared" si="13"/>
        <v>Jodi</v>
      </c>
      <c r="AH73" s="2" t="str">
        <f t="shared" si="14"/>
        <v>Whitney</v>
      </c>
      <c r="AI73" s="2" t="str">
        <f t="shared" si="15"/>
        <v>Before Time</v>
      </c>
      <c r="AJ73" s="2" t="str">
        <f t="shared" si="16"/>
        <v>#NAME?</v>
      </c>
    </row>
    <row r="74" ht="14.25" customHeight="1">
      <c r="A74" s="2" t="s">
        <v>210</v>
      </c>
      <c r="B74" s="2" t="s">
        <v>211</v>
      </c>
      <c r="C74" s="2" t="s">
        <v>212</v>
      </c>
      <c r="D74" s="2">
        <v>33.0</v>
      </c>
      <c r="E74" s="2" t="s">
        <v>45</v>
      </c>
      <c r="F74" s="2" t="s">
        <v>213</v>
      </c>
      <c r="G74" s="2" t="s">
        <v>214</v>
      </c>
      <c r="H74" s="2" t="s">
        <v>2111</v>
      </c>
      <c r="I74" s="2" t="s">
        <v>215</v>
      </c>
      <c r="J74" s="2" t="s">
        <v>548</v>
      </c>
      <c r="K74" s="3">
        <v>45355.0</v>
      </c>
      <c r="L74" s="2" t="s">
        <v>549</v>
      </c>
      <c r="M74" s="2" t="s">
        <v>28</v>
      </c>
      <c r="N74" s="2">
        <v>308.88</v>
      </c>
      <c r="O74" s="2">
        <v>1.0</v>
      </c>
      <c r="P74" s="2" t="s">
        <v>89</v>
      </c>
      <c r="Q74" s="2">
        <v>1.0</v>
      </c>
      <c r="R74" s="2">
        <v>56.0</v>
      </c>
      <c r="S74" s="3">
        <v>45360.0</v>
      </c>
      <c r="T74" s="2" t="s">
        <v>550</v>
      </c>
      <c r="U74" s="2">
        <f t="shared" si="1"/>
        <v>5</v>
      </c>
      <c r="V74" s="2">
        <f t="shared" si="2"/>
        <v>5</v>
      </c>
      <c r="W74" s="2">
        <f t="shared" si="3"/>
        <v>308.88</v>
      </c>
      <c r="X74" s="2">
        <f t="shared" si="4"/>
        <v>364.88</v>
      </c>
      <c r="Y74" s="2">
        <f t="shared" si="5"/>
        <v>0</v>
      </c>
      <c r="Z74" s="2">
        <f t="shared" si="6"/>
        <v>308.88</v>
      </c>
      <c r="AA74" s="2">
        <f t="shared" si="7"/>
        <v>364.88</v>
      </c>
      <c r="AB74" s="2" t="str">
        <f t="shared" si="8"/>
        <v>Monday</v>
      </c>
      <c r="AC74" s="2" t="str">
        <f t="shared" si="9"/>
        <v>Weekday</v>
      </c>
      <c r="AD74" s="2" t="str">
        <f t="shared" si="10"/>
        <v>mark.henderson</v>
      </c>
      <c r="AE74" s="2" t="str">
        <f t="shared" si="11"/>
        <v>yahoo</v>
      </c>
      <c r="AF74" s="2" t="str">
        <f t="shared" si="12"/>
        <v>Mark Henderson</v>
      </c>
      <c r="AG74" s="2" t="str">
        <f t="shared" si="13"/>
        <v>Mark</v>
      </c>
      <c r="AH74" s="2" t="str">
        <f t="shared" si="14"/>
        <v>Henderson</v>
      </c>
      <c r="AI74" s="2" t="str">
        <f t="shared" si="15"/>
        <v>Late</v>
      </c>
      <c r="AJ74" s="2" t="str">
        <f t="shared" si="16"/>
        <v>#NAME?</v>
      </c>
    </row>
    <row r="75" ht="14.25" customHeight="1">
      <c r="A75" s="2" t="s">
        <v>443</v>
      </c>
      <c r="B75" s="2" t="s">
        <v>444</v>
      </c>
      <c r="C75" s="2" t="s">
        <v>445</v>
      </c>
      <c r="D75" s="2">
        <v>69.0</v>
      </c>
      <c r="E75" s="2" t="s">
        <v>22</v>
      </c>
      <c r="F75" s="2" t="s">
        <v>23</v>
      </c>
      <c r="G75" s="2" t="s">
        <v>446</v>
      </c>
      <c r="H75" s="2" t="s">
        <v>2134</v>
      </c>
      <c r="I75" s="2" t="s">
        <v>447</v>
      </c>
      <c r="J75" s="2" t="s">
        <v>551</v>
      </c>
      <c r="K75" s="3">
        <v>45132.0</v>
      </c>
      <c r="L75" s="2" t="s">
        <v>552</v>
      </c>
      <c r="M75" s="2" t="s">
        <v>376</v>
      </c>
      <c r="N75" s="2">
        <v>431.44</v>
      </c>
      <c r="O75" s="2">
        <v>5.0</v>
      </c>
      <c r="P75" s="2" t="s">
        <v>51</v>
      </c>
      <c r="Q75" s="2">
        <v>6.0</v>
      </c>
      <c r="R75" s="2">
        <v>59.0</v>
      </c>
      <c r="S75" s="3">
        <v>45139.0</v>
      </c>
      <c r="T75" s="2" t="s">
        <v>553</v>
      </c>
      <c r="U75" s="2">
        <f t="shared" si="1"/>
        <v>7</v>
      </c>
      <c r="V75" s="2">
        <f t="shared" si="2"/>
        <v>17</v>
      </c>
      <c r="W75" s="2">
        <f t="shared" si="3"/>
        <v>2157.2</v>
      </c>
      <c r="X75" s="2">
        <f t="shared" si="4"/>
        <v>2216.2</v>
      </c>
      <c r="Y75" s="2">
        <f t="shared" si="5"/>
        <v>0</v>
      </c>
      <c r="Z75" s="2">
        <f t="shared" si="6"/>
        <v>2157.2</v>
      </c>
      <c r="AA75" s="2">
        <f t="shared" si="7"/>
        <v>2216.2</v>
      </c>
      <c r="AB75" s="2" t="str">
        <f t="shared" si="8"/>
        <v>Tuesday</v>
      </c>
      <c r="AC75" s="2" t="str">
        <f t="shared" si="9"/>
        <v>Weekday</v>
      </c>
      <c r="AD75" s="2" t="str">
        <f t="shared" si="10"/>
        <v>brian.kennedy</v>
      </c>
      <c r="AE75" s="2" t="str">
        <f t="shared" si="11"/>
        <v>outlook</v>
      </c>
      <c r="AF75" s="2" t="str">
        <f t="shared" si="12"/>
        <v>Brian Kennedy</v>
      </c>
      <c r="AG75" s="2" t="str">
        <f t="shared" si="13"/>
        <v>Brian</v>
      </c>
      <c r="AH75" s="2" t="str">
        <f t="shared" si="14"/>
        <v>Kennedy</v>
      </c>
      <c r="AI75" s="2" t="str">
        <f t="shared" si="15"/>
        <v>Late</v>
      </c>
      <c r="AJ75" s="2" t="str">
        <f t="shared" si="16"/>
        <v>#NAME?</v>
      </c>
    </row>
    <row r="76" ht="14.25" customHeight="1">
      <c r="A76" s="2" t="s">
        <v>443</v>
      </c>
      <c r="B76" s="2" t="s">
        <v>444</v>
      </c>
      <c r="C76" s="2" t="s">
        <v>445</v>
      </c>
      <c r="D76" s="2">
        <v>69.0</v>
      </c>
      <c r="E76" s="2" t="s">
        <v>22</v>
      </c>
      <c r="F76" s="2" t="s">
        <v>23</v>
      </c>
      <c r="G76" s="2" t="s">
        <v>446</v>
      </c>
      <c r="H76" s="2" t="s">
        <v>2134</v>
      </c>
      <c r="I76" s="2" t="s">
        <v>447</v>
      </c>
      <c r="J76" s="2" t="s">
        <v>554</v>
      </c>
      <c r="K76" s="3">
        <v>45650.0</v>
      </c>
      <c r="L76" s="2" t="s">
        <v>555</v>
      </c>
      <c r="M76" s="2" t="s">
        <v>556</v>
      </c>
      <c r="N76" s="2">
        <v>133.62</v>
      </c>
      <c r="O76" s="2">
        <v>2.0</v>
      </c>
      <c r="P76" s="2" t="s">
        <v>89</v>
      </c>
      <c r="Q76" s="2">
        <v>4.0</v>
      </c>
      <c r="R76" s="2">
        <v>50.0</v>
      </c>
      <c r="S76" s="3">
        <v>45651.0</v>
      </c>
      <c r="T76" s="2" t="s">
        <v>557</v>
      </c>
      <c r="U76" s="2">
        <f t="shared" si="1"/>
        <v>1</v>
      </c>
      <c r="V76" s="2">
        <f t="shared" si="2"/>
        <v>23</v>
      </c>
      <c r="W76" s="2">
        <f t="shared" si="3"/>
        <v>267.24</v>
      </c>
      <c r="X76" s="2">
        <f t="shared" si="4"/>
        <v>317.24</v>
      </c>
      <c r="Y76" s="2">
        <f t="shared" si="5"/>
        <v>0</v>
      </c>
      <c r="Z76" s="2">
        <f t="shared" si="6"/>
        <v>267.24</v>
      </c>
      <c r="AA76" s="2">
        <f t="shared" si="7"/>
        <v>317.24</v>
      </c>
      <c r="AB76" s="2" t="str">
        <f t="shared" si="8"/>
        <v>Tuesday</v>
      </c>
      <c r="AC76" s="2" t="str">
        <f t="shared" si="9"/>
        <v>Weekday</v>
      </c>
      <c r="AD76" s="2" t="str">
        <f t="shared" si="10"/>
        <v>brian.kennedy</v>
      </c>
      <c r="AE76" s="2" t="str">
        <f t="shared" si="11"/>
        <v>outlook</v>
      </c>
      <c r="AF76" s="2" t="str">
        <f t="shared" si="12"/>
        <v>Brian Kennedy</v>
      </c>
      <c r="AG76" s="2" t="str">
        <f t="shared" si="13"/>
        <v>Brian</v>
      </c>
      <c r="AH76" s="2" t="str">
        <f t="shared" si="14"/>
        <v>Kennedy</v>
      </c>
      <c r="AI76" s="2" t="str">
        <f t="shared" si="15"/>
        <v>Before Time</v>
      </c>
      <c r="AJ76" s="2" t="str">
        <f t="shared" si="16"/>
        <v>#NAME?</v>
      </c>
    </row>
    <row r="77" ht="14.25" customHeight="1">
      <c r="A77" s="2" t="s">
        <v>273</v>
      </c>
      <c r="B77" s="2" t="s">
        <v>274</v>
      </c>
      <c r="C77" s="2" t="s">
        <v>275</v>
      </c>
      <c r="D77" s="2">
        <v>64.0</v>
      </c>
      <c r="E77" s="2" t="s">
        <v>45</v>
      </c>
      <c r="F77" s="2" t="s">
        <v>23</v>
      </c>
      <c r="G77" s="2" t="s">
        <v>276</v>
      </c>
      <c r="H77" s="2" t="s">
        <v>2117</v>
      </c>
      <c r="I77" s="2" t="s">
        <v>277</v>
      </c>
      <c r="J77" s="2" t="s">
        <v>558</v>
      </c>
      <c r="K77" s="3">
        <v>45459.0</v>
      </c>
      <c r="L77" s="2" t="s">
        <v>559</v>
      </c>
      <c r="M77" s="2" t="s">
        <v>88</v>
      </c>
      <c r="N77" s="2">
        <v>363.64</v>
      </c>
      <c r="O77" s="2">
        <v>3.0</v>
      </c>
      <c r="P77" s="2" t="s">
        <v>56</v>
      </c>
      <c r="Q77" s="2">
        <v>7.0</v>
      </c>
      <c r="R77" s="2">
        <v>41.0</v>
      </c>
      <c r="S77" s="3">
        <v>45461.0</v>
      </c>
      <c r="T77" s="2" t="s">
        <v>560</v>
      </c>
      <c r="U77" s="2">
        <f t="shared" si="1"/>
        <v>2</v>
      </c>
      <c r="V77" s="2">
        <f t="shared" si="2"/>
        <v>3</v>
      </c>
      <c r="W77" s="2">
        <f t="shared" si="3"/>
        <v>1090.92</v>
      </c>
      <c r="X77" s="2">
        <f t="shared" si="4"/>
        <v>1131.92</v>
      </c>
      <c r="Y77" s="2">
        <f t="shared" si="5"/>
        <v>0</v>
      </c>
      <c r="Z77" s="2">
        <f t="shared" si="6"/>
        <v>1090.92</v>
      </c>
      <c r="AA77" s="2">
        <f t="shared" si="7"/>
        <v>1090.92</v>
      </c>
      <c r="AB77" s="2" t="str">
        <f t="shared" si="8"/>
        <v>Sunday</v>
      </c>
      <c r="AC77" s="2" t="str">
        <f t="shared" si="9"/>
        <v>Weekend</v>
      </c>
      <c r="AD77" s="2" t="str">
        <f t="shared" si="10"/>
        <v>teresa.harvey</v>
      </c>
      <c r="AE77" s="2" t="str">
        <f t="shared" si="11"/>
        <v>gmail</v>
      </c>
      <c r="AF77" s="2" t="str">
        <f t="shared" si="12"/>
        <v>Teresa Harvey</v>
      </c>
      <c r="AG77" s="2" t="str">
        <f t="shared" si="13"/>
        <v>Teresa</v>
      </c>
      <c r="AH77" s="2" t="str">
        <f t="shared" si="14"/>
        <v>Harvey</v>
      </c>
      <c r="AI77" s="2" t="str">
        <f t="shared" si="15"/>
        <v>Before Time</v>
      </c>
      <c r="AJ77" s="2" t="str">
        <f t="shared" si="16"/>
        <v>#NAME?</v>
      </c>
    </row>
    <row r="78" ht="14.25" customHeight="1">
      <c r="A78" s="2" t="s">
        <v>31</v>
      </c>
      <c r="B78" s="2" t="s">
        <v>32</v>
      </c>
      <c r="C78" s="2" t="s">
        <v>33</v>
      </c>
      <c r="D78" s="2">
        <v>53.0</v>
      </c>
      <c r="E78" s="2" t="s">
        <v>34</v>
      </c>
      <c r="F78" s="2" t="s">
        <v>35</v>
      </c>
      <c r="G78" s="2" t="s">
        <v>36</v>
      </c>
      <c r="H78" s="2" t="s">
        <v>2093</v>
      </c>
      <c r="I78" s="2" t="s">
        <v>37</v>
      </c>
      <c r="J78" s="2" t="s">
        <v>561</v>
      </c>
      <c r="K78" s="3">
        <v>45041.0</v>
      </c>
      <c r="L78" s="2" t="s">
        <v>562</v>
      </c>
      <c r="M78" s="2" t="s">
        <v>243</v>
      </c>
      <c r="N78" s="2">
        <v>128.14</v>
      </c>
      <c r="O78" s="2">
        <v>1.0</v>
      </c>
      <c r="P78" s="2" t="s">
        <v>29</v>
      </c>
      <c r="Q78" s="2">
        <v>7.0</v>
      </c>
      <c r="R78" s="2">
        <v>70.0</v>
      </c>
      <c r="S78" s="3">
        <v>45045.0</v>
      </c>
      <c r="T78" s="2" t="s">
        <v>563</v>
      </c>
      <c r="U78" s="2">
        <f t="shared" si="1"/>
        <v>4</v>
      </c>
      <c r="V78" s="2">
        <f t="shared" si="2"/>
        <v>4</v>
      </c>
      <c r="W78" s="2">
        <f t="shared" si="3"/>
        <v>128.14</v>
      </c>
      <c r="X78" s="2">
        <f t="shared" si="4"/>
        <v>198.14</v>
      </c>
      <c r="Y78" s="2">
        <f t="shared" si="5"/>
        <v>0</v>
      </c>
      <c r="Z78" s="2">
        <f t="shared" si="6"/>
        <v>128.14</v>
      </c>
      <c r="AA78" s="2">
        <f t="shared" si="7"/>
        <v>198.14</v>
      </c>
      <c r="AB78" s="2" t="str">
        <f t="shared" si="8"/>
        <v>Tuesday</v>
      </c>
      <c r="AC78" s="2" t="str">
        <f t="shared" si="9"/>
        <v>Weekday</v>
      </c>
      <c r="AD78" s="2" t="str">
        <f t="shared" si="10"/>
        <v>anthony.thomas</v>
      </c>
      <c r="AE78" s="2" t="str">
        <f t="shared" si="11"/>
        <v>rediffmail</v>
      </c>
      <c r="AF78" s="2" t="str">
        <f t="shared" si="12"/>
        <v>Anthony Thomas</v>
      </c>
      <c r="AG78" s="2" t="str">
        <f t="shared" si="13"/>
        <v>Anthony</v>
      </c>
      <c r="AH78" s="2" t="str">
        <f t="shared" si="14"/>
        <v>Thomas</v>
      </c>
      <c r="AI78" s="2" t="str">
        <f t="shared" si="15"/>
        <v>Before Time</v>
      </c>
      <c r="AJ78" s="2" t="str">
        <f t="shared" si="16"/>
        <v>#NAME?</v>
      </c>
    </row>
    <row r="79" ht="14.25" customHeight="1">
      <c r="A79" s="2" t="s">
        <v>378</v>
      </c>
      <c r="B79" s="2" t="s">
        <v>379</v>
      </c>
      <c r="C79" s="2" t="s">
        <v>380</v>
      </c>
      <c r="D79" s="2">
        <v>47.0</v>
      </c>
      <c r="E79" s="2" t="s">
        <v>34</v>
      </c>
      <c r="F79" s="2" t="s">
        <v>83</v>
      </c>
      <c r="G79" s="2" t="s">
        <v>381</v>
      </c>
      <c r="H79" s="2" t="s">
        <v>2127</v>
      </c>
      <c r="I79" s="2" t="s">
        <v>382</v>
      </c>
      <c r="J79" s="2" t="s">
        <v>564</v>
      </c>
      <c r="K79" s="3">
        <v>45683.0</v>
      </c>
      <c r="L79" s="2" t="s">
        <v>565</v>
      </c>
      <c r="M79" s="2" t="s">
        <v>566</v>
      </c>
      <c r="N79" s="2">
        <v>477.52</v>
      </c>
      <c r="O79" s="2">
        <v>2.0</v>
      </c>
      <c r="P79" s="2" t="s">
        <v>29</v>
      </c>
      <c r="Q79" s="2">
        <v>6.0</v>
      </c>
      <c r="R79" s="2">
        <v>55.0</v>
      </c>
      <c r="S79" s="3">
        <v>45685.0</v>
      </c>
      <c r="T79" s="2" t="s">
        <v>567</v>
      </c>
      <c r="U79" s="2">
        <f t="shared" si="1"/>
        <v>2</v>
      </c>
      <c r="V79" s="2">
        <f t="shared" si="2"/>
        <v>23</v>
      </c>
      <c r="W79" s="2">
        <f t="shared" si="3"/>
        <v>955.04</v>
      </c>
      <c r="X79" s="2">
        <f t="shared" si="4"/>
        <v>1010.04</v>
      </c>
      <c r="Y79" s="2">
        <f t="shared" si="5"/>
        <v>0</v>
      </c>
      <c r="Z79" s="2">
        <f t="shared" si="6"/>
        <v>955.04</v>
      </c>
      <c r="AA79" s="2">
        <f t="shared" si="7"/>
        <v>1010.04</v>
      </c>
      <c r="AB79" s="2" t="str">
        <f t="shared" si="8"/>
        <v>Sunday</v>
      </c>
      <c r="AC79" s="2" t="str">
        <f t="shared" si="9"/>
        <v>Weekend</v>
      </c>
      <c r="AD79" s="2" t="str">
        <f t="shared" si="10"/>
        <v>aaron.thompson</v>
      </c>
      <c r="AE79" s="2" t="str">
        <f t="shared" si="11"/>
        <v>gmail</v>
      </c>
      <c r="AF79" s="2" t="str">
        <f t="shared" si="12"/>
        <v>Aaron Thompson</v>
      </c>
      <c r="AG79" s="2" t="str">
        <f t="shared" si="13"/>
        <v>Aaron</v>
      </c>
      <c r="AH79" s="2" t="str">
        <f t="shared" si="14"/>
        <v>Thompson</v>
      </c>
      <c r="AI79" s="2" t="str">
        <f t="shared" si="15"/>
        <v>Before Time</v>
      </c>
      <c r="AJ79" s="2" t="str">
        <f t="shared" si="16"/>
        <v>#NAME?</v>
      </c>
    </row>
    <row r="80" ht="14.25" customHeight="1">
      <c r="A80" s="2" t="s">
        <v>568</v>
      </c>
      <c r="B80" s="2" t="s">
        <v>249</v>
      </c>
      <c r="C80" s="2" t="s">
        <v>569</v>
      </c>
      <c r="D80" s="2">
        <v>35.0</v>
      </c>
      <c r="E80" s="2" t="s">
        <v>22</v>
      </c>
      <c r="F80" s="2" t="s">
        <v>23</v>
      </c>
      <c r="G80" s="2" t="s">
        <v>570</v>
      </c>
      <c r="H80" s="2" t="s">
        <v>2146</v>
      </c>
      <c r="I80" s="2" t="s">
        <v>571</v>
      </c>
      <c r="J80" s="2" t="s">
        <v>572</v>
      </c>
      <c r="K80" s="3">
        <v>45054.0</v>
      </c>
      <c r="L80" s="2" t="s">
        <v>573</v>
      </c>
      <c r="M80" s="2" t="s">
        <v>235</v>
      </c>
      <c r="N80" s="2">
        <v>126.19</v>
      </c>
      <c r="O80" s="2">
        <v>3.0</v>
      </c>
      <c r="P80" s="2" t="s">
        <v>56</v>
      </c>
      <c r="Q80" s="2">
        <v>5.0</v>
      </c>
      <c r="R80" s="2">
        <v>40.0</v>
      </c>
      <c r="S80" s="3">
        <v>45058.0</v>
      </c>
      <c r="T80" s="2" t="s">
        <v>574</v>
      </c>
      <c r="U80" s="2">
        <f t="shared" si="1"/>
        <v>4</v>
      </c>
      <c r="V80" s="2">
        <f t="shared" si="2"/>
        <v>18</v>
      </c>
      <c r="W80" s="2">
        <f t="shared" si="3"/>
        <v>378.57</v>
      </c>
      <c r="X80" s="2">
        <f t="shared" si="4"/>
        <v>418.57</v>
      </c>
      <c r="Y80" s="2">
        <f t="shared" si="5"/>
        <v>0</v>
      </c>
      <c r="Z80" s="2">
        <f t="shared" si="6"/>
        <v>378.57</v>
      </c>
      <c r="AA80" s="2">
        <f t="shared" si="7"/>
        <v>378.57</v>
      </c>
      <c r="AB80" s="2" t="str">
        <f t="shared" si="8"/>
        <v>Monday</v>
      </c>
      <c r="AC80" s="2" t="str">
        <f t="shared" si="9"/>
        <v>Weekday</v>
      </c>
      <c r="AD80" s="2" t="str">
        <f t="shared" si="10"/>
        <v>ashley.romero</v>
      </c>
      <c r="AE80" s="2" t="str">
        <f t="shared" si="11"/>
        <v>yahoo</v>
      </c>
      <c r="AF80" s="2" t="str">
        <f t="shared" si="12"/>
        <v>Ashley Romero</v>
      </c>
      <c r="AG80" s="2" t="str">
        <f t="shared" si="13"/>
        <v>Ashley</v>
      </c>
      <c r="AH80" s="2" t="str">
        <f t="shared" si="14"/>
        <v>Romero</v>
      </c>
      <c r="AI80" s="2" t="str">
        <f t="shared" si="15"/>
        <v>Before Time</v>
      </c>
      <c r="AJ80" s="2" t="str">
        <f t="shared" si="16"/>
        <v>#NAME?</v>
      </c>
    </row>
    <row r="81" ht="14.25" customHeight="1">
      <c r="A81" s="2" t="s">
        <v>405</v>
      </c>
      <c r="B81" s="2" t="s">
        <v>221</v>
      </c>
      <c r="C81" s="2" t="s">
        <v>406</v>
      </c>
      <c r="D81" s="2">
        <v>28.0</v>
      </c>
      <c r="E81" s="2" t="s">
        <v>45</v>
      </c>
      <c r="F81" s="2" t="s">
        <v>133</v>
      </c>
      <c r="G81" s="2" t="s">
        <v>407</v>
      </c>
      <c r="H81" s="2" t="s">
        <v>2130</v>
      </c>
      <c r="I81" s="2" t="s">
        <v>408</v>
      </c>
      <c r="J81" s="2" t="s">
        <v>575</v>
      </c>
      <c r="K81" s="3">
        <v>45443.0</v>
      </c>
      <c r="L81" s="2" t="s">
        <v>576</v>
      </c>
      <c r="M81" s="2" t="s">
        <v>316</v>
      </c>
      <c r="N81" s="2">
        <v>481.48</v>
      </c>
      <c r="O81" s="2">
        <v>4.0</v>
      </c>
      <c r="P81" s="2" t="s">
        <v>89</v>
      </c>
      <c r="Q81" s="2">
        <v>1.0</v>
      </c>
      <c r="R81" s="2">
        <v>36.0</v>
      </c>
      <c r="S81" s="3">
        <v>45447.0</v>
      </c>
      <c r="T81" s="2" t="s">
        <v>577</v>
      </c>
      <c r="U81" s="2">
        <f t="shared" si="1"/>
        <v>4</v>
      </c>
      <c r="V81" s="2">
        <f t="shared" si="2"/>
        <v>10</v>
      </c>
      <c r="W81" s="2">
        <f t="shared" si="3"/>
        <v>1925.92</v>
      </c>
      <c r="X81" s="2">
        <f t="shared" si="4"/>
        <v>1961.92</v>
      </c>
      <c r="Y81" s="2">
        <f t="shared" si="5"/>
        <v>0</v>
      </c>
      <c r="Z81" s="2">
        <f t="shared" si="6"/>
        <v>1925.92</v>
      </c>
      <c r="AA81" s="2">
        <f t="shared" si="7"/>
        <v>1961.92</v>
      </c>
      <c r="AB81" s="2" t="str">
        <f t="shared" si="8"/>
        <v>Friday</v>
      </c>
      <c r="AC81" s="2" t="str">
        <f t="shared" si="9"/>
        <v>Weekday</v>
      </c>
      <c r="AD81" s="2" t="str">
        <f t="shared" si="10"/>
        <v>john.ramirez</v>
      </c>
      <c r="AE81" s="2" t="str">
        <f t="shared" si="11"/>
        <v>outlook</v>
      </c>
      <c r="AF81" s="2" t="str">
        <f t="shared" si="12"/>
        <v>John Ramirez</v>
      </c>
      <c r="AG81" s="2" t="str">
        <f t="shared" si="13"/>
        <v>John</v>
      </c>
      <c r="AH81" s="2" t="str">
        <f t="shared" si="14"/>
        <v>Ramirez</v>
      </c>
      <c r="AI81" s="2" t="str">
        <f t="shared" si="15"/>
        <v>Late</v>
      </c>
      <c r="AJ81" s="2" t="str">
        <f t="shared" si="16"/>
        <v>#NAME?</v>
      </c>
    </row>
    <row r="82" ht="14.25" customHeight="1">
      <c r="A82" s="2" t="s">
        <v>468</v>
      </c>
      <c r="B82" s="2" t="s">
        <v>101</v>
      </c>
      <c r="C82" s="2" t="s">
        <v>469</v>
      </c>
      <c r="D82" s="2">
        <v>33.0</v>
      </c>
      <c r="E82" s="2" t="s">
        <v>22</v>
      </c>
      <c r="F82" s="2" t="s">
        <v>161</v>
      </c>
      <c r="G82" s="2" t="s">
        <v>470</v>
      </c>
      <c r="H82" s="2" t="s">
        <v>2137</v>
      </c>
      <c r="I82" s="2" t="s">
        <v>471</v>
      </c>
      <c r="J82" s="2" t="s">
        <v>578</v>
      </c>
      <c r="K82" s="3">
        <v>45675.0</v>
      </c>
      <c r="L82" s="2" t="s">
        <v>579</v>
      </c>
      <c r="M82" s="2" t="s">
        <v>28</v>
      </c>
      <c r="N82" s="2">
        <v>308.88</v>
      </c>
      <c r="O82" s="2">
        <v>3.0</v>
      </c>
      <c r="P82" s="2" t="s">
        <v>51</v>
      </c>
      <c r="Q82" s="2">
        <v>4.0</v>
      </c>
      <c r="R82" s="2">
        <v>48.0</v>
      </c>
      <c r="S82" s="3">
        <v>45678.0</v>
      </c>
      <c r="T82" s="2" t="s">
        <v>580</v>
      </c>
      <c r="U82" s="2">
        <f t="shared" si="1"/>
        <v>3</v>
      </c>
      <c r="V82" s="2">
        <f t="shared" si="2"/>
        <v>19</v>
      </c>
      <c r="W82" s="2">
        <f t="shared" si="3"/>
        <v>926.64</v>
      </c>
      <c r="X82" s="2">
        <f t="shared" si="4"/>
        <v>974.64</v>
      </c>
      <c r="Y82" s="2">
        <f t="shared" si="5"/>
        <v>0</v>
      </c>
      <c r="Z82" s="2">
        <f t="shared" si="6"/>
        <v>926.64</v>
      </c>
      <c r="AA82" s="2">
        <f t="shared" si="7"/>
        <v>974.64</v>
      </c>
      <c r="AB82" s="2" t="str">
        <f t="shared" si="8"/>
        <v>Saturday</v>
      </c>
      <c r="AC82" s="2" t="str">
        <f t="shared" si="9"/>
        <v>Weekend</v>
      </c>
      <c r="AD82" s="2" t="str">
        <f t="shared" si="10"/>
        <v>debra.hayes</v>
      </c>
      <c r="AE82" s="2" t="str">
        <f t="shared" si="11"/>
        <v>yahoo</v>
      </c>
      <c r="AF82" s="2" t="str">
        <f t="shared" si="12"/>
        <v>Debra Hayes</v>
      </c>
      <c r="AG82" s="2" t="str">
        <f t="shared" si="13"/>
        <v>Debra</v>
      </c>
      <c r="AH82" s="2" t="str">
        <f t="shared" si="14"/>
        <v>Hayes</v>
      </c>
      <c r="AI82" s="2" t="str">
        <f t="shared" si="15"/>
        <v>Before Time</v>
      </c>
      <c r="AJ82" s="2" t="str">
        <f t="shared" si="16"/>
        <v>#NAME?</v>
      </c>
    </row>
    <row r="83" ht="14.25" customHeight="1">
      <c r="A83" s="2" t="s">
        <v>202</v>
      </c>
      <c r="B83" s="2" t="s">
        <v>203</v>
      </c>
      <c r="C83" s="2" t="s">
        <v>204</v>
      </c>
      <c r="D83" s="2">
        <v>39.0</v>
      </c>
      <c r="E83" s="2" t="s">
        <v>34</v>
      </c>
      <c r="F83" s="2" t="s">
        <v>152</v>
      </c>
      <c r="G83" s="2" t="s">
        <v>205</v>
      </c>
      <c r="H83" s="2" t="s">
        <v>2110</v>
      </c>
      <c r="I83" s="2" t="s">
        <v>206</v>
      </c>
      <c r="J83" s="2" t="s">
        <v>581</v>
      </c>
      <c r="K83" s="3">
        <v>45525.0</v>
      </c>
      <c r="L83" s="2" t="s">
        <v>582</v>
      </c>
      <c r="M83" s="2" t="s">
        <v>583</v>
      </c>
      <c r="N83" s="2">
        <v>403.03</v>
      </c>
      <c r="O83" s="2">
        <v>1.0</v>
      </c>
      <c r="P83" s="2" t="s">
        <v>78</v>
      </c>
      <c r="Q83" s="2">
        <v>3.0</v>
      </c>
      <c r="R83" s="2">
        <v>52.0</v>
      </c>
      <c r="S83" s="3">
        <v>45526.0</v>
      </c>
      <c r="T83" s="2" t="s">
        <v>584</v>
      </c>
      <c r="U83" s="2">
        <f t="shared" si="1"/>
        <v>1</v>
      </c>
      <c r="V83" s="2">
        <f t="shared" si="2"/>
        <v>2</v>
      </c>
      <c r="W83" s="2">
        <f t="shared" si="3"/>
        <v>403.03</v>
      </c>
      <c r="X83" s="2">
        <f t="shared" si="4"/>
        <v>455.03</v>
      </c>
      <c r="Y83" s="2">
        <f t="shared" si="5"/>
        <v>0</v>
      </c>
      <c r="Z83" s="2">
        <f t="shared" si="6"/>
        <v>403.03</v>
      </c>
      <c r="AA83" s="2">
        <f t="shared" si="7"/>
        <v>455.03</v>
      </c>
      <c r="AB83" s="2" t="str">
        <f t="shared" si="8"/>
        <v>Wednesday</v>
      </c>
      <c r="AC83" s="2" t="str">
        <f t="shared" si="9"/>
        <v>Weekday</v>
      </c>
      <c r="AD83" s="2" t="str">
        <f t="shared" si="10"/>
        <v>christian.clayton</v>
      </c>
      <c r="AE83" s="2" t="str">
        <f t="shared" si="11"/>
        <v>yahoo</v>
      </c>
      <c r="AF83" s="2" t="str">
        <f t="shared" si="12"/>
        <v>Christian Clayton</v>
      </c>
      <c r="AG83" s="2" t="str">
        <f t="shared" si="13"/>
        <v>Christian</v>
      </c>
      <c r="AH83" s="2" t="str">
        <f t="shared" si="14"/>
        <v>Clayton</v>
      </c>
      <c r="AI83" s="2" t="str">
        <f t="shared" si="15"/>
        <v>Before Time</v>
      </c>
      <c r="AJ83" s="2" t="str">
        <f t="shared" si="16"/>
        <v>#NAME?</v>
      </c>
    </row>
    <row r="84" ht="14.25" customHeight="1">
      <c r="A84" s="2" t="s">
        <v>585</v>
      </c>
      <c r="B84" s="2" t="s">
        <v>586</v>
      </c>
      <c r="C84" s="2" t="s">
        <v>587</v>
      </c>
      <c r="D84" s="2">
        <v>21.0</v>
      </c>
      <c r="E84" s="2" t="s">
        <v>22</v>
      </c>
      <c r="F84" s="2" t="s">
        <v>35</v>
      </c>
      <c r="G84" s="2" t="s">
        <v>588</v>
      </c>
      <c r="H84" s="2" t="s">
        <v>2147</v>
      </c>
      <c r="I84" s="2" t="s">
        <v>589</v>
      </c>
      <c r="J84" s="2" t="s">
        <v>590</v>
      </c>
      <c r="K84" s="3">
        <v>45041.0</v>
      </c>
      <c r="L84" s="2" t="s">
        <v>591</v>
      </c>
      <c r="M84" s="2" t="s">
        <v>74</v>
      </c>
      <c r="N84" s="2">
        <v>330.11</v>
      </c>
      <c r="O84" s="2">
        <v>2.0</v>
      </c>
      <c r="P84" s="2" t="s">
        <v>29</v>
      </c>
      <c r="Q84" s="2">
        <v>3.0</v>
      </c>
      <c r="R84" s="2">
        <v>64.0</v>
      </c>
      <c r="S84" s="3">
        <v>45046.0</v>
      </c>
      <c r="T84" s="2" t="s">
        <v>592</v>
      </c>
      <c r="U84" s="2">
        <f t="shared" si="1"/>
        <v>5</v>
      </c>
      <c r="V84" s="2">
        <f t="shared" si="2"/>
        <v>1</v>
      </c>
      <c r="W84" s="2">
        <f t="shared" si="3"/>
        <v>660.22</v>
      </c>
      <c r="X84" s="2">
        <f t="shared" si="4"/>
        <v>724.22</v>
      </c>
      <c r="Y84" s="2">
        <f t="shared" si="5"/>
        <v>0</v>
      </c>
      <c r="Z84" s="2">
        <f t="shared" si="6"/>
        <v>660.22</v>
      </c>
      <c r="AA84" s="2">
        <f t="shared" si="7"/>
        <v>724.22</v>
      </c>
      <c r="AB84" s="2" t="str">
        <f t="shared" si="8"/>
        <v>Tuesday</v>
      </c>
      <c r="AC84" s="2" t="str">
        <f t="shared" si="9"/>
        <v>Weekday</v>
      </c>
      <c r="AD84" s="2" t="str">
        <f t="shared" si="10"/>
        <v>william.mann</v>
      </c>
      <c r="AE84" s="2" t="str">
        <f t="shared" si="11"/>
        <v>yahoo</v>
      </c>
      <c r="AF84" s="2" t="str">
        <f t="shared" si="12"/>
        <v>William Mann</v>
      </c>
      <c r="AG84" s="2" t="str">
        <f t="shared" si="13"/>
        <v>William</v>
      </c>
      <c r="AH84" s="2" t="str">
        <f t="shared" si="14"/>
        <v>Mann</v>
      </c>
      <c r="AI84" s="2" t="str">
        <f t="shared" si="15"/>
        <v>Late</v>
      </c>
      <c r="AJ84" s="2" t="str">
        <f t="shared" si="16"/>
        <v>#NAME?</v>
      </c>
    </row>
    <row r="85" ht="14.25" customHeight="1">
      <c r="A85" s="2" t="s">
        <v>405</v>
      </c>
      <c r="B85" s="2" t="s">
        <v>221</v>
      </c>
      <c r="C85" s="2" t="s">
        <v>406</v>
      </c>
      <c r="D85" s="2">
        <v>28.0</v>
      </c>
      <c r="E85" s="2" t="s">
        <v>45</v>
      </c>
      <c r="F85" s="2" t="s">
        <v>133</v>
      </c>
      <c r="G85" s="2" t="s">
        <v>407</v>
      </c>
      <c r="H85" s="2" t="s">
        <v>2130</v>
      </c>
      <c r="I85" s="2" t="s">
        <v>408</v>
      </c>
      <c r="J85" s="2" t="s">
        <v>593</v>
      </c>
      <c r="K85" s="3">
        <v>45322.0</v>
      </c>
      <c r="L85" s="2" t="s">
        <v>594</v>
      </c>
      <c r="M85" s="2" t="s">
        <v>263</v>
      </c>
      <c r="N85" s="2">
        <v>62.42</v>
      </c>
      <c r="O85" s="2">
        <v>1.0</v>
      </c>
      <c r="P85" s="2" t="s">
        <v>78</v>
      </c>
      <c r="Q85" s="2">
        <v>6.0</v>
      </c>
      <c r="R85" s="2">
        <v>53.0</v>
      </c>
      <c r="S85" s="3">
        <v>45329.0</v>
      </c>
      <c r="T85" s="2" t="s">
        <v>595</v>
      </c>
      <c r="U85" s="2">
        <f t="shared" si="1"/>
        <v>7</v>
      </c>
      <c r="V85" s="2">
        <f t="shared" si="2"/>
        <v>4</v>
      </c>
      <c r="W85" s="2">
        <f t="shared" si="3"/>
        <v>62.42</v>
      </c>
      <c r="X85" s="2">
        <f t="shared" si="4"/>
        <v>115.42</v>
      </c>
      <c r="Y85" s="2">
        <f t="shared" si="5"/>
        <v>0</v>
      </c>
      <c r="Z85" s="2">
        <f t="shared" si="6"/>
        <v>62.42</v>
      </c>
      <c r="AA85" s="2">
        <f t="shared" si="7"/>
        <v>115.42</v>
      </c>
      <c r="AB85" s="2" t="str">
        <f t="shared" si="8"/>
        <v>Wednesday</v>
      </c>
      <c r="AC85" s="2" t="str">
        <f t="shared" si="9"/>
        <v>Weekday</v>
      </c>
      <c r="AD85" s="2" t="str">
        <f t="shared" si="10"/>
        <v>john.ramirez</v>
      </c>
      <c r="AE85" s="2" t="str">
        <f t="shared" si="11"/>
        <v>outlook</v>
      </c>
      <c r="AF85" s="2" t="str">
        <f t="shared" si="12"/>
        <v>John Ramirez</v>
      </c>
      <c r="AG85" s="2" t="str">
        <f t="shared" si="13"/>
        <v>John</v>
      </c>
      <c r="AH85" s="2" t="str">
        <f t="shared" si="14"/>
        <v>Ramirez</v>
      </c>
      <c r="AI85" s="2" t="str">
        <f t="shared" si="15"/>
        <v>Late</v>
      </c>
      <c r="AJ85" s="2" t="str">
        <f t="shared" si="16"/>
        <v>#NAME?</v>
      </c>
    </row>
    <row r="86" ht="14.25" customHeight="1">
      <c r="A86" s="2" t="s">
        <v>596</v>
      </c>
      <c r="B86" s="2" t="s">
        <v>597</v>
      </c>
      <c r="C86" s="2" t="s">
        <v>396</v>
      </c>
      <c r="D86" s="2">
        <v>18.0</v>
      </c>
      <c r="E86" s="2" t="s">
        <v>34</v>
      </c>
      <c r="F86" s="2" t="s">
        <v>35</v>
      </c>
      <c r="G86" s="2" t="s">
        <v>598</v>
      </c>
      <c r="H86" s="2" t="s">
        <v>2148</v>
      </c>
      <c r="I86" s="2" t="s">
        <v>599</v>
      </c>
      <c r="J86" s="2" t="s">
        <v>600</v>
      </c>
      <c r="K86" s="3">
        <v>45625.0</v>
      </c>
      <c r="L86" s="2" t="s">
        <v>601</v>
      </c>
      <c r="M86" s="2" t="s">
        <v>74</v>
      </c>
      <c r="N86" s="2">
        <v>330.11</v>
      </c>
      <c r="O86" s="2">
        <v>1.0</v>
      </c>
      <c r="P86" s="2" t="s">
        <v>78</v>
      </c>
      <c r="Q86" s="2">
        <v>4.0</v>
      </c>
      <c r="R86" s="2">
        <v>67.0</v>
      </c>
      <c r="S86" s="3">
        <v>45627.0</v>
      </c>
      <c r="T86" s="2" t="s">
        <v>602</v>
      </c>
      <c r="U86" s="2">
        <f t="shared" si="1"/>
        <v>2</v>
      </c>
      <c r="V86" s="2">
        <f t="shared" si="2"/>
        <v>15</v>
      </c>
      <c r="W86" s="2">
        <f t="shared" si="3"/>
        <v>330.11</v>
      </c>
      <c r="X86" s="2">
        <f t="shared" si="4"/>
        <v>397.11</v>
      </c>
      <c r="Y86" s="2">
        <f t="shared" si="5"/>
        <v>0</v>
      </c>
      <c r="Z86" s="2">
        <f t="shared" si="6"/>
        <v>330.11</v>
      </c>
      <c r="AA86" s="2">
        <f t="shared" si="7"/>
        <v>397.11</v>
      </c>
      <c r="AB86" s="2" t="str">
        <f t="shared" si="8"/>
        <v>Friday</v>
      </c>
      <c r="AC86" s="2" t="str">
        <f t="shared" si="9"/>
        <v>Weekday</v>
      </c>
      <c r="AD86" s="2" t="str">
        <f t="shared" si="10"/>
        <v>kelli.smith</v>
      </c>
      <c r="AE86" s="2" t="str">
        <f t="shared" si="11"/>
        <v>rediffmail</v>
      </c>
      <c r="AF86" s="2" t="str">
        <f t="shared" si="12"/>
        <v>Kelli Smith</v>
      </c>
      <c r="AG86" s="2" t="str">
        <f t="shared" si="13"/>
        <v>Kelli</v>
      </c>
      <c r="AH86" s="2" t="str">
        <f t="shared" si="14"/>
        <v>Smith</v>
      </c>
      <c r="AI86" s="2" t="str">
        <f t="shared" si="15"/>
        <v>Before Time</v>
      </c>
      <c r="AJ86" s="2" t="str">
        <f t="shared" si="16"/>
        <v>#NAME?</v>
      </c>
    </row>
    <row r="87" ht="14.25" customHeight="1">
      <c r="A87" s="2" t="s">
        <v>286</v>
      </c>
      <c r="B87" s="2" t="s">
        <v>287</v>
      </c>
      <c r="C87" s="2" t="s">
        <v>288</v>
      </c>
      <c r="D87" s="2">
        <v>48.0</v>
      </c>
      <c r="E87" s="2" t="s">
        <v>34</v>
      </c>
      <c r="F87" s="2" t="s">
        <v>83</v>
      </c>
      <c r="G87" s="2" t="s">
        <v>289</v>
      </c>
      <c r="H87" s="2" t="s">
        <v>2118</v>
      </c>
      <c r="I87" s="2" t="s">
        <v>290</v>
      </c>
      <c r="J87" s="2" t="s">
        <v>603</v>
      </c>
      <c r="K87" s="3">
        <v>45505.0</v>
      </c>
      <c r="L87" s="2" t="s">
        <v>604</v>
      </c>
      <c r="M87" s="2" t="s">
        <v>107</v>
      </c>
      <c r="N87" s="2">
        <v>48.45</v>
      </c>
      <c r="O87" s="2">
        <v>1.0</v>
      </c>
      <c r="P87" s="2" t="s">
        <v>51</v>
      </c>
      <c r="Q87" s="2">
        <v>6.0</v>
      </c>
      <c r="R87" s="2">
        <v>66.0</v>
      </c>
      <c r="S87" s="3">
        <v>45512.0</v>
      </c>
      <c r="T87" s="2" t="s">
        <v>605</v>
      </c>
      <c r="U87" s="2">
        <f t="shared" si="1"/>
        <v>7</v>
      </c>
      <c r="V87" s="2">
        <f t="shared" si="2"/>
        <v>19</v>
      </c>
      <c r="W87" s="2">
        <f t="shared" si="3"/>
        <v>48.45</v>
      </c>
      <c r="X87" s="2">
        <f t="shared" si="4"/>
        <v>114.45</v>
      </c>
      <c r="Y87" s="2">
        <f t="shared" si="5"/>
        <v>0</v>
      </c>
      <c r="Z87" s="2">
        <f t="shared" si="6"/>
        <v>48.45</v>
      </c>
      <c r="AA87" s="2">
        <f t="shared" si="7"/>
        <v>114.45</v>
      </c>
      <c r="AB87" s="2" t="str">
        <f t="shared" si="8"/>
        <v>Thursday</v>
      </c>
      <c r="AC87" s="2" t="str">
        <f t="shared" si="9"/>
        <v>Weekday</v>
      </c>
      <c r="AD87" s="2" t="str">
        <f t="shared" si="10"/>
        <v>heather.schneider</v>
      </c>
      <c r="AE87" s="2" t="str">
        <f t="shared" si="11"/>
        <v>outlook</v>
      </c>
      <c r="AF87" s="2" t="str">
        <f t="shared" si="12"/>
        <v>Heather Schneider</v>
      </c>
      <c r="AG87" s="2" t="str">
        <f t="shared" si="13"/>
        <v>Heather</v>
      </c>
      <c r="AH87" s="2" t="str">
        <f t="shared" si="14"/>
        <v>Schneider</v>
      </c>
      <c r="AI87" s="2" t="str">
        <f t="shared" si="15"/>
        <v>Late</v>
      </c>
      <c r="AJ87" s="2" t="str">
        <f t="shared" si="16"/>
        <v>#NAME?</v>
      </c>
    </row>
    <row r="88" ht="14.25" customHeight="1">
      <c r="A88" s="2" t="s">
        <v>493</v>
      </c>
      <c r="B88" s="2" t="s">
        <v>494</v>
      </c>
      <c r="C88" s="2" t="s">
        <v>380</v>
      </c>
      <c r="D88" s="2">
        <v>57.0</v>
      </c>
      <c r="E88" s="2" t="s">
        <v>34</v>
      </c>
      <c r="F88" s="2" t="s">
        <v>213</v>
      </c>
      <c r="G88" s="2" t="s">
        <v>495</v>
      </c>
      <c r="H88" s="2" t="s">
        <v>2140</v>
      </c>
      <c r="I88" s="2" t="s">
        <v>496</v>
      </c>
      <c r="J88" s="2" t="s">
        <v>606</v>
      </c>
      <c r="K88" s="3">
        <v>45252.0</v>
      </c>
      <c r="L88" s="2" t="s">
        <v>607</v>
      </c>
      <c r="M88" s="2" t="s">
        <v>55</v>
      </c>
      <c r="N88" s="2">
        <v>405.0</v>
      </c>
      <c r="O88" s="2">
        <v>2.0</v>
      </c>
      <c r="P88" s="2" t="s">
        <v>56</v>
      </c>
      <c r="Q88" s="2">
        <v>4.0</v>
      </c>
      <c r="R88" s="2">
        <v>70.0</v>
      </c>
      <c r="S88" s="3">
        <v>45257.0</v>
      </c>
      <c r="T88" s="2" t="s">
        <v>608</v>
      </c>
      <c r="U88" s="2">
        <f t="shared" si="1"/>
        <v>5</v>
      </c>
      <c r="V88" s="2">
        <f t="shared" si="2"/>
        <v>1</v>
      </c>
      <c r="W88" s="2">
        <f t="shared" si="3"/>
        <v>810</v>
      </c>
      <c r="X88" s="2">
        <f t="shared" si="4"/>
        <v>880</v>
      </c>
      <c r="Y88" s="2">
        <f t="shared" si="5"/>
        <v>0</v>
      </c>
      <c r="Z88" s="2">
        <f t="shared" si="6"/>
        <v>810</v>
      </c>
      <c r="AA88" s="2">
        <f t="shared" si="7"/>
        <v>810</v>
      </c>
      <c r="AB88" s="2" t="str">
        <f t="shared" si="8"/>
        <v>Wednesday</v>
      </c>
      <c r="AC88" s="2" t="str">
        <f t="shared" si="9"/>
        <v>Weekday</v>
      </c>
      <c r="AD88" s="2" t="str">
        <f t="shared" si="10"/>
        <v>sharon.thompson</v>
      </c>
      <c r="AE88" s="2" t="str">
        <f t="shared" si="11"/>
        <v>yahoo</v>
      </c>
      <c r="AF88" s="2" t="str">
        <f t="shared" si="12"/>
        <v>Sharon Thompson</v>
      </c>
      <c r="AG88" s="2" t="str">
        <f t="shared" si="13"/>
        <v>Sharon</v>
      </c>
      <c r="AH88" s="2" t="str">
        <f t="shared" si="14"/>
        <v>Thompson</v>
      </c>
      <c r="AI88" s="2" t="str">
        <f t="shared" si="15"/>
        <v>Late</v>
      </c>
      <c r="AJ88" s="2" t="str">
        <f t="shared" si="16"/>
        <v>#NAME?</v>
      </c>
    </row>
    <row r="89" ht="14.25" customHeight="1">
      <c r="A89" s="2" t="s">
        <v>493</v>
      </c>
      <c r="B89" s="2" t="s">
        <v>494</v>
      </c>
      <c r="C89" s="2" t="s">
        <v>380</v>
      </c>
      <c r="D89" s="2">
        <v>57.0</v>
      </c>
      <c r="E89" s="2" t="s">
        <v>34</v>
      </c>
      <c r="F89" s="2" t="s">
        <v>213</v>
      </c>
      <c r="G89" s="2" t="s">
        <v>495</v>
      </c>
      <c r="H89" s="2" t="s">
        <v>2140</v>
      </c>
      <c r="I89" s="2" t="s">
        <v>496</v>
      </c>
      <c r="J89" s="2" t="s">
        <v>609</v>
      </c>
      <c r="K89" s="3">
        <v>45595.0</v>
      </c>
      <c r="L89" s="2" t="s">
        <v>610</v>
      </c>
      <c r="M89" s="2" t="s">
        <v>349</v>
      </c>
      <c r="N89" s="2">
        <v>496.59</v>
      </c>
      <c r="O89" s="2">
        <v>2.0</v>
      </c>
      <c r="P89" s="2" t="s">
        <v>89</v>
      </c>
      <c r="Q89" s="2">
        <v>1.0</v>
      </c>
      <c r="R89" s="2">
        <v>46.0</v>
      </c>
      <c r="S89" s="3">
        <v>45598.0</v>
      </c>
      <c r="T89" s="2" t="s">
        <v>611</v>
      </c>
      <c r="U89" s="2">
        <f t="shared" si="1"/>
        <v>3</v>
      </c>
      <c r="V89" s="2">
        <f t="shared" si="2"/>
        <v>7</v>
      </c>
      <c r="W89" s="2">
        <f t="shared" si="3"/>
        <v>993.18</v>
      </c>
      <c r="X89" s="2">
        <f t="shared" si="4"/>
        <v>1039.18</v>
      </c>
      <c r="Y89" s="2">
        <f t="shared" si="5"/>
        <v>0</v>
      </c>
      <c r="Z89" s="2">
        <f t="shared" si="6"/>
        <v>993.18</v>
      </c>
      <c r="AA89" s="2">
        <f t="shared" si="7"/>
        <v>1039.18</v>
      </c>
      <c r="AB89" s="2" t="str">
        <f t="shared" si="8"/>
        <v>Wednesday</v>
      </c>
      <c r="AC89" s="2" t="str">
        <f t="shared" si="9"/>
        <v>Weekday</v>
      </c>
      <c r="AD89" s="2" t="str">
        <f t="shared" si="10"/>
        <v>sharon.thompson</v>
      </c>
      <c r="AE89" s="2" t="str">
        <f t="shared" si="11"/>
        <v>yahoo</v>
      </c>
      <c r="AF89" s="2" t="str">
        <f t="shared" si="12"/>
        <v>Sharon Thompson</v>
      </c>
      <c r="AG89" s="2" t="str">
        <f t="shared" si="13"/>
        <v>Sharon</v>
      </c>
      <c r="AH89" s="2" t="str">
        <f t="shared" si="14"/>
        <v>Thompson</v>
      </c>
      <c r="AI89" s="2" t="str">
        <f t="shared" si="15"/>
        <v>Late</v>
      </c>
      <c r="AJ89" s="2" t="str">
        <f t="shared" si="16"/>
        <v>#NAME?</v>
      </c>
    </row>
    <row r="90" ht="14.25" customHeight="1">
      <c r="A90" s="2" t="s">
        <v>91</v>
      </c>
      <c r="B90" s="2" t="s">
        <v>92</v>
      </c>
      <c r="C90" s="2" t="s">
        <v>93</v>
      </c>
      <c r="D90" s="2">
        <v>39.0</v>
      </c>
      <c r="E90" s="2" t="s">
        <v>22</v>
      </c>
      <c r="F90" s="2" t="s">
        <v>23</v>
      </c>
      <c r="G90" s="2" t="s">
        <v>94</v>
      </c>
      <c r="H90" s="2" t="s">
        <v>2098</v>
      </c>
      <c r="I90" s="2" t="s">
        <v>95</v>
      </c>
      <c r="J90" s="2" t="s">
        <v>612</v>
      </c>
      <c r="K90" s="3">
        <v>45227.0</v>
      </c>
      <c r="L90" s="2" t="s">
        <v>613</v>
      </c>
      <c r="M90" s="2" t="s">
        <v>107</v>
      </c>
      <c r="N90" s="2">
        <v>48.45</v>
      </c>
      <c r="O90" s="2">
        <v>1.0</v>
      </c>
      <c r="P90" s="2" t="s">
        <v>78</v>
      </c>
      <c r="Q90" s="2">
        <v>4.0</v>
      </c>
      <c r="R90" s="2">
        <v>66.0</v>
      </c>
      <c r="S90" s="3">
        <v>45228.0</v>
      </c>
      <c r="T90" s="2" t="s">
        <v>614</v>
      </c>
      <c r="U90" s="2">
        <f t="shared" si="1"/>
        <v>1</v>
      </c>
      <c r="V90" s="2">
        <f t="shared" si="2"/>
        <v>7</v>
      </c>
      <c r="W90" s="2">
        <f t="shared" si="3"/>
        <v>48.45</v>
      </c>
      <c r="X90" s="2">
        <f t="shared" si="4"/>
        <v>114.45</v>
      </c>
      <c r="Y90" s="2">
        <f t="shared" si="5"/>
        <v>0</v>
      </c>
      <c r="Z90" s="2">
        <f t="shared" si="6"/>
        <v>48.45</v>
      </c>
      <c r="AA90" s="2">
        <f t="shared" si="7"/>
        <v>114.45</v>
      </c>
      <c r="AB90" s="2" t="str">
        <f t="shared" si="8"/>
        <v>Saturday</v>
      </c>
      <c r="AC90" s="2" t="str">
        <f t="shared" si="9"/>
        <v>Weekend</v>
      </c>
      <c r="AD90" s="2" t="str">
        <f t="shared" si="10"/>
        <v>marcus.valenzuela</v>
      </c>
      <c r="AE90" s="2" t="str">
        <f t="shared" si="11"/>
        <v>yahoo</v>
      </c>
      <c r="AF90" s="2" t="str">
        <f t="shared" si="12"/>
        <v>Marcus Valenzuela</v>
      </c>
      <c r="AG90" s="2" t="str">
        <f t="shared" si="13"/>
        <v>Marcus</v>
      </c>
      <c r="AH90" s="2" t="str">
        <f t="shared" si="14"/>
        <v>Valenzuela</v>
      </c>
      <c r="AI90" s="2" t="str">
        <f t="shared" si="15"/>
        <v>Before Time</v>
      </c>
      <c r="AJ90" s="2" t="str">
        <f t="shared" si="16"/>
        <v>#NAME?</v>
      </c>
    </row>
    <row r="91" ht="14.25" customHeight="1">
      <c r="A91" s="2" t="s">
        <v>615</v>
      </c>
      <c r="B91" s="2" t="s">
        <v>122</v>
      </c>
      <c r="C91" s="2" t="s">
        <v>616</v>
      </c>
      <c r="D91" s="2">
        <v>47.0</v>
      </c>
      <c r="E91" s="2" t="s">
        <v>45</v>
      </c>
      <c r="F91" s="2" t="s">
        <v>69</v>
      </c>
      <c r="G91" s="2" t="s">
        <v>617</v>
      </c>
      <c r="H91" s="2" t="s">
        <v>2149</v>
      </c>
      <c r="I91" s="2" t="s">
        <v>618</v>
      </c>
      <c r="J91" s="2" t="s">
        <v>619</v>
      </c>
      <c r="K91" s="3">
        <v>45076.0</v>
      </c>
      <c r="L91" s="2" t="s">
        <v>620</v>
      </c>
      <c r="M91" s="2" t="s">
        <v>376</v>
      </c>
      <c r="N91" s="2">
        <v>431.44</v>
      </c>
      <c r="O91" s="2">
        <v>1.0</v>
      </c>
      <c r="P91" s="2" t="s">
        <v>56</v>
      </c>
      <c r="Q91" s="2">
        <v>7.0</v>
      </c>
      <c r="R91" s="2">
        <v>35.0</v>
      </c>
      <c r="S91" s="3">
        <v>45080.0</v>
      </c>
      <c r="T91" s="2" t="s">
        <v>621</v>
      </c>
      <c r="U91" s="2">
        <f t="shared" si="1"/>
        <v>4</v>
      </c>
      <c r="V91" s="2">
        <f t="shared" si="2"/>
        <v>12</v>
      </c>
      <c r="W91" s="2">
        <f t="shared" si="3"/>
        <v>431.44</v>
      </c>
      <c r="X91" s="2">
        <f t="shared" si="4"/>
        <v>466.44</v>
      </c>
      <c r="Y91" s="2">
        <f t="shared" si="5"/>
        <v>0</v>
      </c>
      <c r="Z91" s="2">
        <f t="shared" si="6"/>
        <v>431.44</v>
      </c>
      <c r="AA91" s="2">
        <f t="shared" si="7"/>
        <v>431.44</v>
      </c>
      <c r="AB91" s="2" t="str">
        <f t="shared" si="8"/>
        <v>Tuesday</v>
      </c>
      <c r="AC91" s="2" t="str">
        <f t="shared" si="9"/>
        <v>Weekday</v>
      </c>
      <c r="AD91" s="2" t="str">
        <f t="shared" si="10"/>
        <v>joseph.gaines</v>
      </c>
      <c r="AE91" s="2" t="str">
        <f t="shared" si="11"/>
        <v>outlook</v>
      </c>
      <c r="AF91" s="2" t="str">
        <f t="shared" si="12"/>
        <v>Joseph Gaines</v>
      </c>
      <c r="AG91" s="2" t="str">
        <f t="shared" si="13"/>
        <v>Joseph</v>
      </c>
      <c r="AH91" s="2" t="str">
        <f t="shared" si="14"/>
        <v>Gaines</v>
      </c>
      <c r="AI91" s="2" t="str">
        <f t="shared" si="15"/>
        <v>Before Time</v>
      </c>
      <c r="AJ91" s="2" t="str">
        <f t="shared" si="16"/>
        <v>#NAME?</v>
      </c>
    </row>
    <row r="92" ht="14.25" customHeight="1">
      <c r="A92" s="2" t="s">
        <v>149</v>
      </c>
      <c r="B92" s="2" t="s">
        <v>150</v>
      </c>
      <c r="C92" s="2" t="s">
        <v>151</v>
      </c>
      <c r="D92" s="2">
        <v>24.0</v>
      </c>
      <c r="E92" s="2" t="s">
        <v>22</v>
      </c>
      <c r="F92" s="2" t="s">
        <v>152</v>
      </c>
      <c r="G92" s="2" t="s">
        <v>153</v>
      </c>
      <c r="H92" s="2" t="s">
        <v>2104</v>
      </c>
      <c r="I92" s="2" t="s">
        <v>154</v>
      </c>
      <c r="J92" s="2" t="s">
        <v>622</v>
      </c>
      <c r="K92" s="3">
        <v>45555.0</v>
      </c>
      <c r="L92" s="2" t="s">
        <v>623</v>
      </c>
      <c r="M92" s="2" t="s">
        <v>466</v>
      </c>
      <c r="N92" s="2">
        <v>286.07</v>
      </c>
      <c r="O92" s="2">
        <v>5.0</v>
      </c>
      <c r="P92" s="2" t="s">
        <v>51</v>
      </c>
      <c r="Q92" s="2">
        <v>5.0</v>
      </c>
      <c r="R92" s="2">
        <v>65.0</v>
      </c>
      <c r="S92" s="3">
        <v>45558.0</v>
      </c>
      <c r="T92" s="2" t="s">
        <v>624</v>
      </c>
      <c r="U92" s="2">
        <f t="shared" si="1"/>
        <v>3</v>
      </c>
      <c r="V92" s="2">
        <f t="shared" si="2"/>
        <v>19</v>
      </c>
      <c r="W92" s="2">
        <f t="shared" si="3"/>
        <v>1430.35</v>
      </c>
      <c r="X92" s="2">
        <f t="shared" si="4"/>
        <v>1495.35</v>
      </c>
      <c r="Y92" s="2">
        <f t="shared" si="5"/>
        <v>0</v>
      </c>
      <c r="Z92" s="2">
        <f t="shared" si="6"/>
        <v>1430.35</v>
      </c>
      <c r="AA92" s="2">
        <f t="shared" si="7"/>
        <v>1495.35</v>
      </c>
      <c r="AB92" s="2" t="str">
        <f t="shared" si="8"/>
        <v>Friday</v>
      </c>
      <c r="AC92" s="2" t="str">
        <f t="shared" si="9"/>
        <v>Weekday</v>
      </c>
      <c r="AD92" s="2" t="str">
        <f t="shared" si="10"/>
        <v>joshua.campbell</v>
      </c>
      <c r="AE92" s="2" t="str">
        <f t="shared" si="11"/>
        <v>gmail</v>
      </c>
      <c r="AF92" s="2" t="str">
        <f t="shared" si="12"/>
        <v>Joshua Campbell</v>
      </c>
      <c r="AG92" s="2" t="str">
        <f t="shared" si="13"/>
        <v>Joshua</v>
      </c>
      <c r="AH92" s="2" t="str">
        <f t="shared" si="14"/>
        <v>Campbell</v>
      </c>
      <c r="AI92" s="2" t="str">
        <f t="shared" si="15"/>
        <v>Before Time</v>
      </c>
      <c r="AJ92" s="2" t="str">
        <f t="shared" si="16"/>
        <v>#NAME?</v>
      </c>
    </row>
    <row r="93" ht="14.25" customHeight="1">
      <c r="A93" s="2" t="s">
        <v>405</v>
      </c>
      <c r="B93" s="2" t="s">
        <v>221</v>
      </c>
      <c r="C93" s="2" t="s">
        <v>406</v>
      </c>
      <c r="D93" s="2">
        <v>28.0</v>
      </c>
      <c r="E93" s="2" t="s">
        <v>45</v>
      </c>
      <c r="F93" s="2" t="s">
        <v>133</v>
      </c>
      <c r="G93" s="2" t="s">
        <v>407</v>
      </c>
      <c r="H93" s="2" t="s">
        <v>2130</v>
      </c>
      <c r="I93" s="2" t="s">
        <v>408</v>
      </c>
      <c r="J93" s="2" t="s">
        <v>625</v>
      </c>
      <c r="K93" s="3">
        <v>45495.0</v>
      </c>
      <c r="L93" s="2" t="s">
        <v>626</v>
      </c>
      <c r="M93" s="2" t="s">
        <v>235</v>
      </c>
      <c r="N93" s="2">
        <v>126.19</v>
      </c>
      <c r="O93" s="2">
        <v>2.0</v>
      </c>
      <c r="P93" s="2" t="s">
        <v>29</v>
      </c>
      <c r="Q93" s="2">
        <v>7.0</v>
      </c>
      <c r="R93" s="2">
        <v>48.0</v>
      </c>
      <c r="S93" s="3">
        <v>45496.0</v>
      </c>
      <c r="T93" s="2" t="s">
        <v>627</v>
      </c>
      <c r="U93" s="2">
        <f t="shared" si="1"/>
        <v>1</v>
      </c>
      <c r="V93" s="2">
        <f t="shared" si="2"/>
        <v>3</v>
      </c>
      <c r="W93" s="2">
        <f t="shared" si="3"/>
        <v>252.38</v>
      </c>
      <c r="X93" s="2">
        <f t="shared" si="4"/>
        <v>300.38</v>
      </c>
      <c r="Y93" s="2">
        <f t="shared" si="5"/>
        <v>0</v>
      </c>
      <c r="Z93" s="2">
        <f t="shared" si="6"/>
        <v>252.38</v>
      </c>
      <c r="AA93" s="2">
        <f t="shared" si="7"/>
        <v>300.38</v>
      </c>
      <c r="AB93" s="2" t="str">
        <f t="shared" si="8"/>
        <v>Monday</v>
      </c>
      <c r="AC93" s="2" t="str">
        <f t="shared" si="9"/>
        <v>Weekday</v>
      </c>
      <c r="AD93" s="2" t="str">
        <f t="shared" si="10"/>
        <v>john.ramirez</v>
      </c>
      <c r="AE93" s="2" t="str">
        <f t="shared" si="11"/>
        <v>outlook</v>
      </c>
      <c r="AF93" s="2" t="str">
        <f t="shared" si="12"/>
        <v>John Ramirez</v>
      </c>
      <c r="AG93" s="2" t="str">
        <f t="shared" si="13"/>
        <v>John</v>
      </c>
      <c r="AH93" s="2" t="str">
        <f t="shared" si="14"/>
        <v>Ramirez</v>
      </c>
      <c r="AI93" s="2" t="str">
        <f t="shared" si="15"/>
        <v>Before Time</v>
      </c>
      <c r="AJ93" s="2" t="str">
        <f t="shared" si="16"/>
        <v>#NAME?</v>
      </c>
    </row>
    <row r="94" ht="14.25" customHeight="1">
      <c r="A94" s="2" t="s">
        <v>265</v>
      </c>
      <c r="B94" s="2" t="s">
        <v>266</v>
      </c>
      <c r="C94" s="2" t="s">
        <v>267</v>
      </c>
      <c r="D94" s="2">
        <v>44.0</v>
      </c>
      <c r="E94" s="2" t="s">
        <v>22</v>
      </c>
      <c r="F94" s="2" t="s">
        <v>213</v>
      </c>
      <c r="G94" s="2" t="s">
        <v>268</v>
      </c>
      <c r="H94" s="2" t="s">
        <v>2116</v>
      </c>
      <c r="I94" s="2" t="s">
        <v>269</v>
      </c>
      <c r="J94" s="2" t="s">
        <v>628</v>
      </c>
      <c r="K94" s="3">
        <v>45307.0</v>
      </c>
      <c r="L94" s="2" t="s">
        <v>629</v>
      </c>
      <c r="M94" s="2" t="s">
        <v>630</v>
      </c>
      <c r="N94" s="2">
        <v>445.81</v>
      </c>
      <c r="O94" s="2">
        <v>5.0</v>
      </c>
      <c r="P94" s="2" t="s">
        <v>51</v>
      </c>
      <c r="Q94" s="2">
        <v>1.0</v>
      </c>
      <c r="R94" s="2">
        <v>56.0</v>
      </c>
      <c r="S94" s="3">
        <v>45313.0</v>
      </c>
      <c r="T94" s="2" t="s">
        <v>631</v>
      </c>
      <c r="U94" s="2">
        <f t="shared" si="1"/>
        <v>6</v>
      </c>
      <c r="V94" s="2">
        <f t="shared" si="2"/>
        <v>17</v>
      </c>
      <c r="W94" s="2">
        <f t="shared" si="3"/>
        <v>2229.05</v>
      </c>
      <c r="X94" s="2">
        <f t="shared" si="4"/>
        <v>2285.05</v>
      </c>
      <c r="Y94" s="2">
        <f t="shared" si="5"/>
        <v>0</v>
      </c>
      <c r="Z94" s="2">
        <f t="shared" si="6"/>
        <v>2229.05</v>
      </c>
      <c r="AA94" s="2">
        <f t="shared" si="7"/>
        <v>2285.05</v>
      </c>
      <c r="AB94" s="2" t="str">
        <f t="shared" si="8"/>
        <v>Tuesday</v>
      </c>
      <c r="AC94" s="2" t="str">
        <f t="shared" si="9"/>
        <v>Weekday</v>
      </c>
      <c r="AD94" s="2" t="str">
        <f t="shared" si="10"/>
        <v>lauren.long</v>
      </c>
      <c r="AE94" s="2" t="str">
        <f t="shared" si="11"/>
        <v>gmail</v>
      </c>
      <c r="AF94" s="2" t="str">
        <f t="shared" si="12"/>
        <v>Lauren Long</v>
      </c>
      <c r="AG94" s="2" t="str">
        <f t="shared" si="13"/>
        <v>Lauren</v>
      </c>
      <c r="AH94" s="2" t="str">
        <f t="shared" si="14"/>
        <v>Long</v>
      </c>
      <c r="AI94" s="2" t="str">
        <f t="shared" si="15"/>
        <v>Late</v>
      </c>
      <c r="AJ94" s="2" t="str">
        <f t="shared" si="16"/>
        <v>#NAME?</v>
      </c>
    </row>
    <row r="95" ht="14.25" customHeight="1">
      <c r="A95" s="2" t="s">
        <v>632</v>
      </c>
      <c r="B95" s="2" t="s">
        <v>141</v>
      </c>
      <c r="C95" s="2" t="s">
        <v>633</v>
      </c>
      <c r="D95" s="2">
        <v>44.0</v>
      </c>
      <c r="E95" s="2" t="s">
        <v>45</v>
      </c>
      <c r="F95" s="2" t="s">
        <v>83</v>
      </c>
      <c r="G95" s="2" t="s">
        <v>634</v>
      </c>
      <c r="H95" s="2" t="s">
        <v>2150</v>
      </c>
      <c r="I95" s="2" t="s">
        <v>635</v>
      </c>
      <c r="J95" s="2" t="s">
        <v>636</v>
      </c>
      <c r="K95" s="3">
        <v>45625.0</v>
      </c>
      <c r="L95" s="2" t="s">
        <v>637</v>
      </c>
      <c r="M95" s="2" t="s">
        <v>423</v>
      </c>
      <c r="N95" s="2">
        <v>369.03</v>
      </c>
      <c r="O95" s="2">
        <v>4.0</v>
      </c>
      <c r="P95" s="2" t="s">
        <v>78</v>
      </c>
      <c r="Q95" s="2">
        <v>4.0</v>
      </c>
      <c r="R95" s="2">
        <v>56.0</v>
      </c>
      <c r="S95" s="3">
        <v>45630.0</v>
      </c>
      <c r="T95" s="2" t="s">
        <v>638</v>
      </c>
      <c r="U95" s="2">
        <f t="shared" si="1"/>
        <v>5</v>
      </c>
      <c r="V95" s="2">
        <f t="shared" si="2"/>
        <v>23</v>
      </c>
      <c r="W95" s="2">
        <f t="shared" si="3"/>
        <v>1476.12</v>
      </c>
      <c r="X95" s="2">
        <f t="shared" si="4"/>
        <v>1532.12</v>
      </c>
      <c r="Y95" s="2">
        <f t="shared" si="5"/>
        <v>0</v>
      </c>
      <c r="Z95" s="2">
        <f t="shared" si="6"/>
        <v>1476.12</v>
      </c>
      <c r="AA95" s="2">
        <f t="shared" si="7"/>
        <v>1532.12</v>
      </c>
      <c r="AB95" s="2" t="str">
        <f t="shared" si="8"/>
        <v>Friday</v>
      </c>
      <c r="AC95" s="2" t="str">
        <f t="shared" si="9"/>
        <v>Weekday</v>
      </c>
      <c r="AD95" s="2" t="str">
        <f t="shared" si="10"/>
        <v>amy.ellis</v>
      </c>
      <c r="AE95" s="2" t="str">
        <f t="shared" si="11"/>
        <v>gmail</v>
      </c>
      <c r="AF95" s="2" t="str">
        <f t="shared" si="12"/>
        <v>Amy Ellis</v>
      </c>
      <c r="AG95" s="2" t="str">
        <f t="shared" si="13"/>
        <v>Amy</v>
      </c>
      <c r="AH95" s="2" t="str">
        <f t="shared" si="14"/>
        <v>Ellis</v>
      </c>
      <c r="AI95" s="2" t="str">
        <f t="shared" si="15"/>
        <v>Late</v>
      </c>
      <c r="AJ95" s="2" t="str">
        <f t="shared" si="16"/>
        <v>#NAME?</v>
      </c>
    </row>
    <row r="96" ht="14.25" customHeight="1">
      <c r="A96" s="2" t="s">
        <v>639</v>
      </c>
      <c r="B96" s="2" t="s">
        <v>640</v>
      </c>
      <c r="C96" s="2" t="s">
        <v>641</v>
      </c>
      <c r="D96" s="2">
        <v>45.0</v>
      </c>
      <c r="E96" s="2" t="s">
        <v>45</v>
      </c>
      <c r="F96" s="2" t="s">
        <v>83</v>
      </c>
      <c r="G96" s="2" t="s">
        <v>642</v>
      </c>
      <c r="H96" s="2" t="s">
        <v>2151</v>
      </c>
      <c r="I96" s="2" t="s">
        <v>643</v>
      </c>
      <c r="J96" s="2" t="s">
        <v>644</v>
      </c>
      <c r="K96" s="3">
        <v>45504.0</v>
      </c>
      <c r="L96" s="2" t="s">
        <v>645</v>
      </c>
      <c r="M96" s="2" t="s">
        <v>646</v>
      </c>
      <c r="N96" s="2">
        <v>433.62</v>
      </c>
      <c r="O96" s="2">
        <v>2.0</v>
      </c>
      <c r="P96" s="2" t="s">
        <v>78</v>
      </c>
      <c r="Q96" s="2">
        <v>1.0</v>
      </c>
      <c r="R96" s="2">
        <v>41.0</v>
      </c>
      <c r="S96" s="3">
        <v>45510.0</v>
      </c>
      <c r="T96" s="2" t="s">
        <v>647</v>
      </c>
      <c r="U96" s="2">
        <f t="shared" si="1"/>
        <v>6</v>
      </c>
      <c r="V96" s="2">
        <f t="shared" si="2"/>
        <v>4</v>
      </c>
      <c r="W96" s="2">
        <f t="shared" si="3"/>
        <v>867.24</v>
      </c>
      <c r="X96" s="2">
        <f t="shared" si="4"/>
        <v>908.24</v>
      </c>
      <c r="Y96" s="2">
        <f t="shared" si="5"/>
        <v>0</v>
      </c>
      <c r="Z96" s="2">
        <f t="shared" si="6"/>
        <v>867.24</v>
      </c>
      <c r="AA96" s="2">
        <f t="shared" si="7"/>
        <v>908.24</v>
      </c>
      <c r="AB96" s="2" t="str">
        <f t="shared" si="8"/>
        <v>Wednesday</v>
      </c>
      <c r="AC96" s="2" t="str">
        <f t="shared" si="9"/>
        <v>Weekday</v>
      </c>
      <c r="AD96" s="2" t="str">
        <f t="shared" si="10"/>
        <v>beth.mason</v>
      </c>
      <c r="AE96" s="2" t="str">
        <f t="shared" si="11"/>
        <v>outlook</v>
      </c>
      <c r="AF96" s="2" t="str">
        <f t="shared" si="12"/>
        <v>Beth Mason</v>
      </c>
      <c r="AG96" s="2" t="str">
        <f t="shared" si="13"/>
        <v>Beth</v>
      </c>
      <c r="AH96" s="2" t="str">
        <f t="shared" si="14"/>
        <v>Mason</v>
      </c>
      <c r="AI96" s="2" t="str">
        <f t="shared" si="15"/>
        <v>Late</v>
      </c>
      <c r="AJ96" s="2" t="str">
        <f t="shared" si="16"/>
        <v>#NAME?</v>
      </c>
    </row>
    <row r="97" ht="14.25" customHeight="1">
      <c r="A97" s="2" t="s">
        <v>500</v>
      </c>
      <c r="B97" s="2" t="s">
        <v>501</v>
      </c>
      <c r="C97" s="2" t="s">
        <v>502</v>
      </c>
      <c r="D97" s="2">
        <v>64.0</v>
      </c>
      <c r="E97" s="2" t="s">
        <v>22</v>
      </c>
      <c r="F97" s="2" t="s">
        <v>23</v>
      </c>
      <c r="G97" s="2" t="s">
        <v>503</v>
      </c>
      <c r="H97" s="2" t="s">
        <v>2141</v>
      </c>
      <c r="I97" s="2" t="s">
        <v>504</v>
      </c>
      <c r="J97" s="2" t="s">
        <v>648</v>
      </c>
      <c r="K97" s="3">
        <v>45488.0</v>
      </c>
      <c r="L97" s="2" t="s">
        <v>649</v>
      </c>
      <c r="M97" s="2" t="s">
        <v>650</v>
      </c>
      <c r="N97" s="2">
        <v>235.63</v>
      </c>
      <c r="O97" s="2">
        <v>4.0</v>
      </c>
      <c r="P97" s="2" t="s">
        <v>78</v>
      </c>
      <c r="Q97" s="2">
        <v>2.0</v>
      </c>
      <c r="R97" s="2">
        <v>60.0</v>
      </c>
      <c r="S97" s="3">
        <v>45495.0</v>
      </c>
      <c r="T97" s="2" t="s">
        <v>651</v>
      </c>
      <c r="U97" s="2">
        <f t="shared" si="1"/>
        <v>7</v>
      </c>
      <c r="V97" s="2">
        <f t="shared" si="2"/>
        <v>17</v>
      </c>
      <c r="W97" s="2">
        <f t="shared" si="3"/>
        <v>942.52</v>
      </c>
      <c r="X97" s="2">
        <f t="shared" si="4"/>
        <v>1002.52</v>
      </c>
      <c r="Y97" s="2">
        <f t="shared" si="5"/>
        <v>0</v>
      </c>
      <c r="Z97" s="2">
        <f t="shared" si="6"/>
        <v>942.52</v>
      </c>
      <c r="AA97" s="2">
        <f t="shared" si="7"/>
        <v>1002.52</v>
      </c>
      <c r="AB97" s="2" t="str">
        <f t="shared" si="8"/>
        <v>Monday</v>
      </c>
      <c r="AC97" s="2" t="str">
        <f t="shared" si="9"/>
        <v>Weekday</v>
      </c>
      <c r="AD97" s="2" t="str">
        <f t="shared" si="10"/>
        <v>sarah.butler</v>
      </c>
      <c r="AE97" s="2" t="str">
        <f t="shared" si="11"/>
        <v>rediffmail</v>
      </c>
      <c r="AF97" s="2" t="str">
        <f t="shared" si="12"/>
        <v>Sarah Butler</v>
      </c>
      <c r="AG97" s="2" t="str">
        <f t="shared" si="13"/>
        <v>Sarah</v>
      </c>
      <c r="AH97" s="2" t="str">
        <f t="shared" si="14"/>
        <v>Butler</v>
      </c>
      <c r="AI97" s="2" t="str">
        <f t="shared" si="15"/>
        <v>Late</v>
      </c>
      <c r="AJ97" s="2" t="str">
        <f t="shared" si="16"/>
        <v>#NAME?</v>
      </c>
    </row>
    <row r="98" ht="14.25" customHeight="1">
      <c r="A98" s="2" t="s">
        <v>220</v>
      </c>
      <c r="B98" s="2" t="s">
        <v>221</v>
      </c>
      <c r="C98" s="2" t="s">
        <v>222</v>
      </c>
      <c r="D98" s="2">
        <v>64.0</v>
      </c>
      <c r="E98" s="2" t="s">
        <v>34</v>
      </c>
      <c r="F98" s="2" t="s">
        <v>35</v>
      </c>
      <c r="G98" s="2" t="s">
        <v>223</v>
      </c>
      <c r="H98" s="2" t="s">
        <v>2112</v>
      </c>
      <c r="I98" s="2" t="s">
        <v>224</v>
      </c>
      <c r="J98" s="2" t="s">
        <v>652</v>
      </c>
      <c r="K98" s="3">
        <v>45118.0</v>
      </c>
      <c r="L98" s="2" t="s">
        <v>653</v>
      </c>
      <c r="M98" s="2" t="s">
        <v>284</v>
      </c>
      <c r="N98" s="2">
        <v>158.53</v>
      </c>
      <c r="O98" s="2">
        <v>5.0</v>
      </c>
      <c r="P98" s="2" t="s">
        <v>78</v>
      </c>
      <c r="Q98" s="2">
        <v>1.0</v>
      </c>
      <c r="R98" s="2">
        <v>57.0</v>
      </c>
      <c r="S98" s="3">
        <v>45125.0</v>
      </c>
      <c r="T98" s="2" t="s">
        <v>654</v>
      </c>
      <c r="U98" s="2">
        <f t="shared" si="1"/>
        <v>7</v>
      </c>
      <c r="V98" s="2">
        <f t="shared" si="2"/>
        <v>7</v>
      </c>
      <c r="W98" s="2">
        <f t="shared" si="3"/>
        <v>792.65</v>
      </c>
      <c r="X98" s="2">
        <f t="shared" si="4"/>
        <v>849.65</v>
      </c>
      <c r="Y98" s="2">
        <f t="shared" si="5"/>
        <v>0</v>
      </c>
      <c r="Z98" s="2">
        <f t="shared" si="6"/>
        <v>792.65</v>
      </c>
      <c r="AA98" s="2">
        <f t="shared" si="7"/>
        <v>849.65</v>
      </c>
      <c r="AB98" s="2" t="str">
        <f t="shared" si="8"/>
        <v>Tuesday</v>
      </c>
      <c r="AC98" s="2" t="str">
        <f t="shared" si="9"/>
        <v>Weekday</v>
      </c>
      <c r="AD98" s="2" t="str">
        <f t="shared" si="10"/>
        <v>john.herrera</v>
      </c>
      <c r="AE98" s="2" t="str">
        <f t="shared" si="11"/>
        <v>outlook</v>
      </c>
      <c r="AF98" s="2" t="str">
        <f t="shared" si="12"/>
        <v>John Herrera</v>
      </c>
      <c r="AG98" s="2" t="str">
        <f t="shared" si="13"/>
        <v>John</v>
      </c>
      <c r="AH98" s="2" t="str">
        <f t="shared" si="14"/>
        <v>Herrera</v>
      </c>
      <c r="AI98" s="2" t="str">
        <f t="shared" si="15"/>
        <v>Late</v>
      </c>
      <c r="AJ98" s="2" t="str">
        <f t="shared" si="16"/>
        <v>#NAME?</v>
      </c>
    </row>
    <row r="99" ht="14.25" customHeight="1">
      <c r="A99" s="2" t="s">
        <v>220</v>
      </c>
      <c r="B99" s="2" t="s">
        <v>221</v>
      </c>
      <c r="C99" s="2" t="s">
        <v>222</v>
      </c>
      <c r="D99" s="2">
        <v>64.0</v>
      </c>
      <c r="E99" s="2" t="s">
        <v>34</v>
      </c>
      <c r="F99" s="2" t="s">
        <v>35</v>
      </c>
      <c r="G99" s="2" t="s">
        <v>223</v>
      </c>
      <c r="H99" s="2" t="s">
        <v>2112</v>
      </c>
      <c r="I99" s="2" t="s">
        <v>224</v>
      </c>
      <c r="J99" s="2" t="s">
        <v>655</v>
      </c>
      <c r="K99" s="3">
        <v>45183.0</v>
      </c>
      <c r="L99" s="2" t="s">
        <v>656</v>
      </c>
      <c r="M99" s="2" t="s">
        <v>74</v>
      </c>
      <c r="N99" s="2">
        <v>330.11</v>
      </c>
      <c r="O99" s="2">
        <v>3.0</v>
      </c>
      <c r="P99" s="2" t="s">
        <v>51</v>
      </c>
      <c r="Q99" s="2">
        <v>3.0</v>
      </c>
      <c r="R99" s="2">
        <v>65.0</v>
      </c>
      <c r="S99" s="3">
        <v>45186.0</v>
      </c>
      <c r="T99" s="2" t="s">
        <v>657</v>
      </c>
      <c r="U99" s="2">
        <f t="shared" si="1"/>
        <v>3</v>
      </c>
      <c r="V99" s="2">
        <f t="shared" si="2"/>
        <v>21</v>
      </c>
      <c r="W99" s="2">
        <f t="shared" si="3"/>
        <v>990.33</v>
      </c>
      <c r="X99" s="2">
        <f t="shared" si="4"/>
        <v>1055.33</v>
      </c>
      <c r="Y99" s="2">
        <f t="shared" si="5"/>
        <v>0</v>
      </c>
      <c r="Z99" s="2">
        <f t="shared" si="6"/>
        <v>990.33</v>
      </c>
      <c r="AA99" s="2">
        <f t="shared" si="7"/>
        <v>1055.33</v>
      </c>
      <c r="AB99" s="2" t="str">
        <f t="shared" si="8"/>
        <v>Thursday</v>
      </c>
      <c r="AC99" s="2" t="str">
        <f t="shared" si="9"/>
        <v>Weekday</v>
      </c>
      <c r="AD99" s="2" t="str">
        <f t="shared" si="10"/>
        <v>john.herrera</v>
      </c>
      <c r="AE99" s="2" t="str">
        <f t="shared" si="11"/>
        <v>outlook</v>
      </c>
      <c r="AF99" s="2" t="str">
        <f t="shared" si="12"/>
        <v>John Herrera</v>
      </c>
      <c r="AG99" s="2" t="str">
        <f t="shared" si="13"/>
        <v>John</v>
      </c>
      <c r="AH99" s="2" t="str">
        <f t="shared" si="14"/>
        <v>Herrera</v>
      </c>
      <c r="AI99" s="2" t="str">
        <f t="shared" si="15"/>
        <v>InTime</v>
      </c>
      <c r="AJ99" s="2" t="str">
        <f t="shared" si="16"/>
        <v>#NAME?</v>
      </c>
    </row>
    <row r="100" ht="14.25" customHeight="1">
      <c r="A100" s="2" t="s">
        <v>639</v>
      </c>
      <c r="B100" s="2" t="s">
        <v>640</v>
      </c>
      <c r="C100" s="2" t="s">
        <v>641</v>
      </c>
      <c r="D100" s="2">
        <v>45.0</v>
      </c>
      <c r="E100" s="2" t="s">
        <v>45</v>
      </c>
      <c r="F100" s="2" t="s">
        <v>83</v>
      </c>
      <c r="G100" s="2" t="s">
        <v>642</v>
      </c>
      <c r="H100" s="2" t="s">
        <v>2151</v>
      </c>
      <c r="I100" s="2" t="s">
        <v>643</v>
      </c>
      <c r="J100" s="2" t="s">
        <v>658</v>
      </c>
      <c r="K100" s="3">
        <v>45673.0</v>
      </c>
      <c r="L100" s="2" t="s">
        <v>659</v>
      </c>
      <c r="M100" s="2" t="s">
        <v>147</v>
      </c>
      <c r="N100" s="2">
        <v>220.27</v>
      </c>
      <c r="O100" s="2">
        <v>2.0</v>
      </c>
      <c r="P100" s="2" t="s">
        <v>78</v>
      </c>
      <c r="Q100" s="2">
        <v>1.0</v>
      </c>
      <c r="R100" s="2">
        <v>63.0</v>
      </c>
      <c r="S100" s="3">
        <v>45675.0</v>
      </c>
      <c r="T100" s="2" t="s">
        <v>660</v>
      </c>
      <c r="U100" s="2">
        <f t="shared" si="1"/>
        <v>2</v>
      </c>
      <c r="V100" s="2">
        <f t="shared" si="2"/>
        <v>7</v>
      </c>
      <c r="W100" s="2">
        <f t="shared" si="3"/>
        <v>440.54</v>
      </c>
      <c r="X100" s="2">
        <f t="shared" si="4"/>
        <v>503.54</v>
      </c>
      <c r="Y100" s="2">
        <f t="shared" si="5"/>
        <v>0</v>
      </c>
      <c r="Z100" s="2">
        <f t="shared" si="6"/>
        <v>440.54</v>
      </c>
      <c r="AA100" s="2">
        <f t="shared" si="7"/>
        <v>503.54</v>
      </c>
      <c r="AB100" s="2" t="str">
        <f t="shared" si="8"/>
        <v>Thursday</v>
      </c>
      <c r="AC100" s="2" t="str">
        <f t="shared" si="9"/>
        <v>Weekday</v>
      </c>
      <c r="AD100" s="2" t="str">
        <f t="shared" si="10"/>
        <v>beth.mason</v>
      </c>
      <c r="AE100" s="2" t="str">
        <f t="shared" si="11"/>
        <v>outlook</v>
      </c>
      <c r="AF100" s="2" t="str">
        <f t="shared" si="12"/>
        <v>Beth Mason</v>
      </c>
      <c r="AG100" s="2" t="str">
        <f t="shared" si="13"/>
        <v>Beth</v>
      </c>
      <c r="AH100" s="2" t="str">
        <f t="shared" si="14"/>
        <v>Mason</v>
      </c>
      <c r="AI100" s="2" t="str">
        <f t="shared" si="15"/>
        <v>Late</v>
      </c>
      <c r="AJ100" s="2" t="str">
        <f t="shared" si="16"/>
        <v>#NAME?</v>
      </c>
    </row>
    <row r="101" ht="14.25" customHeight="1">
      <c r="A101" s="2" t="s">
        <v>585</v>
      </c>
      <c r="B101" s="2" t="s">
        <v>586</v>
      </c>
      <c r="C101" s="2" t="s">
        <v>587</v>
      </c>
      <c r="D101" s="2">
        <v>21.0</v>
      </c>
      <c r="E101" s="2" t="s">
        <v>22</v>
      </c>
      <c r="F101" s="2" t="s">
        <v>35</v>
      </c>
      <c r="G101" s="2" t="s">
        <v>588</v>
      </c>
      <c r="H101" s="2" t="s">
        <v>2147</v>
      </c>
      <c r="I101" s="2" t="s">
        <v>589</v>
      </c>
      <c r="J101" s="2" t="s">
        <v>661</v>
      </c>
      <c r="K101" s="3">
        <v>45321.0</v>
      </c>
      <c r="L101" s="2" t="s">
        <v>662</v>
      </c>
      <c r="M101" s="2" t="s">
        <v>98</v>
      </c>
      <c r="N101" s="2">
        <v>275.44</v>
      </c>
      <c r="O101" s="2">
        <v>3.0</v>
      </c>
      <c r="P101" s="2" t="s">
        <v>51</v>
      </c>
      <c r="Q101" s="2">
        <v>7.0</v>
      </c>
      <c r="R101" s="2">
        <v>47.0</v>
      </c>
      <c r="S101" s="3">
        <v>45322.0</v>
      </c>
      <c r="T101" s="2" t="s">
        <v>663</v>
      </c>
      <c r="U101" s="2">
        <f t="shared" si="1"/>
        <v>1</v>
      </c>
      <c r="V101" s="2">
        <f t="shared" si="2"/>
        <v>1</v>
      </c>
      <c r="W101" s="2">
        <f t="shared" si="3"/>
        <v>826.32</v>
      </c>
      <c r="X101" s="2">
        <f t="shared" si="4"/>
        <v>873.32</v>
      </c>
      <c r="Y101" s="2">
        <f t="shared" si="5"/>
        <v>0</v>
      </c>
      <c r="Z101" s="2">
        <f t="shared" si="6"/>
        <v>826.32</v>
      </c>
      <c r="AA101" s="2">
        <f t="shared" si="7"/>
        <v>873.32</v>
      </c>
      <c r="AB101" s="2" t="str">
        <f t="shared" si="8"/>
        <v>Tuesday</v>
      </c>
      <c r="AC101" s="2" t="str">
        <f t="shared" si="9"/>
        <v>Weekday</v>
      </c>
      <c r="AD101" s="2" t="str">
        <f t="shared" si="10"/>
        <v>william.mann</v>
      </c>
      <c r="AE101" s="2" t="str">
        <f t="shared" si="11"/>
        <v>yahoo</v>
      </c>
      <c r="AF101" s="2" t="str">
        <f t="shared" si="12"/>
        <v>William Mann</v>
      </c>
      <c r="AG101" s="2" t="str">
        <f t="shared" si="13"/>
        <v>William</v>
      </c>
      <c r="AH101" s="2" t="str">
        <f t="shared" si="14"/>
        <v>Mann</v>
      </c>
      <c r="AI101" s="2" t="str">
        <f t="shared" si="15"/>
        <v>Before Time</v>
      </c>
      <c r="AJ101" s="2" t="str">
        <f t="shared" si="16"/>
        <v>#NAME?</v>
      </c>
    </row>
    <row r="102" ht="14.25" customHeight="1">
      <c r="A102" s="2" t="s">
        <v>664</v>
      </c>
      <c r="B102" s="2" t="s">
        <v>665</v>
      </c>
      <c r="C102" s="2" t="s">
        <v>666</v>
      </c>
      <c r="D102" s="2">
        <v>38.0</v>
      </c>
      <c r="E102" s="2" t="s">
        <v>34</v>
      </c>
      <c r="F102" s="2" t="s">
        <v>213</v>
      </c>
      <c r="G102" s="2" t="s">
        <v>667</v>
      </c>
      <c r="H102" s="2" t="s">
        <v>2152</v>
      </c>
      <c r="I102" s="2" t="s">
        <v>668</v>
      </c>
      <c r="J102" s="2" t="s">
        <v>669</v>
      </c>
      <c r="K102" s="3">
        <v>45203.0</v>
      </c>
      <c r="L102" s="2" t="s">
        <v>670</v>
      </c>
      <c r="M102" s="2" t="s">
        <v>566</v>
      </c>
      <c r="N102" s="2">
        <v>477.52</v>
      </c>
      <c r="O102" s="2">
        <v>3.0</v>
      </c>
      <c r="P102" s="2" t="s">
        <v>29</v>
      </c>
      <c r="Q102" s="2">
        <v>7.0</v>
      </c>
      <c r="R102" s="2">
        <v>66.0</v>
      </c>
      <c r="S102" s="3">
        <v>45208.0</v>
      </c>
      <c r="T102" s="2" t="s">
        <v>671</v>
      </c>
      <c r="U102" s="2">
        <f t="shared" si="1"/>
        <v>5</v>
      </c>
      <c r="V102" s="2">
        <f t="shared" si="2"/>
        <v>2</v>
      </c>
      <c r="W102" s="2">
        <f t="shared" si="3"/>
        <v>1432.56</v>
      </c>
      <c r="X102" s="2">
        <f t="shared" si="4"/>
        <v>1498.56</v>
      </c>
      <c r="Y102" s="2">
        <f t="shared" si="5"/>
        <v>0</v>
      </c>
      <c r="Z102" s="2">
        <f t="shared" si="6"/>
        <v>1432.56</v>
      </c>
      <c r="AA102" s="2">
        <f t="shared" si="7"/>
        <v>1498.56</v>
      </c>
      <c r="AB102" s="2" t="str">
        <f t="shared" si="8"/>
        <v>Wednesday</v>
      </c>
      <c r="AC102" s="2" t="str">
        <f t="shared" si="9"/>
        <v>Weekday</v>
      </c>
      <c r="AD102" s="2" t="str">
        <f t="shared" si="10"/>
        <v>christy.chang</v>
      </c>
      <c r="AE102" s="2" t="str">
        <f t="shared" si="11"/>
        <v>outlook</v>
      </c>
      <c r="AF102" s="2" t="str">
        <f t="shared" si="12"/>
        <v>Christy Chang</v>
      </c>
      <c r="AG102" s="2" t="str">
        <f t="shared" si="13"/>
        <v>Christy</v>
      </c>
      <c r="AH102" s="2" t="str">
        <f t="shared" si="14"/>
        <v>Chang</v>
      </c>
      <c r="AI102" s="2" t="str">
        <f t="shared" si="15"/>
        <v>Before Time</v>
      </c>
      <c r="AJ102" s="2" t="str">
        <f t="shared" si="16"/>
        <v>#NAME?</v>
      </c>
    </row>
    <row r="103" ht="14.25" customHeight="1">
      <c r="A103" s="2" t="s">
        <v>672</v>
      </c>
      <c r="B103" s="2" t="s">
        <v>673</v>
      </c>
      <c r="C103" s="2" t="s">
        <v>674</v>
      </c>
      <c r="D103" s="2">
        <v>68.0</v>
      </c>
      <c r="E103" s="2" t="s">
        <v>22</v>
      </c>
      <c r="F103" s="2" t="s">
        <v>213</v>
      </c>
      <c r="G103" s="2" t="s">
        <v>675</v>
      </c>
      <c r="H103" s="2" t="s">
        <v>2153</v>
      </c>
      <c r="I103" s="2" t="s">
        <v>676</v>
      </c>
      <c r="J103" s="2" t="s">
        <v>677</v>
      </c>
      <c r="K103" s="3">
        <v>45636.0</v>
      </c>
      <c r="L103" s="2" t="s">
        <v>678</v>
      </c>
      <c r="M103" s="2" t="s">
        <v>679</v>
      </c>
      <c r="N103" s="2">
        <v>424.82</v>
      </c>
      <c r="O103" s="2">
        <v>1.0</v>
      </c>
      <c r="P103" s="2" t="s">
        <v>56</v>
      </c>
      <c r="Q103" s="2">
        <v>6.0</v>
      </c>
      <c r="R103" s="2">
        <v>44.0</v>
      </c>
      <c r="S103" s="3">
        <v>45638.0</v>
      </c>
      <c r="T103" s="2" t="s">
        <v>680</v>
      </c>
      <c r="U103" s="2">
        <f t="shared" si="1"/>
        <v>2</v>
      </c>
      <c r="V103" s="2">
        <f t="shared" si="2"/>
        <v>13</v>
      </c>
      <c r="W103" s="2">
        <f t="shared" si="3"/>
        <v>424.82</v>
      </c>
      <c r="X103" s="2">
        <f t="shared" si="4"/>
        <v>468.82</v>
      </c>
      <c r="Y103" s="2">
        <f t="shared" si="5"/>
        <v>0</v>
      </c>
      <c r="Z103" s="2">
        <f t="shared" si="6"/>
        <v>424.82</v>
      </c>
      <c r="AA103" s="2">
        <f t="shared" si="7"/>
        <v>424.82</v>
      </c>
      <c r="AB103" s="2" t="str">
        <f t="shared" si="8"/>
        <v>Tuesday</v>
      </c>
      <c r="AC103" s="2" t="str">
        <f t="shared" si="9"/>
        <v>Weekday</v>
      </c>
      <c r="AD103" s="2" t="str">
        <f t="shared" si="10"/>
        <v>troy.gomez</v>
      </c>
      <c r="AE103" s="2" t="str">
        <f t="shared" si="11"/>
        <v>outlook</v>
      </c>
      <c r="AF103" s="2" t="str">
        <f t="shared" si="12"/>
        <v>Troy Gomez</v>
      </c>
      <c r="AG103" s="2" t="str">
        <f t="shared" si="13"/>
        <v>Troy</v>
      </c>
      <c r="AH103" s="2" t="str">
        <f t="shared" si="14"/>
        <v>Gomez</v>
      </c>
      <c r="AI103" s="2" t="str">
        <f t="shared" si="15"/>
        <v>Before Time</v>
      </c>
      <c r="AJ103" s="2" t="str">
        <f t="shared" si="16"/>
        <v>#NAME?</v>
      </c>
    </row>
    <row r="104" ht="14.25" customHeight="1">
      <c r="A104" s="2" t="s">
        <v>681</v>
      </c>
      <c r="B104" s="2" t="s">
        <v>682</v>
      </c>
      <c r="C104" s="2" t="s">
        <v>683</v>
      </c>
      <c r="D104" s="2">
        <v>65.0</v>
      </c>
      <c r="E104" s="2" t="s">
        <v>34</v>
      </c>
      <c r="F104" s="2" t="s">
        <v>83</v>
      </c>
      <c r="G104" s="2" t="s">
        <v>684</v>
      </c>
      <c r="H104" s="2" t="s">
        <v>2154</v>
      </c>
      <c r="I104" s="2" t="s">
        <v>685</v>
      </c>
      <c r="J104" s="2" t="s">
        <v>686</v>
      </c>
      <c r="K104" s="3">
        <v>45165.0</v>
      </c>
      <c r="L104" s="2" t="s">
        <v>687</v>
      </c>
      <c r="M104" s="2" t="s">
        <v>423</v>
      </c>
      <c r="N104" s="2">
        <v>369.03</v>
      </c>
      <c r="O104" s="2">
        <v>4.0</v>
      </c>
      <c r="P104" s="2" t="s">
        <v>29</v>
      </c>
      <c r="Q104" s="2">
        <v>3.0</v>
      </c>
      <c r="R104" s="2">
        <v>56.0</v>
      </c>
      <c r="S104" s="3">
        <v>45169.0</v>
      </c>
      <c r="T104" s="2" t="s">
        <v>688</v>
      </c>
      <c r="U104" s="2">
        <f t="shared" si="1"/>
        <v>4</v>
      </c>
      <c r="V104" s="2">
        <f t="shared" si="2"/>
        <v>18</v>
      </c>
      <c r="W104" s="2">
        <f t="shared" si="3"/>
        <v>1476.12</v>
      </c>
      <c r="X104" s="2">
        <f t="shared" si="4"/>
        <v>1532.12</v>
      </c>
      <c r="Y104" s="2">
        <f t="shared" si="5"/>
        <v>0</v>
      </c>
      <c r="Z104" s="2">
        <f t="shared" si="6"/>
        <v>1476.12</v>
      </c>
      <c r="AA104" s="2">
        <f t="shared" si="7"/>
        <v>1532.12</v>
      </c>
      <c r="AB104" s="2" t="str">
        <f t="shared" si="8"/>
        <v>Sunday</v>
      </c>
      <c r="AC104" s="2" t="str">
        <f t="shared" si="9"/>
        <v>Weekend</v>
      </c>
      <c r="AD104" s="2" t="str">
        <f t="shared" si="10"/>
        <v>kim.blevins</v>
      </c>
      <c r="AE104" s="2" t="str">
        <f t="shared" si="11"/>
        <v>outlook</v>
      </c>
      <c r="AF104" s="2" t="str">
        <f t="shared" si="12"/>
        <v>Kim Blevins</v>
      </c>
      <c r="AG104" s="2" t="str">
        <f t="shared" si="13"/>
        <v>Kim</v>
      </c>
      <c r="AH104" s="2" t="str">
        <f t="shared" si="14"/>
        <v>Blevins</v>
      </c>
      <c r="AI104" s="2" t="str">
        <f t="shared" si="15"/>
        <v>Late</v>
      </c>
      <c r="AJ104" s="2" t="str">
        <f t="shared" si="16"/>
        <v>#NAME?</v>
      </c>
    </row>
    <row r="105" ht="14.25" customHeight="1">
      <c r="A105" s="2" t="s">
        <v>443</v>
      </c>
      <c r="B105" s="2" t="s">
        <v>444</v>
      </c>
      <c r="C105" s="2" t="s">
        <v>445</v>
      </c>
      <c r="D105" s="2">
        <v>69.0</v>
      </c>
      <c r="E105" s="2" t="s">
        <v>22</v>
      </c>
      <c r="F105" s="2" t="s">
        <v>23</v>
      </c>
      <c r="G105" s="2" t="s">
        <v>446</v>
      </c>
      <c r="H105" s="2" t="s">
        <v>2134</v>
      </c>
      <c r="I105" s="2" t="s">
        <v>447</v>
      </c>
      <c r="J105" s="2" t="s">
        <v>689</v>
      </c>
      <c r="K105" s="3">
        <v>45484.0</v>
      </c>
      <c r="L105" s="2" t="s">
        <v>690</v>
      </c>
      <c r="M105" s="2" t="s">
        <v>507</v>
      </c>
      <c r="N105" s="2">
        <v>136.3</v>
      </c>
      <c r="O105" s="2">
        <v>2.0</v>
      </c>
      <c r="P105" s="2" t="s">
        <v>89</v>
      </c>
      <c r="Q105" s="2">
        <v>1.0</v>
      </c>
      <c r="R105" s="2">
        <v>54.0</v>
      </c>
      <c r="S105" s="3">
        <v>45485.0</v>
      </c>
      <c r="T105" s="2" t="s">
        <v>691</v>
      </c>
      <c r="U105" s="2">
        <f t="shared" si="1"/>
        <v>1</v>
      </c>
      <c r="V105" s="2">
        <f t="shared" si="2"/>
        <v>21</v>
      </c>
      <c r="W105" s="2">
        <f t="shared" si="3"/>
        <v>272.6</v>
      </c>
      <c r="X105" s="2">
        <f t="shared" si="4"/>
        <v>326.6</v>
      </c>
      <c r="Y105" s="2">
        <f t="shared" si="5"/>
        <v>0</v>
      </c>
      <c r="Z105" s="2">
        <f t="shared" si="6"/>
        <v>272.6</v>
      </c>
      <c r="AA105" s="2">
        <f t="shared" si="7"/>
        <v>326.6</v>
      </c>
      <c r="AB105" s="2" t="str">
        <f t="shared" si="8"/>
        <v>Thursday</v>
      </c>
      <c r="AC105" s="2" t="str">
        <f t="shared" si="9"/>
        <v>Weekday</v>
      </c>
      <c r="AD105" s="2" t="str">
        <f t="shared" si="10"/>
        <v>brian.kennedy</v>
      </c>
      <c r="AE105" s="2" t="str">
        <f t="shared" si="11"/>
        <v>outlook</v>
      </c>
      <c r="AF105" s="2" t="str">
        <f t="shared" si="12"/>
        <v>Brian Kennedy</v>
      </c>
      <c r="AG105" s="2" t="str">
        <f t="shared" si="13"/>
        <v>Brian</v>
      </c>
      <c r="AH105" s="2" t="str">
        <f t="shared" si="14"/>
        <v>Kennedy</v>
      </c>
      <c r="AI105" s="2" t="str">
        <f t="shared" si="15"/>
        <v>InTime</v>
      </c>
      <c r="AJ105" s="2" t="str">
        <f t="shared" si="16"/>
        <v>#NAME?</v>
      </c>
    </row>
    <row r="106" ht="14.25" customHeight="1">
      <c r="A106" s="2" t="s">
        <v>405</v>
      </c>
      <c r="B106" s="2" t="s">
        <v>221</v>
      </c>
      <c r="C106" s="2" t="s">
        <v>406</v>
      </c>
      <c r="D106" s="2">
        <v>28.0</v>
      </c>
      <c r="E106" s="2" t="s">
        <v>45</v>
      </c>
      <c r="F106" s="2" t="s">
        <v>133</v>
      </c>
      <c r="G106" s="2" t="s">
        <v>407</v>
      </c>
      <c r="H106" s="2" t="s">
        <v>2130</v>
      </c>
      <c r="I106" s="2" t="s">
        <v>408</v>
      </c>
      <c r="J106" s="2" t="s">
        <v>692</v>
      </c>
      <c r="K106" s="3">
        <v>45113.0</v>
      </c>
      <c r="L106" s="2" t="s">
        <v>693</v>
      </c>
      <c r="M106" s="2" t="s">
        <v>147</v>
      </c>
      <c r="N106" s="2">
        <v>220.27</v>
      </c>
      <c r="O106" s="2">
        <v>4.0</v>
      </c>
      <c r="P106" s="2" t="s">
        <v>78</v>
      </c>
      <c r="Q106" s="2">
        <v>4.0</v>
      </c>
      <c r="R106" s="2">
        <v>65.0</v>
      </c>
      <c r="S106" s="3">
        <v>45117.0</v>
      </c>
      <c r="T106" s="2" t="s">
        <v>694</v>
      </c>
      <c r="U106" s="2">
        <f t="shared" si="1"/>
        <v>4</v>
      </c>
      <c r="V106" s="2">
        <f t="shared" si="2"/>
        <v>17</v>
      </c>
      <c r="W106" s="2">
        <f t="shared" si="3"/>
        <v>881.08</v>
      </c>
      <c r="X106" s="2">
        <f t="shared" si="4"/>
        <v>946.08</v>
      </c>
      <c r="Y106" s="2">
        <f t="shared" si="5"/>
        <v>0</v>
      </c>
      <c r="Z106" s="2">
        <f t="shared" si="6"/>
        <v>881.08</v>
      </c>
      <c r="AA106" s="2">
        <f t="shared" si="7"/>
        <v>946.08</v>
      </c>
      <c r="AB106" s="2" t="str">
        <f t="shared" si="8"/>
        <v>Thursday</v>
      </c>
      <c r="AC106" s="2" t="str">
        <f t="shared" si="9"/>
        <v>Weekday</v>
      </c>
      <c r="AD106" s="2" t="str">
        <f t="shared" si="10"/>
        <v>john.ramirez</v>
      </c>
      <c r="AE106" s="2" t="str">
        <f t="shared" si="11"/>
        <v>outlook</v>
      </c>
      <c r="AF106" s="2" t="str">
        <f t="shared" si="12"/>
        <v>John Ramirez</v>
      </c>
      <c r="AG106" s="2" t="str">
        <f t="shared" si="13"/>
        <v>John</v>
      </c>
      <c r="AH106" s="2" t="str">
        <f t="shared" si="14"/>
        <v>Ramirez</v>
      </c>
      <c r="AI106" s="2" t="str">
        <f t="shared" si="15"/>
        <v>InTime</v>
      </c>
      <c r="AJ106" s="2" t="str">
        <f t="shared" si="16"/>
        <v>#NAME?</v>
      </c>
    </row>
    <row r="107" ht="14.25" customHeight="1">
      <c r="A107" s="2" t="s">
        <v>585</v>
      </c>
      <c r="B107" s="2" t="s">
        <v>586</v>
      </c>
      <c r="C107" s="2" t="s">
        <v>587</v>
      </c>
      <c r="D107" s="2">
        <v>21.0</v>
      </c>
      <c r="E107" s="2" t="s">
        <v>22</v>
      </c>
      <c r="F107" s="2" t="s">
        <v>35</v>
      </c>
      <c r="G107" s="2" t="s">
        <v>588</v>
      </c>
      <c r="H107" s="2" t="s">
        <v>2147</v>
      </c>
      <c r="I107" s="2" t="s">
        <v>589</v>
      </c>
      <c r="J107" s="2" t="s">
        <v>695</v>
      </c>
      <c r="K107" s="3">
        <v>45530.0</v>
      </c>
      <c r="L107" s="2" t="s">
        <v>696</v>
      </c>
      <c r="M107" s="2" t="s">
        <v>556</v>
      </c>
      <c r="N107" s="2">
        <v>133.62</v>
      </c>
      <c r="O107" s="2">
        <v>5.0</v>
      </c>
      <c r="P107" s="2" t="s">
        <v>51</v>
      </c>
      <c r="Q107" s="2">
        <v>6.0</v>
      </c>
      <c r="R107" s="2">
        <v>64.0</v>
      </c>
      <c r="S107" s="3">
        <v>45532.0</v>
      </c>
      <c r="T107" s="2" t="s">
        <v>697</v>
      </c>
      <c r="U107" s="2">
        <f t="shared" si="1"/>
        <v>2</v>
      </c>
      <c r="V107" s="2">
        <f t="shared" si="2"/>
        <v>15</v>
      </c>
      <c r="W107" s="2">
        <f t="shared" si="3"/>
        <v>668.1</v>
      </c>
      <c r="X107" s="2">
        <f t="shared" si="4"/>
        <v>732.1</v>
      </c>
      <c r="Y107" s="2">
        <f t="shared" si="5"/>
        <v>0</v>
      </c>
      <c r="Z107" s="2">
        <f t="shared" si="6"/>
        <v>668.1</v>
      </c>
      <c r="AA107" s="2">
        <f t="shared" si="7"/>
        <v>732.1</v>
      </c>
      <c r="AB107" s="2" t="str">
        <f t="shared" si="8"/>
        <v>Monday</v>
      </c>
      <c r="AC107" s="2" t="str">
        <f t="shared" si="9"/>
        <v>Weekday</v>
      </c>
      <c r="AD107" s="2" t="str">
        <f t="shared" si="10"/>
        <v>william.mann</v>
      </c>
      <c r="AE107" s="2" t="str">
        <f t="shared" si="11"/>
        <v>yahoo</v>
      </c>
      <c r="AF107" s="2" t="str">
        <f t="shared" si="12"/>
        <v>William Mann</v>
      </c>
      <c r="AG107" s="2" t="str">
        <f t="shared" si="13"/>
        <v>William</v>
      </c>
      <c r="AH107" s="2" t="str">
        <f t="shared" si="14"/>
        <v>Mann</v>
      </c>
      <c r="AI107" s="2" t="str">
        <f t="shared" si="15"/>
        <v>Before Time</v>
      </c>
      <c r="AJ107" s="2" t="str">
        <f t="shared" si="16"/>
        <v>#NAME?</v>
      </c>
    </row>
    <row r="108" ht="14.25" customHeight="1">
      <c r="A108" s="2" t="s">
        <v>698</v>
      </c>
      <c r="B108" s="2" t="s">
        <v>699</v>
      </c>
      <c r="C108" s="2" t="s">
        <v>700</v>
      </c>
      <c r="D108" s="2">
        <v>26.0</v>
      </c>
      <c r="E108" s="2" t="s">
        <v>45</v>
      </c>
      <c r="F108" s="2" t="s">
        <v>69</v>
      </c>
      <c r="G108" s="2" t="s">
        <v>701</v>
      </c>
      <c r="H108" s="2" t="s">
        <v>2155</v>
      </c>
      <c r="I108" s="2" t="s">
        <v>702</v>
      </c>
      <c r="J108" s="2" t="s">
        <v>703</v>
      </c>
      <c r="K108" s="3">
        <v>45432.0</v>
      </c>
      <c r="L108" s="2" t="s">
        <v>704</v>
      </c>
      <c r="M108" s="2" t="s">
        <v>28</v>
      </c>
      <c r="N108" s="2">
        <v>308.88</v>
      </c>
      <c r="O108" s="2">
        <v>2.0</v>
      </c>
      <c r="P108" s="2" t="s">
        <v>78</v>
      </c>
      <c r="Q108" s="2">
        <v>4.0</v>
      </c>
      <c r="R108" s="2">
        <v>61.0</v>
      </c>
      <c r="S108" s="3">
        <v>45436.0</v>
      </c>
      <c r="T108" s="2" t="s">
        <v>705</v>
      </c>
      <c r="U108" s="2">
        <f t="shared" si="1"/>
        <v>4</v>
      </c>
      <c r="V108" s="2">
        <f t="shared" si="2"/>
        <v>18</v>
      </c>
      <c r="W108" s="2">
        <f t="shared" si="3"/>
        <v>617.76</v>
      </c>
      <c r="X108" s="2">
        <f t="shared" si="4"/>
        <v>678.76</v>
      </c>
      <c r="Y108" s="2">
        <f t="shared" si="5"/>
        <v>0</v>
      </c>
      <c r="Z108" s="2">
        <f t="shared" si="6"/>
        <v>617.76</v>
      </c>
      <c r="AA108" s="2">
        <f t="shared" si="7"/>
        <v>678.76</v>
      </c>
      <c r="AB108" s="2" t="str">
        <f t="shared" si="8"/>
        <v>Monday</v>
      </c>
      <c r="AC108" s="2" t="str">
        <f t="shared" si="9"/>
        <v>Weekday</v>
      </c>
      <c r="AD108" s="2" t="str">
        <f t="shared" si="10"/>
        <v>gregory.lee</v>
      </c>
      <c r="AE108" s="2" t="str">
        <f t="shared" si="11"/>
        <v>rediffmail</v>
      </c>
      <c r="AF108" s="2" t="str">
        <f t="shared" si="12"/>
        <v>Gregory Lee</v>
      </c>
      <c r="AG108" s="2" t="str">
        <f t="shared" si="13"/>
        <v>Gregory</v>
      </c>
      <c r="AH108" s="2" t="str">
        <f t="shared" si="14"/>
        <v>Lee</v>
      </c>
      <c r="AI108" s="2" t="str">
        <f t="shared" si="15"/>
        <v>InTime</v>
      </c>
      <c r="AJ108" s="2" t="str">
        <f t="shared" si="16"/>
        <v>#NAME?</v>
      </c>
    </row>
    <row r="109" ht="14.25" customHeight="1">
      <c r="A109" s="2" t="s">
        <v>229</v>
      </c>
      <c r="B109" s="2" t="s">
        <v>59</v>
      </c>
      <c r="C109" s="2" t="s">
        <v>230</v>
      </c>
      <c r="D109" s="2">
        <v>52.0</v>
      </c>
      <c r="E109" s="2" t="s">
        <v>45</v>
      </c>
      <c r="F109" s="2" t="s">
        <v>35</v>
      </c>
      <c r="G109" s="2" t="s">
        <v>231</v>
      </c>
      <c r="H109" s="2" t="s">
        <v>2113</v>
      </c>
      <c r="I109" s="2" t="s">
        <v>232</v>
      </c>
      <c r="J109" s="2" t="s">
        <v>706</v>
      </c>
      <c r="K109" s="3">
        <v>45427.0</v>
      </c>
      <c r="L109" s="2" t="s">
        <v>707</v>
      </c>
      <c r="M109" s="2" t="s">
        <v>218</v>
      </c>
      <c r="N109" s="2">
        <v>461.07</v>
      </c>
      <c r="O109" s="2">
        <v>1.0</v>
      </c>
      <c r="P109" s="2" t="s">
        <v>78</v>
      </c>
      <c r="Q109" s="2">
        <v>7.0</v>
      </c>
      <c r="R109" s="2">
        <v>57.0</v>
      </c>
      <c r="S109" s="3">
        <v>45434.0</v>
      </c>
      <c r="T109" s="2" t="s">
        <v>708</v>
      </c>
      <c r="U109" s="2">
        <f t="shared" si="1"/>
        <v>7</v>
      </c>
      <c r="V109" s="2">
        <f t="shared" si="2"/>
        <v>0</v>
      </c>
      <c r="W109" s="2">
        <f t="shared" si="3"/>
        <v>461.07</v>
      </c>
      <c r="X109" s="2">
        <f t="shared" si="4"/>
        <v>518.07</v>
      </c>
      <c r="Y109" s="2">
        <f t="shared" si="5"/>
        <v>0</v>
      </c>
      <c r="Z109" s="2">
        <f t="shared" si="6"/>
        <v>461.07</v>
      </c>
      <c r="AA109" s="2">
        <f t="shared" si="7"/>
        <v>518.07</v>
      </c>
      <c r="AB109" s="2" t="str">
        <f t="shared" si="8"/>
        <v>Wednesday</v>
      </c>
      <c r="AC109" s="2" t="str">
        <f t="shared" si="9"/>
        <v>Weekday</v>
      </c>
      <c r="AD109" s="2" t="str">
        <f t="shared" si="10"/>
        <v>angela.evans</v>
      </c>
      <c r="AE109" s="2" t="str">
        <f t="shared" si="11"/>
        <v>outlook</v>
      </c>
      <c r="AF109" s="2" t="str">
        <f t="shared" si="12"/>
        <v>Angela Evans</v>
      </c>
      <c r="AG109" s="2" t="str">
        <f t="shared" si="13"/>
        <v>Angela</v>
      </c>
      <c r="AH109" s="2" t="str">
        <f t="shared" si="14"/>
        <v>Evans</v>
      </c>
      <c r="AI109" s="2" t="str">
        <f t="shared" si="15"/>
        <v>InTime</v>
      </c>
      <c r="AJ109" s="2" t="str">
        <f t="shared" si="16"/>
        <v>#NAME?</v>
      </c>
    </row>
    <row r="110" ht="14.25" customHeight="1">
      <c r="A110" s="2" t="s">
        <v>709</v>
      </c>
      <c r="B110" s="2" t="s">
        <v>710</v>
      </c>
      <c r="C110" s="2" t="s">
        <v>711</v>
      </c>
      <c r="D110" s="2">
        <v>32.0</v>
      </c>
      <c r="E110" s="2" t="s">
        <v>34</v>
      </c>
      <c r="F110" s="2" t="s">
        <v>23</v>
      </c>
      <c r="G110" s="2" t="s">
        <v>712</v>
      </c>
      <c r="H110" s="2" t="s">
        <v>2156</v>
      </c>
      <c r="I110" s="2" t="s">
        <v>713</v>
      </c>
      <c r="J110" s="2" t="s">
        <v>714</v>
      </c>
      <c r="K110" s="3">
        <v>45021.0</v>
      </c>
      <c r="L110" s="2" t="s">
        <v>715</v>
      </c>
      <c r="M110" s="2" t="s">
        <v>349</v>
      </c>
      <c r="N110" s="2">
        <v>496.59</v>
      </c>
      <c r="O110" s="2">
        <v>5.0</v>
      </c>
      <c r="P110" s="2" t="s">
        <v>78</v>
      </c>
      <c r="Q110" s="2">
        <v>1.0</v>
      </c>
      <c r="R110" s="2">
        <v>40.0</v>
      </c>
      <c r="S110" s="3">
        <v>45025.0</v>
      </c>
      <c r="T110" s="2" t="s">
        <v>716</v>
      </c>
      <c r="U110" s="2">
        <f t="shared" si="1"/>
        <v>4</v>
      </c>
      <c r="V110" s="2">
        <f t="shared" si="2"/>
        <v>1</v>
      </c>
      <c r="W110" s="2">
        <f t="shared" si="3"/>
        <v>2482.95</v>
      </c>
      <c r="X110" s="2">
        <f t="shared" si="4"/>
        <v>2522.95</v>
      </c>
      <c r="Y110" s="2">
        <f t="shared" si="5"/>
        <v>0</v>
      </c>
      <c r="Z110" s="2">
        <f t="shared" si="6"/>
        <v>2482.95</v>
      </c>
      <c r="AA110" s="2">
        <f t="shared" si="7"/>
        <v>2522.95</v>
      </c>
      <c r="AB110" s="2" t="str">
        <f t="shared" si="8"/>
        <v>Wednesday</v>
      </c>
      <c r="AC110" s="2" t="str">
        <f t="shared" si="9"/>
        <v>Weekday</v>
      </c>
      <c r="AD110" s="2" t="str">
        <f t="shared" si="10"/>
        <v>bruce.allen</v>
      </c>
      <c r="AE110" s="2" t="str">
        <f t="shared" si="11"/>
        <v>rediffmail</v>
      </c>
      <c r="AF110" s="2" t="str">
        <f t="shared" si="12"/>
        <v>Bruce Allen</v>
      </c>
      <c r="AG110" s="2" t="str">
        <f t="shared" si="13"/>
        <v>Bruce</v>
      </c>
      <c r="AH110" s="2" t="str">
        <f t="shared" si="14"/>
        <v>Allen</v>
      </c>
      <c r="AI110" s="2" t="str">
        <f t="shared" si="15"/>
        <v>Late</v>
      </c>
      <c r="AJ110" s="2" t="str">
        <f t="shared" si="16"/>
        <v>#NAME?</v>
      </c>
    </row>
    <row r="111" ht="14.25" customHeight="1">
      <c r="A111" s="2" t="s">
        <v>717</v>
      </c>
      <c r="B111" s="2" t="s">
        <v>718</v>
      </c>
      <c r="C111" s="2" t="s">
        <v>160</v>
      </c>
      <c r="D111" s="2">
        <v>70.0</v>
      </c>
      <c r="E111" s="2" t="s">
        <v>34</v>
      </c>
      <c r="F111" s="2" t="s">
        <v>83</v>
      </c>
      <c r="G111" s="2" t="s">
        <v>719</v>
      </c>
      <c r="H111" s="2" t="s">
        <v>2157</v>
      </c>
      <c r="I111" s="2" t="s">
        <v>720</v>
      </c>
      <c r="J111" s="2" t="s">
        <v>721</v>
      </c>
      <c r="K111" s="3">
        <v>45005.0</v>
      </c>
      <c r="L111" s="2" t="s">
        <v>722</v>
      </c>
      <c r="M111" s="2" t="s">
        <v>175</v>
      </c>
      <c r="N111" s="2">
        <v>104.18</v>
      </c>
      <c r="O111" s="2">
        <v>2.0</v>
      </c>
      <c r="P111" s="2" t="s">
        <v>29</v>
      </c>
      <c r="Q111" s="2">
        <v>2.0</v>
      </c>
      <c r="R111" s="2">
        <v>40.0</v>
      </c>
      <c r="S111" s="3">
        <v>45010.0</v>
      </c>
      <c r="T111" s="2" t="s">
        <v>723</v>
      </c>
      <c r="U111" s="2">
        <f t="shared" si="1"/>
        <v>5</v>
      </c>
      <c r="V111" s="2">
        <f t="shared" si="2"/>
        <v>9</v>
      </c>
      <c r="W111" s="2">
        <f t="shared" si="3"/>
        <v>208.36</v>
      </c>
      <c r="X111" s="2">
        <f t="shared" si="4"/>
        <v>248.36</v>
      </c>
      <c r="Y111" s="2">
        <f t="shared" si="5"/>
        <v>0</v>
      </c>
      <c r="Z111" s="2">
        <f t="shared" si="6"/>
        <v>208.36</v>
      </c>
      <c r="AA111" s="2">
        <f t="shared" si="7"/>
        <v>248.36</v>
      </c>
      <c r="AB111" s="2" t="str">
        <f t="shared" si="8"/>
        <v>Monday</v>
      </c>
      <c r="AC111" s="2" t="str">
        <f t="shared" si="9"/>
        <v>Weekday</v>
      </c>
      <c r="AD111" s="2" t="str">
        <f t="shared" si="10"/>
        <v>lisa.miller</v>
      </c>
      <c r="AE111" s="2" t="str">
        <f t="shared" si="11"/>
        <v>gmail</v>
      </c>
      <c r="AF111" s="2" t="str">
        <f t="shared" si="12"/>
        <v>Lisa Miller</v>
      </c>
      <c r="AG111" s="2" t="str">
        <f t="shared" si="13"/>
        <v>Lisa</v>
      </c>
      <c r="AH111" s="2" t="str">
        <f t="shared" si="14"/>
        <v>Miller</v>
      </c>
      <c r="AI111" s="2" t="str">
        <f t="shared" si="15"/>
        <v>Late</v>
      </c>
      <c r="AJ111" s="2" t="str">
        <f t="shared" si="16"/>
        <v>#NAME?</v>
      </c>
    </row>
    <row r="112" ht="14.25" customHeight="1">
      <c r="A112" s="2" t="s">
        <v>724</v>
      </c>
      <c r="B112" s="2" t="s">
        <v>725</v>
      </c>
      <c r="C112" s="2" t="s">
        <v>726</v>
      </c>
      <c r="D112" s="2">
        <v>30.0</v>
      </c>
      <c r="E112" s="2" t="s">
        <v>22</v>
      </c>
      <c r="F112" s="2" t="s">
        <v>152</v>
      </c>
      <c r="G112" s="2" t="s">
        <v>727</v>
      </c>
      <c r="H112" s="2" t="s">
        <v>2158</v>
      </c>
      <c r="I112" s="2" t="s">
        <v>728</v>
      </c>
      <c r="J112" s="2" t="s">
        <v>729</v>
      </c>
      <c r="K112" s="3">
        <v>45406.0</v>
      </c>
      <c r="L112" s="2" t="s">
        <v>730</v>
      </c>
      <c r="M112" s="2" t="s">
        <v>731</v>
      </c>
      <c r="N112" s="2">
        <v>110.95</v>
      </c>
      <c r="O112" s="2">
        <v>2.0</v>
      </c>
      <c r="P112" s="2" t="s">
        <v>29</v>
      </c>
      <c r="Q112" s="2">
        <v>4.0</v>
      </c>
      <c r="R112" s="2">
        <v>68.0</v>
      </c>
      <c r="S112" s="3">
        <v>45408.0</v>
      </c>
      <c r="T112" s="2" t="s">
        <v>732</v>
      </c>
      <c r="U112" s="2">
        <f t="shared" si="1"/>
        <v>2</v>
      </c>
      <c r="V112" s="2">
        <f t="shared" si="2"/>
        <v>20</v>
      </c>
      <c r="W112" s="2">
        <f t="shared" si="3"/>
        <v>221.9</v>
      </c>
      <c r="X112" s="2">
        <f t="shared" si="4"/>
        <v>289.9</v>
      </c>
      <c r="Y112" s="2">
        <f t="shared" si="5"/>
        <v>0</v>
      </c>
      <c r="Z112" s="2">
        <f t="shared" si="6"/>
        <v>221.9</v>
      </c>
      <c r="AA112" s="2">
        <f t="shared" si="7"/>
        <v>289.9</v>
      </c>
      <c r="AB112" s="2" t="str">
        <f t="shared" si="8"/>
        <v>Wednesday</v>
      </c>
      <c r="AC112" s="2" t="str">
        <f t="shared" si="9"/>
        <v>Weekday</v>
      </c>
      <c r="AD112" s="2" t="str">
        <f t="shared" si="10"/>
        <v>melissa.levy</v>
      </c>
      <c r="AE112" s="2" t="str">
        <f t="shared" si="11"/>
        <v>rediffmail</v>
      </c>
      <c r="AF112" s="2" t="str">
        <f t="shared" si="12"/>
        <v>Melissa Levy</v>
      </c>
      <c r="AG112" s="2" t="str">
        <f t="shared" si="13"/>
        <v>Melissa</v>
      </c>
      <c r="AH112" s="2" t="str">
        <f t="shared" si="14"/>
        <v>Levy</v>
      </c>
      <c r="AI112" s="2" t="str">
        <f t="shared" si="15"/>
        <v>Before Time</v>
      </c>
      <c r="AJ112" s="2" t="str">
        <f t="shared" si="16"/>
        <v>#NAME?</v>
      </c>
    </row>
    <row r="113" ht="14.25" customHeight="1">
      <c r="A113" s="2" t="s">
        <v>639</v>
      </c>
      <c r="B113" s="2" t="s">
        <v>640</v>
      </c>
      <c r="C113" s="2" t="s">
        <v>641</v>
      </c>
      <c r="D113" s="2">
        <v>45.0</v>
      </c>
      <c r="E113" s="2" t="s">
        <v>45</v>
      </c>
      <c r="F113" s="2" t="s">
        <v>83</v>
      </c>
      <c r="G113" s="2" t="s">
        <v>642</v>
      </c>
      <c r="H113" s="2" t="s">
        <v>2151</v>
      </c>
      <c r="I113" s="2" t="s">
        <v>643</v>
      </c>
      <c r="J113" s="2" t="s">
        <v>733</v>
      </c>
      <c r="K113" s="3">
        <v>45665.0</v>
      </c>
      <c r="L113" s="2" t="s">
        <v>734</v>
      </c>
      <c r="M113" s="2" t="s">
        <v>349</v>
      </c>
      <c r="N113" s="2">
        <v>496.59</v>
      </c>
      <c r="O113" s="2">
        <v>2.0</v>
      </c>
      <c r="P113" s="2" t="s">
        <v>56</v>
      </c>
      <c r="Q113" s="2">
        <v>5.0</v>
      </c>
      <c r="R113" s="2">
        <v>40.0</v>
      </c>
      <c r="S113" s="3">
        <v>45667.0</v>
      </c>
      <c r="T113" s="2" t="s">
        <v>735</v>
      </c>
      <c r="U113" s="2">
        <f t="shared" si="1"/>
        <v>2</v>
      </c>
      <c r="V113" s="2">
        <f t="shared" si="2"/>
        <v>12</v>
      </c>
      <c r="W113" s="2">
        <f t="shared" si="3"/>
        <v>993.18</v>
      </c>
      <c r="X113" s="2">
        <f t="shared" si="4"/>
        <v>1033.18</v>
      </c>
      <c r="Y113" s="2">
        <f t="shared" si="5"/>
        <v>0</v>
      </c>
      <c r="Z113" s="2">
        <f t="shared" si="6"/>
        <v>993.18</v>
      </c>
      <c r="AA113" s="2">
        <f t="shared" si="7"/>
        <v>993.18</v>
      </c>
      <c r="AB113" s="2" t="str">
        <f t="shared" si="8"/>
        <v>Wednesday</v>
      </c>
      <c r="AC113" s="2" t="str">
        <f t="shared" si="9"/>
        <v>Weekday</v>
      </c>
      <c r="AD113" s="2" t="str">
        <f t="shared" si="10"/>
        <v>beth.mason</v>
      </c>
      <c r="AE113" s="2" t="str">
        <f t="shared" si="11"/>
        <v>outlook</v>
      </c>
      <c r="AF113" s="2" t="str">
        <f t="shared" si="12"/>
        <v>Beth Mason</v>
      </c>
      <c r="AG113" s="2" t="str">
        <f t="shared" si="13"/>
        <v>Beth</v>
      </c>
      <c r="AH113" s="2" t="str">
        <f t="shared" si="14"/>
        <v>Mason</v>
      </c>
      <c r="AI113" s="2" t="str">
        <f t="shared" si="15"/>
        <v>Before Time</v>
      </c>
      <c r="AJ113" s="2" t="str">
        <f t="shared" si="16"/>
        <v>#NAME?</v>
      </c>
    </row>
    <row r="114" ht="14.25" customHeight="1">
      <c r="A114" s="2" t="s">
        <v>483</v>
      </c>
      <c r="B114" s="2" t="s">
        <v>179</v>
      </c>
      <c r="C114" s="2" t="s">
        <v>320</v>
      </c>
      <c r="D114" s="2">
        <v>39.0</v>
      </c>
      <c r="E114" s="2" t="s">
        <v>45</v>
      </c>
      <c r="F114" s="2" t="s">
        <v>35</v>
      </c>
      <c r="G114" s="2" t="s">
        <v>484</v>
      </c>
      <c r="H114" s="2" t="s">
        <v>2139</v>
      </c>
      <c r="I114" s="2" t="s">
        <v>485</v>
      </c>
      <c r="J114" s="2" t="s">
        <v>736</v>
      </c>
      <c r="K114" s="3">
        <v>45397.0</v>
      </c>
      <c r="L114" s="2" t="s">
        <v>737</v>
      </c>
      <c r="M114" s="2" t="s">
        <v>119</v>
      </c>
      <c r="N114" s="2">
        <v>257.06</v>
      </c>
      <c r="O114" s="2">
        <v>4.0</v>
      </c>
      <c r="P114" s="2" t="s">
        <v>78</v>
      </c>
      <c r="Q114" s="2">
        <v>3.0</v>
      </c>
      <c r="R114" s="2">
        <v>50.0</v>
      </c>
      <c r="S114" s="3">
        <v>45401.0</v>
      </c>
      <c r="T114" s="2" t="s">
        <v>738</v>
      </c>
      <c r="U114" s="2">
        <f t="shared" si="1"/>
        <v>4</v>
      </c>
      <c r="V114" s="2">
        <f t="shared" si="2"/>
        <v>14</v>
      </c>
      <c r="W114" s="2">
        <f t="shared" si="3"/>
        <v>1028.24</v>
      </c>
      <c r="X114" s="2">
        <f t="shared" si="4"/>
        <v>1078.24</v>
      </c>
      <c r="Y114" s="2">
        <f t="shared" si="5"/>
        <v>0</v>
      </c>
      <c r="Z114" s="2">
        <f t="shared" si="6"/>
        <v>1028.24</v>
      </c>
      <c r="AA114" s="2">
        <f t="shared" si="7"/>
        <v>1078.24</v>
      </c>
      <c r="AB114" s="2" t="str">
        <f t="shared" si="8"/>
        <v>Monday</v>
      </c>
      <c r="AC114" s="2" t="str">
        <f t="shared" si="9"/>
        <v>Weekday</v>
      </c>
      <c r="AD114" s="2" t="str">
        <f t="shared" si="10"/>
        <v>mitchell.parker</v>
      </c>
      <c r="AE114" s="2" t="str">
        <f t="shared" si="11"/>
        <v>yahoo</v>
      </c>
      <c r="AF114" s="2" t="str">
        <f t="shared" si="12"/>
        <v>Mitchell Parker</v>
      </c>
      <c r="AG114" s="2" t="str">
        <f t="shared" si="13"/>
        <v>Mitchell</v>
      </c>
      <c r="AH114" s="2" t="str">
        <f t="shared" si="14"/>
        <v>Parker</v>
      </c>
      <c r="AI114" s="2" t="str">
        <f t="shared" si="15"/>
        <v>Late</v>
      </c>
      <c r="AJ114" s="2" t="str">
        <f t="shared" si="16"/>
        <v>#NAME?</v>
      </c>
    </row>
    <row r="115" ht="14.25" customHeight="1">
      <c r="A115" s="2" t="s">
        <v>615</v>
      </c>
      <c r="B115" s="2" t="s">
        <v>122</v>
      </c>
      <c r="C115" s="2" t="s">
        <v>616</v>
      </c>
      <c r="D115" s="2">
        <v>47.0</v>
      </c>
      <c r="E115" s="2" t="s">
        <v>45</v>
      </c>
      <c r="F115" s="2" t="s">
        <v>69</v>
      </c>
      <c r="G115" s="2" t="s">
        <v>617</v>
      </c>
      <c r="H115" s="2" t="s">
        <v>2159</v>
      </c>
      <c r="I115" s="2" t="s">
        <v>618</v>
      </c>
      <c r="J115" s="2" t="s">
        <v>739</v>
      </c>
      <c r="K115" s="3">
        <v>45397.0</v>
      </c>
      <c r="L115" s="2" t="s">
        <v>740</v>
      </c>
      <c r="M115" s="2" t="s">
        <v>741</v>
      </c>
      <c r="N115" s="2">
        <v>381.73</v>
      </c>
      <c r="O115" s="2">
        <v>4.0</v>
      </c>
      <c r="P115" s="2" t="s">
        <v>89</v>
      </c>
      <c r="Q115" s="2">
        <v>1.0</v>
      </c>
      <c r="R115" s="2">
        <v>66.0</v>
      </c>
      <c r="S115" s="3">
        <v>45400.0</v>
      </c>
      <c r="T115" s="2" t="s">
        <v>742</v>
      </c>
      <c r="U115" s="2">
        <f t="shared" si="1"/>
        <v>3</v>
      </c>
      <c r="V115" s="2">
        <f t="shared" si="2"/>
        <v>5</v>
      </c>
      <c r="W115" s="2">
        <f t="shared" si="3"/>
        <v>1526.92</v>
      </c>
      <c r="X115" s="2">
        <f t="shared" si="4"/>
        <v>1592.92</v>
      </c>
      <c r="Y115" s="2">
        <f t="shared" si="5"/>
        <v>0</v>
      </c>
      <c r="Z115" s="2">
        <f t="shared" si="6"/>
        <v>1526.92</v>
      </c>
      <c r="AA115" s="2">
        <f t="shared" si="7"/>
        <v>1592.92</v>
      </c>
      <c r="AB115" s="2" t="str">
        <f t="shared" si="8"/>
        <v>Monday</v>
      </c>
      <c r="AC115" s="2" t="str">
        <f t="shared" si="9"/>
        <v>Weekday</v>
      </c>
      <c r="AD115" s="2" t="str">
        <f t="shared" si="10"/>
        <v>joseph.gaines</v>
      </c>
      <c r="AE115" s="2" t="str">
        <f t="shared" si="11"/>
        <v>outlook</v>
      </c>
      <c r="AF115" s="2" t="str">
        <f t="shared" si="12"/>
        <v>Joseph Gaines</v>
      </c>
      <c r="AG115" s="2" t="str">
        <f t="shared" si="13"/>
        <v>Joseph</v>
      </c>
      <c r="AH115" s="2" t="str">
        <f t="shared" si="14"/>
        <v>Gaines</v>
      </c>
      <c r="AI115" s="2" t="str">
        <f t="shared" si="15"/>
        <v>Late</v>
      </c>
      <c r="AJ115" s="2" t="str">
        <f t="shared" si="16"/>
        <v>#NAME?</v>
      </c>
    </row>
    <row r="116" ht="14.25" customHeight="1">
      <c r="A116" s="2" t="s">
        <v>743</v>
      </c>
      <c r="B116" s="2" t="s">
        <v>744</v>
      </c>
      <c r="C116" s="2" t="s">
        <v>745</v>
      </c>
      <c r="D116" s="2">
        <v>43.0</v>
      </c>
      <c r="E116" s="2" t="s">
        <v>45</v>
      </c>
      <c r="F116" s="2" t="s">
        <v>152</v>
      </c>
      <c r="G116" s="2" t="s">
        <v>746</v>
      </c>
      <c r="H116" s="2" t="s">
        <v>2160</v>
      </c>
      <c r="I116" s="2" t="s">
        <v>747</v>
      </c>
      <c r="J116" s="2" t="s">
        <v>748</v>
      </c>
      <c r="K116" s="3">
        <v>45276.0</v>
      </c>
      <c r="L116" s="2" t="s">
        <v>749</v>
      </c>
      <c r="M116" s="2" t="s">
        <v>376</v>
      </c>
      <c r="N116" s="2">
        <v>431.44</v>
      </c>
      <c r="O116" s="2">
        <v>5.0</v>
      </c>
      <c r="P116" s="2" t="s">
        <v>51</v>
      </c>
      <c r="Q116" s="2">
        <v>4.0</v>
      </c>
      <c r="R116" s="2">
        <v>42.0</v>
      </c>
      <c r="S116" s="3">
        <v>45280.0</v>
      </c>
      <c r="T116" s="2" t="s">
        <v>750</v>
      </c>
      <c r="U116" s="2">
        <f t="shared" si="1"/>
        <v>4</v>
      </c>
      <c r="V116" s="2">
        <f t="shared" si="2"/>
        <v>19</v>
      </c>
      <c r="W116" s="2">
        <f t="shared" si="3"/>
        <v>2157.2</v>
      </c>
      <c r="X116" s="2">
        <f t="shared" si="4"/>
        <v>2199.2</v>
      </c>
      <c r="Y116" s="2">
        <f t="shared" si="5"/>
        <v>0</v>
      </c>
      <c r="Z116" s="2">
        <f t="shared" si="6"/>
        <v>2157.2</v>
      </c>
      <c r="AA116" s="2">
        <f t="shared" si="7"/>
        <v>2199.2</v>
      </c>
      <c r="AB116" s="2" t="str">
        <f t="shared" si="8"/>
        <v>Saturday</v>
      </c>
      <c r="AC116" s="2" t="str">
        <f t="shared" si="9"/>
        <v>Weekend</v>
      </c>
      <c r="AD116" s="2" t="str">
        <f t="shared" si="10"/>
        <v>barbara.fuller</v>
      </c>
      <c r="AE116" s="2" t="str">
        <f t="shared" si="11"/>
        <v>rediffmail</v>
      </c>
      <c r="AF116" s="2" t="str">
        <f t="shared" si="12"/>
        <v>Barbara Fuller</v>
      </c>
      <c r="AG116" s="2" t="str">
        <f t="shared" si="13"/>
        <v>Barbara</v>
      </c>
      <c r="AH116" s="2" t="str">
        <f t="shared" si="14"/>
        <v>Fuller</v>
      </c>
      <c r="AI116" s="2" t="str">
        <f t="shared" si="15"/>
        <v>InTime</v>
      </c>
      <c r="AJ116" s="2" t="str">
        <f t="shared" si="16"/>
        <v>#NAME?</v>
      </c>
    </row>
    <row r="117" ht="14.25" customHeight="1">
      <c r="A117" s="2" t="s">
        <v>528</v>
      </c>
      <c r="B117" s="2" t="s">
        <v>529</v>
      </c>
      <c r="C117" s="2" t="s">
        <v>530</v>
      </c>
      <c r="D117" s="2">
        <v>32.0</v>
      </c>
      <c r="E117" s="2" t="s">
        <v>45</v>
      </c>
      <c r="F117" s="2" t="s">
        <v>83</v>
      </c>
      <c r="G117" s="2" t="s">
        <v>531</v>
      </c>
      <c r="H117" s="2" t="s">
        <v>2144</v>
      </c>
      <c r="I117" s="2" t="s">
        <v>532</v>
      </c>
      <c r="J117" s="2" t="s">
        <v>751</v>
      </c>
      <c r="K117" s="3">
        <v>45131.0</v>
      </c>
      <c r="L117" s="2" t="s">
        <v>752</v>
      </c>
      <c r="M117" s="2" t="s">
        <v>128</v>
      </c>
      <c r="N117" s="2">
        <v>175.93</v>
      </c>
      <c r="O117" s="2">
        <v>5.0</v>
      </c>
      <c r="P117" s="2" t="s">
        <v>56</v>
      </c>
      <c r="Q117" s="2">
        <v>5.0</v>
      </c>
      <c r="R117" s="2">
        <v>63.0</v>
      </c>
      <c r="S117" s="3">
        <v>45138.0</v>
      </c>
      <c r="T117" s="2" t="s">
        <v>753</v>
      </c>
      <c r="U117" s="2">
        <f t="shared" si="1"/>
        <v>7</v>
      </c>
      <c r="V117" s="2">
        <f t="shared" si="2"/>
        <v>6</v>
      </c>
      <c r="W117" s="2">
        <f t="shared" si="3"/>
        <v>879.65</v>
      </c>
      <c r="X117" s="2">
        <f t="shared" si="4"/>
        <v>942.65</v>
      </c>
      <c r="Y117" s="2">
        <f t="shared" si="5"/>
        <v>0</v>
      </c>
      <c r="Z117" s="2">
        <f t="shared" si="6"/>
        <v>879.65</v>
      </c>
      <c r="AA117" s="2">
        <f t="shared" si="7"/>
        <v>879.65</v>
      </c>
      <c r="AB117" s="2" t="str">
        <f t="shared" si="8"/>
        <v>Monday</v>
      </c>
      <c r="AC117" s="2" t="str">
        <f t="shared" si="9"/>
        <v>Weekday</v>
      </c>
      <c r="AD117" s="2" t="str">
        <f t="shared" si="10"/>
        <v>brandon.cruz</v>
      </c>
      <c r="AE117" s="2" t="str">
        <f t="shared" si="11"/>
        <v>gmail</v>
      </c>
      <c r="AF117" s="2" t="str">
        <f t="shared" si="12"/>
        <v>Brandon Cruz</v>
      </c>
      <c r="AG117" s="2" t="str">
        <f t="shared" si="13"/>
        <v>Brandon</v>
      </c>
      <c r="AH117" s="2" t="str">
        <f t="shared" si="14"/>
        <v>Cruz</v>
      </c>
      <c r="AI117" s="2" t="str">
        <f t="shared" si="15"/>
        <v>Late</v>
      </c>
      <c r="AJ117" s="2" t="str">
        <f t="shared" si="16"/>
        <v>#NAME?</v>
      </c>
    </row>
    <row r="118" ht="14.25" customHeight="1">
      <c r="A118" s="2" t="s">
        <v>112</v>
      </c>
      <c r="B118" s="2" t="s">
        <v>113</v>
      </c>
      <c r="C118" s="2" t="s">
        <v>114</v>
      </c>
      <c r="D118" s="2">
        <v>20.0</v>
      </c>
      <c r="E118" s="2" t="s">
        <v>22</v>
      </c>
      <c r="F118" s="2" t="s">
        <v>83</v>
      </c>
      <c r="G118" s="2" t="s">
        <v>115</v>
      </c>
      <c r="H118" s="2" t="s">
        <v>2100</v>
      </c>
      <c r="I118" s="2" t="s">
        <v>116</v>
      </c>
      <c r="J118" s="2" t="s">
        <v>754</v>
      </c>
      <c r="K118" s="3">
        <v>45156.0</v>
      </c>
      <c r="L118" s="2" t="s">
        <v>755</v>
      </c>
      <c r="M118" s="2" t="s">
        <v>50</v>
      </c>
      <c r="N118" s="2">
        <v>202.54</v>
      </c>
      <c r="O118" s="2">
        <v>5.0</v>
      </c>
      <c r="P118" s="2" t="s">
        <v>29</v>
      </c>
      <c r="Q118" s="2">
        <v>2.0</v>
      </c>
      <c r="R118" s="2">
        <v>68.0</v>
      </c>
      <c r="S118" s="3">
        <v>45159.0</v>
      </c>
      <c r="T118" s="2" t="s">
        <v>756</v>
      </c>
      <c r="U118" s="2">
        <f t="shared" si="1"/>
        <v>3</v>
      </c>
      <c r="V118" s="2">
        <f t="shared" si="2"/>
        <v>3</v>
      </c>
      <c r="W118" s="2">
        <f t="shared" si="3"/>
        <v>1012.7</v>
      </c>
      <c r="X118" s="2">
        <f t="shared" si="4"/>
        <v>1080.7</v>
      </c>
      <c r="Y118" s="2">
        <f t="shared" si="5"/>
        <v>0</v>
      </c>
      <c r="Z118" s="2">
        <f t="shared" si="6"/>
        <v>1012.7</v>
      </c>
      <c r="AA118" s="2">
        <f t="shared" si="7"/>
        <v>1080.7</v>
      </c>
      <c r="AB118" s="2" t="str">
        <f t="shared" si="8"/>
        <v>Friday</v>
      </c>
      <c r="AC118" s="2" t="str">
        <f t="shared" si="9"/>
        <v>Weekday</v>
      </c>
      <c r="AD118" s="2" t="str">
        <f t="shared" si="10"/>
        <v>bobby.forbes</v>
      </c>
      <c r="AE118" s="2" t="str">
        <f t="shared" si="11"/>
        <v>gmail</v>
      </c>
      <c r="AF118" s="2" t="str">
        <f t="shared" si="12"/>
        <v>Bobby Forbes</v>
      </c>
      <c r="AG118" s="2" t="str">
        <f t="shared" si="13"/>
        <v>Bobby</v>
      </c>
      <c r="AH118" s="2" t="str">
        <f t="shared" si="14"/>
        <v>Forbes</v>
      </c>
      <c r="AI118" s="2" t="str">
        <f t="shared" si="15"/>
        <v>Late</v>
      </c>
      <c r="AJ118" s="2" t="str">
        <f t="shared" si="16"/>
        <v>#NAME?</v>
      </c>
    </row>
    <row r="119" ht="14.25" customHeight="1">
      <c r="A119" s="2" t="s">
        <v>596</v>
      </c>
      <c r="B119" s="2" t="s">
        <v>597</v>
      </c>
      <c r="C119" s="2" t="s">
        <v>396</v>
      </c>
      <c r="D119" s="2">
        <v>18.0</v>
      </c>
      <c r="E119" s="2" t="s">
        <v>34</v>
      </c>
      <c r="F119" s="2" t="s">
        <v>35</v>
      </c>
      <c r="G119" s="2" t="s">
        <v>598</v>
      </c>
      <c r="H119" s="2" t="s">
        <v>2148</v>
      </c>
      <c r="I119" s="2" t="s">
        <v>599</v>
      </c>
      <c r="J119" s="2" t="s">
        <v>757</v>
      </c>
      <c r="K119" s="3">
        <v>45023.0</v>
      </c>
      <c r="L119" s="2" t="s">
        <v>758</v>
      </c>
      <c r="M119" s="2" t="s">
        <v>119</v>
      </c>
      <c r="N119" s="2">
        <v>257.06</v>
      </c>
      <c r="O119" s="2">
        <v>4.0</v>
      </c>
      <c r="P119" s="2" t="s">
        <v>89</v>
      </c>
      <c r="Q119" s="2">
        <v>1.0</v>
      </c>
      <c r="R119" s="2">
        <v>65.0</v>
      </c>
      <c r="S119" s="3">
        <v>45025.0</v>
      </c>
      <c r="T119" s="2" t="s">
        <v>759</v>
      </c>
      <c r="U119" s="2">
        <f t="shared" si="1"/>
        <v>2</v>
      </c>
      <c r="V119" s="2">
        <f t="shared" si="2"/>
        <v>13</v>
      </c>
      <c r="W119" s="2">
        <f t="shared" si="3"/>
        <v>1028.24</v>
      </c>
      <c r="X119" s="2">
        <f t="shared" si="4"/>
        <v>1093.24</v>
      </c>
      <c r="Y119" s="2">
        <f t="shared" si="5"/>
        <v>0</v>
      </c>
      <c r="Z119" s="2">
        <f t="shared" si="6"/>
        <v>1028.24</v>
      </c>
      <c r="AA119" s="2">
        <f t="shared" si="7"/>
        <v>1093.24</v>
      </c>
      <c r="AB119" s="2" t="str">
        <f t="shared" si="8"/>
        <v>Friday</v>
      </c>
      <c r="AC119" s="2" t="str">
        <f t="shared" si="9"/>
        <v>Weekday</v>
      </c>
      <c r="AD119" s="2" t="str">
        <f t="shared" si="10"/>
        <v>kelli.smith</v>
      </c>
      <c r="AE119" s="2" t="str">
        <f t="shared" si="11"/>
        <v>rediffmail</v>
      </c>
      <c r="AF119" s="2" t="str">
        <f t="shared" si="12"/>
        <v>Kelli Smith</v>
      </c>
      <c r="AG119" s="2" t="str">
        <f t="shared" si="13"/>
        <v>Kelli</v>
      </c>
      <c r="AH119" s="2" t="str">
        <f t="shared" si="14"/>
        <v>Smith</v>
      </c>
      <c r="AI119" s="2" t="str">
        <f t="shared" si="15"/>
        <v>Late</v>
      </c>
      <c r="AJ119" s="2" t="str">
        <f t="shared" si="16"/>
        <v>#NAME?</v>
      </c>
    </row>
    <row r="120" ht="14.25" customHeight="1">
      <c r="A120" s="2" t="s">
        <v>760</v>
      </c>
      <c r="B120" s="2" t="s">
        <v>761</v>
      </c>
      <c r="C120" s="2" t="s">
        <v>762</v>
      </c>
      <c r="D120" s="2">
        <v>27.0</v>
      </c>
      <c r="E120" s="2" t="s">
        <v>22</v>
      </c>
      <c r="F120" s="2" t="s">
        <v>35</v>
      </c>
      <c r="G120" s="2" t="s">
        <v>763</v>
      </c>
      <c r="H120" s="2" t="s">
        <v>2161</v>
      </c>
      <c r="I120" s="2" t="s">
        <v>764</v>
      </c>
      <c r="J120" s="2" t="s">
        <v>765</v>
      </c>
      <c r="K120" s="3">
        <v>45183.0</v>
      </c>
      <c r="L120" s="2" t="s">
        <v>766</v>
      </c>
      <c r="M120" s="2" t="s">
        <v>767</v>
      </c>
      <c r="N120" s="2">
        <v>20.0</v>
      </c>
      <c r="O120" s="2">
        <v>1.0</v>
      </c>
      <c r="P120" s="2" t="s">
        <v>89</v>
      </c>
      <c r="Q120" s="2">
        <v>4.0</v>
      </c>
      <c r="R120" s="2">
        <v>68.0</v>
      </c>
      <c r="S120" s="3">
        <v>45185.0</v>
      </c>
      <c r="T120" s="2" t="s">
        <v>768</v>
      </c>
      <c r="U120" s="2">
        <f t="shared" si="1"/>
        <v>2</v>
      </c>
      <c r="V120" s="2">
        <f t="shared" si="2"/>
        <v>10</v>
      </c>
      <c r="W120" s="2">
        <f t="shared" si="3"/>
        <v>20</v>
      </c>
      <c r="X120" s="2">
        <f t="shared" si="4"/>
        <v>88</v>
      </c>
      <c r="Y120" s="2">
        <f t="shared" si="5"/>
        <v>0</v>
      </c>
      <c r="Z120" s="2">
        <f t="shared" si="6"/>
        <v>20</v>
      </c>
      <c r="AA120" s="2">
        <f t="shared" si="7"/>
        <v>88</v>
      </c>
      <c r="AB120" s="2" t="str">
        <f t="shared" si="8"/>
        <v>Thursday</v>
      </c>
      <c r="AC120" s="2" t="str">
        <f t="shared" si="9"/>
        <v>Weekday</v>
      </c>
      <c r="AD120" s="2" t="str">
        <f t="shared" si="10"/>
        <v>kristina.haynes</v>
      </c>
      <c r="AE120" s="2" t="str">
        <f t="shared" si="11"/>
        <v>yahoo</v>
      </c>
      <c r="AF120" s="2" t="str">
        <f t="shared" si="12"/>
        <v>Kristina Haynes</v>
      </c>
      <c r="AG120" s="2" t="str">
        <f t="shared" si="13"/>
        <v>Kristina</v>
      </c>
      <c r="AH120" s="2" t="str">
        <f t="shared" si="14"/>
        <v>Haynes</v>
      </c>
      <c r="AI120" s="2" t="str">
        <f t="shared" si="15"/>
        <v>Before Time</v>
      </c>
      <c r="AJ120" s="2" t="str">
        <f t="shared" si="16"/>
        <v>#NAME?</v>
      </c>
    </row>
    <row r="121" ht="14.25" customHeight="1">
      <c r="A121" s="2" t="s">
        <v>769</v>
      </c>
      <c r="B121" s="2" t="s">
        <v>770</v>
      </c>
      <c r="C121" s="2" t="s">
        <v>771</v>
      </c>
      <c r="D121" s="2">
        <v>32.0</v>
      </c>
      <c r="E121" s="2" t="s">
        <v>22</v>
      </c>
      <c r="F121" s="2" t="s">
        <v>152</v>
      </c>
      <c r="G121" s="2" t="s">
        <v>772</v>
      </c>
      <c r="H121" s="2" t="s">
        <v>2162</v>
      </c>
      <c r="I121" s="2" t="s">
        <v>773</v>
      </c>
      <c r="J121" s="2" t="s">
        <v>774</v>
      </c>
      <c r="K121" s="3">
        <v>45106.0</v>
      </c>
      <c r="L121" s="2" t="s">
        <v>775</v>
      </c>
      <c r="M121" s="2" t="s">
        <v>192</v>
      </c>
      <c r="N121" s="2">
        <v>20.7</v>
      </c>
      <c r="O121" s="2">
        <v>2.0</v>
      </c>
      <c r="P121" s="2" t="s">
        <v>56</v>
      </c>
      <c r="Q121" s="2">
        <v>7.0</v>
      </c>
      <c r="R121" s="2">
        <v>43.0</v>
      </c>
      <c r="S121" s="3">
        <v>45107.0</v>
      </c>
      <c r="T121" s="2" t="s">
        <v>776</v>
      </c>
      <c r="U121" s="2">
        <f t="shared" si="1"/>
        <v>1</v>
      </c>
      <c r="V121" s="2">
        <f t="shared" si="2"/>
        <v>22</v>
      </c>
      <c r="W121" s="2">
        <f t="shared" si="3"/>
        <v>41.4</v>
      </c>
      <c r="X121" s="2">
        <f t="shared" si="4"/>
        <v>84.4</v>
      </c>
      <c r="Y121" s="2">
        <f t="shared" si="5"/>
        <v>0</v>
      </c>
      <c r="Z121" s="2">
        <f t="shared" si="6"/>
        <v>41.4</v>
      </c>
      <c r="AA121" s="2">
        <f t="shared" si="7"/>
        <v>41.4</v>
      </c>
      <c r="AB121" s="2" t="str">
        <f t="shared" si="8"/>
        <v>Thursday</v>
      </c>
      <c r="AC121" s="2" t="str">
        <f t="shared" si="9"/>
        <v>Weekday</v>
      </c>
      <c r="AD121" s="2" t="str">
        <f t="shared" si="10"/>
        <v>lindsey.byrd</v>
      </c>
      <c r="AE121" s="2" t="str">
        <f t="shared" si="11"/>
        <v>rediffmail</v>
      </c>
      <c r="AF121" s="2" t="str">
        <f t="shared" si="12"/>
        <v>Lindsey Byrd</v>
      </c>
      <c r="AG121" s="2" t="str">
        <f t="shared" si="13"/>
        <v>Lindsey</v>
      </c>
      <c r="AH121" s="2" t="str">
        <f t="shared" si="14"/>
        <v>Byrd</v>
      </c>
      <c r="AI121" s="2" t="str">
        <f t="shared" si="15"/>
        <v>Before Time</v>
      </c>
      <c r="AJ121" s="2" t="str">
        <f t="shared" si="16"/>
        <v>#NAME?</v>
      </c>
    </row>
    <row r="122" ht="14.25" customHeight="1">
      <c r="A122" s="2" t="s">
        <v>149</v>
      </c>
      <c r="B122" s="2" t="s">
        <v>150</v>
      </c>
      <c r="C122" s="2" t="s">
        <v>151</v>
      </c>
      <c r="D122" s="2">
        <v>24.0</v>
      </c>
      <c r="E122" s="2" t="s">
        <v>22</v>
      </c>
      <c r="F122" s="2" t="s">
        <v>152</v>
      </c>
      <c r="G122" s="2" t="s">
        <v>153</v>
      </c>
      <c r="H122" s="2" t="s">
        <v>2104</v>
      </c>
      <c r="I122" s="2" t="s">
        <v>154</v>
      </c>
      <c r="J122" s="2" t="s">
        <v>777</v>
      </c>
      <c r="K122" s="3">
        <v>45003.0</v>
      </c>
      <c r="L122" s="2" t="s">
        <v>778</v>
      </c>
      <c r="M122" s="2" t="s">
        <v>741</v>
      </c>
      <c r="N122" s="2">
        <v>381.73</v>
      </c>
      <c r="O122" s="2">
        <v>2.0</v>
      </c>
      <c r="P122" s="2" t="s">
        <v>56</v>
      </c>
      <c r="Q122" s="2">
        <v>6.0</v>
      </c>
      <c r="R122" s="2">
        <v>41.0</v>
      </c>
      <c r="S122" s="3">
        <v>45008.0</v>
      </c>
      <c r="T122" s="2" t="s">
        <v>779</v>
      </c>
      <c r="U122" s="2">
        <f t="shared" si="1"/>
        <v>5</v>
      </c>
      <c r="V122" s="2">
        <f t="shared" si="2"/>
        <v>14</v>
      </c>
      <c r="W122" s="2">
        <f t="shared" si="3"/>
        <v>763.46</v>
      </c>
      <c r="X122" s="2">
        <f t="shared" si="4"/>
        <v>804.46</v>
      </c>
      <c r="Y122" s="2">
        <f t="shared" si="5"/>
        <v>0</v>
      </c>
      <c r="Z122" s="2">
        <f t="shared" si="6"/>
        <v>763.46</v>
      </c>
      <c r="AA122" s="2">
        <f t="shared" si="7"/>
        <v>763.46</v>
      </c>
      <c r="AB122" s="2" t="str">
        <f t="shared" si="8"/>
        <v>Saturday</v>
      </c>
      <c r="AC122" s="2" t="str">
        <f t="shared" si="9"/>
        <v>Weekend</v>
      </c>
      <c r="AD122" s="2" t="str">
        <f t="shared" si="10"/>
        <v>joshua.campbell</v>
      </c>
      <c r="AE122" s="2" t="str">
        <f t="shared" si="11"/>
        <v>gmail</v>
      </c>
      <c r="AF122" s="2" t="str">
        <f t="shared" si="12"/>
        <v>Joshua Campbell</v>
      </c>
      <c r="AG122" s="2" t="str">
        <f t="shared" si="13"/>
        <v>Joshua</v>
      </c>
      <c r="AH122" s="2" t="str">
        <f t="shared" si="14"/>
        <v>Campbell</v>
      </c>
      <c r="AI122" s="2" t="str">
        <f t="shared" si="15"/>
        <v>Before Time</v>
      </c>
      <c r="AJ122" s="2" t="str">
        <f t="shared" si="16"/>
        <v>#NAME?</v>
      </c>
    </row>
    <row r="123" ht="14.25" customHeight="1">
      <c r="A123" s="2" t="s">
        <v>286</v>
      </c>
      <c r="B123" s="2" t="s">
        <v>287</v>
      </c>
      <c r="C123" s="2" t="s">
        <v>288</v>
      </c>
      <c r="D123" s="2">
        <v>48.0</v>
      </c>
      <c r="E123" s="2" t="s">
        <v>34</v>
      </c>
      <c r="F123" s="2" t="s">
        <v>83</v>
      </c>
      <c r="G123" s="2" t="s">
        <v>289</v>
      </c>
      <c r="H123" s="2" t="s">
        <v>2118</v>
      </c>
      <c r="I123" s="2" t="s">
        <v>290</v>
      </c>
      <c r="J123" s="2" t="s">
        <v>780</v>
      </c>
      <c r="K123" s="3">
        <v>45499.0</v>
      </c>
      <c r="L123" s="2" t="s">
        <v>781</v>
      </c>
      <c r="M123" s="2" t="s">
        <v>316</v>
      </c>
      <c r="N123" s="2">
        <v>481.48</v>
      </c>
      <c r="O123" s="2">
        <v>1.0</v>
      </c>
      <c r="P123" s="2" t="s">
        <v>29</v>
      </c>
      <c r="Q123" s="2">
        <v>1.0</v>
      </c>
      <c r="R123" s="2">
        <v>69.0</v>
      </c>
      <c r="S123" s="3">
        <v>45503.0</v>
      </c>
      <c r="T123" s="2" t="s">
        <v>782</v>
      </c>
      <c r="U123" s="2">
        <f t="shared" si="1"/>
        <v>4</v>
      </c>
      <c r="V123" s="2">
        <f t="shared" si="2"/>
        <v>7</v>
      </c>
      <c r="W123" s="2">
        <f t="shared" si="3"/>
        <v>481.48</v>
      </c>
      <c r="X123" s="2">
        <f t="shared" si="4"/>
        <v>550.48</v>
      </c>
      <c r="Y123" s="2">
        <f t="shared" si="5"/>
        <v>0</v>
      </c>
      <c r="Z123" s="2">
        <f t="shared" si="6"/>
        <v>481.48</v>
      </c>
      <c r="AA123" s="2">
        <f t="shared" si="7"/>
        <v>550.48</v>
      </c>
      <c r="AB123" s="2" t="str">
        <f t="shared" si="8"/>
        <v>Friday</v>
      </c>
      <c r="AC123" s="2" t="str">
        <f t="shared" si="9"/>
        <v>Weekday</v>
      </c>
      <c r="AD123" s="2" t="str">
        <f t="shared" si="10"/>
        <v>heather.schneider</v>
      </c>
      <c r="AE123" s="2" t="str">
        <f t="shared" si="11"/>
        <v>outlook</v>
      </c>
      <c r="AF123" s="2" t="str">
        <f t="shared" si="12"/>
        <v>Heather Schneider</v>
      </c>
      <c r="AG123" s="2" t="str">
        <f t="shared" si="13"/>
        <v>Heather</v>
      </c>
      <c r="AH123" s="2" t="str">
        <f t="shared" si="14"/>
        <v>Schneider</v>
      </c>
      <c r="AI123" s="2" t="str">
        <f t="shared" si="15"/>
        <v>Late</v>
      </c>
      <c r="AJ123" s="2" t="str">
        <f t="shared" si="16"/>
        <v>#NAME?</v>
      </c>
    </row>
    <row r="124" ht="14.25" customHeight="1">
      <c r="A124" s="2" t="s">
        <v>521</v>
      </c>
      <c r="B124" s="2" t="s">
        <v>387</v>
      </c>
      <c r="C124" s="2" t="s">
        <v>522</v>
      </c>
      <c r="D124" s="2">
        <v>51.0</v>
      </c>
      <c r="E124" s="2" t="s">
        <v>45</v>
      </c>
      <c r="F124" s="2" t="s">
        <v>133</v>
      </c>
      <c r="G124" s="2" t="s">
        <v>523</v>
      </c>
      <c r="H124" s="2" t="s">
        <v>2163</v>
      </c>
      <c r="I124" s="2" t="s">
        <v>524</v>
      </c>
      <c r="J124" s="2" t="s">
        <v>783</v>
      </c>
      <c r="K124" s="3">
        <v>45335.0</v>
      </c>
      <c r="L124" s="2" t="s">
        <v>784</v>
      </c>
      <c r="M124" s="2" t="s">
        <v>333</v>
      </c>
      <c r="N124" s="2">
        <v>77.84</v>
      </c>
      <c r="O124" s="2">
        <v>2.0</v>
      </c>
      <c r="P124" s="2" t="s">
        <v>29</v>
      </c>
      <c r="Q124" s="2">
        <v>6.0</v>
      </c>
      <c r="R124" s="2">
        <v>36.0</v>
      </c>
      <c r="S124" s="3">
        <v>45341.0</v>
      </c>
      <c r="T124" s="2" t="s">
        <v>785</v>
      </c>
      <c r="U124" s="2">
        <f t="shared" si="1"/>
        <v>6</v>
      </c>
      <c r="V124" s="2">
        <f t="shared" si="2"/>
        <v>12</v>
      </c>
      <c r="W124" s="2">
        <f t="shared" si="3"/>
        <v>155.68</v>
      </c>
      <c r="X124" s="2">
        <f t="shared" si="4"/>
        <v>191.68</v>
      </c>
      <c r="Y124" s="2">
        <f t="shared" si="5"/>
        <v>0</v>
      </c>
      <c r="Z124" s="2">
        <f t="shared" si="6"/>
        <v>155.68</v>
      </c>
      <c r="AA124" s="2">
        <f t="shared" si="7"/>
        <v>191.68</v>
      </c>
      <c r="AB124" s="2" t="str">
        <f t="shared" si="8"/>
        <v>Tuesday</v>
      </c>
      <c r="AC124" s="2" t="str">
        <f t="shared" si="9"/>
        <v>Weekday</v>
      </c>
      <c r="AD124" s="2" t="str">
        <f t="shared" si="10"/>
        <v>jason.nguyen</v>
      </c>
      <c r="AE124" s="2" t="str">
        <f t="shared" si="11"/>
        <v>yahoo</v>
      </c>
      <c r="AF124" s="2" t="str">
        <f t="shared" si="12"/>
        <v>Jason Nguyen</v>
      </c>
      <c r="AG124" s="2" t="str">
        <f t="shared" si="13"/>
        <v>Jason</v>
      </c>
      <c r="AH124" s="2" t="str">
        <f t="shared" si="14"/>
        <v>Nguyen</v>
      </c>
      <c r="AI124" s="2" t="str">
        <f t="shared" si="15"/>
        <v>InTime</v>
      </c>
      <c r="AJ124" s="2" t="str">
        <f t="shared" si="16"/>
        <v>#NAME?</v>
      </c>
    </row>
    <row r="125" ht="14.25" customHeight="1">
      <c r="A125" s="2" t="s">
        <v>386</v>
      </c>
      <c r="B125" s="2" t="s">
        <v>387</v>
      </c>
      <c r="C125" s="2" t="s">
        <v>388</v>
      </c>
      <c r="D125" s="2">
        <v>40.0</v>
      </c>
      <c r="E125" s="2" t="s">
        <v>45</v>
      </c>
      <c r="F125" s="2" t="s">
        <v>161</v>
      </c>
      <c r="G125" s="2" t="s">
        <v>389</v>
      </c>
      <c r="H125" s="2" t="s">
        <v>2128</v>
      </c>
      <c r="I125" s="2" t="s">
        <v>390</v>
      </c>
      <c r="J125" s="2" t="s">
        <v>786</v>
      </c>
      <c r="K125" s="3">
        <v>45186.0</v>
      </c>
      <c r="L125" s="2" t="s">
        <v>787</v>
      </c>
      <c r="M125" s="2" t="s">
        <v>507</v>
      </c>
      <c r="N125" s="2">
        <v>136.3</v>
      </c>
      <c r="O125" s="2">
        <v>1.0</v>
      </c>
      <c r="P125" s="2" t="s">
        <v>78</v>
      </c>
      <c r="Q125" s="2">
        <v>4.0</v>
      </c>
      <c r="R125" s="2">
        <v>41.0</v>
      </c>
      <c r="S125" s="3">
        <v>45189.0</v>
      </c>
      <c r="T125" s="2" t="s">
        <v>788</v>
      </c>
      <c r="U125" s="2">
        <f t="shared" si="1"/>
        <v>3</v>
      </c>
      <c r="V125" s="2">
        <f t="shared" si="2"/>
        <v>10</v>
      </c>
      <c r="W125" s="2">
        <f t="shared" si="3"/>
        <v>136.3</v>
      </c>
      <c r="X125" s="2">
        <f t="shared" si="4"/>
        <v>177.3</v>
      </c>
      <c r="Y125" s="2">
        <f t="shared" si="5"/>
        <v>0</v>
      </c>
      <c r="Z125" s="2">
        <f t="shared" si="6"/>
        <v>136.3</v>
      </c>
      <c r="AA125" s="2">
        <f t="shared" si="7"/>
        <v>177.3</v>
      </c>
      <c r="AB125" s="2" t="str">
        <f t="shared" si="8"/>
        <v>Sunday</v>
      </c>
      <c r="AC125" s="2" t="str">
        <f t="shared" si="9"/>
        <v>Weekend</v>
      </c>
      <c r="AD125" s="2" t="str">
        <f t="shared" si="10"/>
        <v>jason.lopez</v>
      </c>
      <c r="AE125" s="2" t="str">
        <f t="shared" si="11"/>
        <v>outlook</v>
      </c>
      <c r="AF125" s="2" t="str">
        <f t="shared" si="12"/>
        <v>Jason Lopez</v>
      </c>
      <c r="AG125" s="2" t="str">
        <f t="shared" si="13"/>
        <v>Jason</v>
      </c>
      <c r="AH125" s="2" t="str">
        <f t="shared" si="14"/>
        <v>Lopez</v>
      </c>
      <c r="AI125" s="2" t="str">
        <f t="shared" si="15"/>
        <v>Before Time</v>
      </c>
      <c r="AJ125" s="2" t="str">
        <f t="shared" si="16"/>
        <v>#NAME?</v>
      </c>
    </row>
    <row r="126" ht="14.25" customHeight="1">
      <c r="A126" s="2" t="s">
        <v>405</v>
      </c>
      <c r="B126" s="2" t="s">
        <v>221</v>
      </c>
      <c r="C126" s="2" t="s">
        <v>406</v>
      </c>
      <c r="D126" s="2">
        <v>28.0</v>
      </c>
      <c r="E126" s="2" t="s">
        <v>45</v>
      </c>
      <c r="F126" s="2" t="s">
        <v>133</v>
      </c>
      <c r="G126" s="2" t="s">
        <v>407</v>
      </c>
      <c r="H126" s="2" t="s">
        <v>2130</v>
      </c>
      <c r="I126" s="2" t="s">
        <v>408</v>
      </c>
      <c r="J126" s="2" t="s">
        <v>789</v>
      </c>
      <c r="K126" s="3">
        <v>45213.0</v>
      </c>
      <c r="L126" s="2" t="s">
        <v>790</v>
      </c>
      <c r="M126" s="2" t="s">
        <v>679</v>
      </c>
      <c r="N126" s="2">
        <v>424.82</v>
      </c>
      <c r="O126" s="2">
        <v>3.0</v>
      </c>
      <c r="P126" s="2" t="s">
        <v>29</v>
      </c>
      <c r="Q126" s="2">
        <v>2.0</v>
      </c>
      <c r="R126" s="2">
        <v>67.0</v>
      </c>
      <c r="S126" s="3">
        <v>45215.0</v>
      </c>
      <c r="T126" s="2" t="s">
        <v>791</v>
      </c>
      <c r="U126" s="2">
        <f t="shared" si="1"/>
        <v>2</v>
      </c>
      <c r="V126" s="2">
        <f t="shared" si="2"/>
        <v>23</v>
      </c>
      <c r="W126" s="2">
        <f t="shared" si="3"/>
        <v>1274.46</v>
      </c>
      <c r="X126" s="2">
        <f t="shared" si="4"/>
        <v>1341.46</v>
      </c>
      <c r="Y126" s="2">
        <f t="shared" si="5"/>
        <v>0</v>
      </c>
      <c r="Z126" s="2">
        <f t="shared" si="6"/>
        <v>1274.46</v>
      </c>
      <c r="AA126" s="2">
        <f t="shared" si="7"/>
        <v>1341.46</v>
      </c>
      <c r="AB126" s="2" t="str">
        <f t="shared" si="8"/>
        <v>Saturday</v>
      </c>
      <c r="AC126" s="2" t="str">
        <f t="shared" si="9"/>
        <v>Weekend</v>
      </c>
      <c r="AD126" s="2" t="str">
        <f t="shared" si="10"/>
        <v>john.ramirez</v>
      </c>
      <c r="AE126" s="2" t="str">
        <f t="shared" si="11"/>
        <v>outlook</v>
      </c>
      <c r="AF126" s="2" t="str">
        <f t="shared" si="12"/>
        <v>John Ramirez</v>
      </c>
      <c r="AG126" s="2" t="str">
        <f t="shared" si="13"/>
        <v>John</v>
      </c>
      <c r="AH126" s="2" t="str">
        <f t="shared" si="14"/>
        <v>Ramirez</v>
      </c>
      <c r="AI126" s="2" t="str">
        <f t="shared" si="15"/>
        <v>InTime</v>
      </c>
      <c r="AJ126" s="2" t="str">
        <f t="shared" si="16"/>
        <v>#NAME?</v>
      </c>
    </row>
    <row r="127" ht="14.25" customHeight="1">
      <c r="A127" s="2" t="s">
        <v>185</v>
      </c>
      <c r="B127" s="2" t="s">
        <v>186</v>
      </c>
      <c r="C127" s="2" t="s">
        <v>187</v>
      </c>
      <c r="D127" s="2">
        <v>34.0</v>
      </c>
      <c r="E127" s="2" t="s">
        <v>22</v>
      </c>
      <c r="F127" s="2" t="s">
        <v>83</v>
      </c>
      <c r="G127" s="2" t="s">
        <v>188</v>
      </c>
      <c r="H127" s="2" t="s">
        <v>2108</v>
      </c>
      <c r="I127" s="2" t="s">
        <v>189</v>
      </c>
      <c r="J127" s="2" t="s">
        <v>792</v>
      </c>
      <c r="K127" s="3">
        <v>45667.0</v>
      </c>
      <c r="L127" s="2" t="s">
        <v>793</v>
      </c>
      <c r="M127" s="2" t="s">
        <v>507</v>
      </c>
      <c r="N127" s="2">
        <v>136.3</v>
      </c>
      <c r="O127" s="2">
        <v>2.0</v>
      </c>
      <c r="P127" s="2" t="s">
        <v>89</v>
      </c>
      <c r="Q127" s="2">
        <v>3.0</v>
      </c>
      <c r="R127" s="2">
        <v>68.0</v>
      </c>
      <c r="S127" s="3">
        <v>45674.0</v>
      </c>
      <c r="T127" s="2" t="s">
        <v>794</v>
      </c>
      <c r="U127" s="2">
        <f t="shared" si="1"/>
        <v>7</v>
      </c>
      <c r="V127" s="2">
        <f t="shared" si="2"/>
        <v>1</v>
      </c>
      <c r="W127" s="2">
        <f t="shared" si="3"/>
        <v>272.6</v>
      </c>
      <c r="X127" s="2">
        <f t="shared" si="4"/>
        <v>340.6</v>
      </c>
      <c r="Y127" s="2">
        <f t="shared" si="5"/>
        <v>0</v>
      </c>
      <c r="Z127" s="2">
        <f t="shared" si="6"/>
        <v>272.6</v>
      </c>
      <c r="AA127" s="2">
        <f t="shared" si="7"/>
        <v>340.6</v>
      </c>
      <c r="AB127" s="2" t="str">
        <f t="shared" si="8"/>
        <v>Friday</v>
      </c>
      <c r="AC127" s="2" t="str">
        <f t="shared" si="9"/>
        <v>Weekday</v>
      </c>
      <c r="AD127" s="2" t="str">
        <f t="shared" si="10"/>
        <v>traci.jones</v>
      </c>
      <c r="AE127" s="2" t="str">
        <f t="shared" si="11"/>
        <v>yahoo</v>
      </c>
      <c r="AF127" s="2" t="str">
        <f t="shared" si="12"/>
        <v>Traci Jones</v>
      </c>
      <c r="AG127" s="2" t="str">
        <f t="shared" si="13"/>
        <v>Traci</v>
      </c>
      <c r="AH127" s="2" t="str">
        <f t="shared" si="14"/>
        <v>Jones</v>
      </c>
      <c r="AI127" s="2" t="str">
        <f t="shared" si="15"/>
        <v>Late</v>
      </c>
      <c r="AJ127" s="2" t="str">
        <f t="shared" si="16"/>
        <v>#NAME?</v>
      </c>
    </row>
    <row r="128" ht="14.25" customHeight="1">
      <c r="A128" s="2" t="s">
        <v>140</v>
      </c>
      <c r="B128" s="2" t="s">
        <v>141</v>
      </c>
      <c r="C128" s="2" t="s">
        <v>142</v>
      </c>
      <c r="D128" s="2">
        <v>44.0</v>
      </c>
      <c r="E128" s="2" t="s">
        <v>34</v>
      </c>
      <c r="F128" s="2" t="s">
        <v>83</v>
      </c>
      <c r="G128" s="2" t="s">
        <v>143</v>
      </c>
      <c r="H128" s="2" t="s">
        <v>2103</v>
      </c>
      <c r="I128" s="2" t="s">
        <v>144</v>
      </c>
      <c r="J128" s="2" t="s">
        <v>795</v>
      </c>
      <c r="K128" s="3">
        <v>45636.0</v>
      </c>
      <c r="L128" s="2" t="s">
        <v>796</v>
      </c>
      <c r="M128" s="2" t="s">
        <v>376</v>
      </c>
      <c r="N128" s="2">
        <v>431.44</v>
      </c>
      <c r="O128" s="2">
        <v>4.0</v>
      </c>
      <c r="P128" s="2" t="s">
        <v>51</v>
      </c>
      <c r="Q128" s="2">
        <v>2.0</v>
      </c>
      <c r="R128" s="2">
        <v>66.0</v>
      </c>
      <c r="S128" s="3">
        <v>45637.0</v>
      </c>
      <c r="T128" s="2" t="s">
        <v>797</v>
      </c>
      <c r="U128" s="2">
        <f t="shared" si="1"/>
        <v>1</v>
      </c>
      <c r="V128" s="2">
        <f t="shared" si="2"/>
        <v>11</v>
      </c>
      <c r="W128" s="2">
        <f t="shared" si="3"/>
        <v>1725.76</v>
      </c>
      <c r="X128" s="2">
        <f t="shared" si="4"/>
        <v>1791.76</v>
      </c>
      <c r="Y128" s="2">
        <f t="shared" si="5"/>
        <v>0</v>
      </c>
      <c r="Z128" s="2">
        <f t="shared" si="6"/>
        <v>1725.76</v>
      </c>
      <c r="AA128" s="2">
        <f t="shared" si="7"/>
        <v>1791.76</v>
      </c>
      <c r="AB128" s="2" t="str">
        <f t="shared" si="8"/>
        <v>Tuesday</v>
      </c>
      <c r="AC128" s="2" t="str">
        <f t="shared" si="9"/>
        <v>Weekday</v>
      </c>
      <c r="AD128" s="2" t="str">
        <f t="shared" si="10"/>
        <v>amy.reid</v>
      </c>
      <c r="AE128" s="2" t="str">
        <f t="shared" si="11"/>
        <v>rediffmail</v>
      </c>
      <c r="AF128" s="2" t="str">
        <f t="shared" si="12"/>
        <v>Amy Reid</v>
      </c>
      <c r="AG128" s="2" t="str">
        <f t="shared" si="13"/>
        <v>Amy</v>
      </c>
      <c r="AH128" s="2" t="str">
        <f t="shared" si="14"/>
        <v>Reid</v>
      </c>
      <c r="AI128" s="2" t="str">
        <f t="shared" si="15"/>
        <v>Before Time</v>
      </c>
      <c r="AJ128" s="2" t="str">
        <f t="shared" si="16"/>
        <v>#NAME?</v>
      </c>
    </row>
    <row r="129" ht="14.25" customHeight="1">
      <c r="A129" s="2" t="s">
        <v>698</v>
      </c>
      <c r="B129" s="2" t="s">
        <v>699</v>
      </c>
      <c r="C129" s="2" t="s">
        <v>700</v>
      </c>
      <c r="D129" s="2">
        <v>26.0</v>
      </c>
      <c r="E129" s="2" t="s">
        <v>45</v>
      </c>
      <c r="F129" s="2" t="s">
        <v>69</v>
      </c>
      <c r="G129" s="2" t="s">
        <v>701</v>
      </c>
      <c r="H129" s="2" t="s">
        <v>2155</v>
      </c>
      <c r="I129" s="2" t="s">
        <v>702</v>
      </c>
      <c r="J129" s="2" t="s">
        <v>798</v>
      </c>
      <c r="K129" s="3">
        <v>45450.0</v>
      </c>
      <c r="L129" s="2" t="s">
        <v>799</v>
      </c>
      <c r="M129" s="2" t="s">
        <v>227</v>
      </c>
      <c r="N129" s="2">
        <v>132.97</v>
      </c>
      <c r="O129" s="2">
        <v>5.0</v>
      </c>
      <c r="P129" s="2" t="s">
        <v>78</v>
      </c>
      <c r="Q129" s="2">
        <v>3.0</v>
      </c>
      <c r="R129" s="2">
        <v>45.0</v>
      </c>
      <c r="S129" s="3">
        <v>45452.0</v>
      </c>
      <c r="T129" s="2" t="s">
        <v>800</v>
      </c>
      <c r="U129" s="2">
        <f t="shared" si="1"/>
        <v>2</v>
      </c>
      <c r="V129" s="2">
        <f t="shared" si="2"/>
        <v>2</v>
      </c>
      <c r="W129" s="2">
        <f t="shared" si="3"/>
        <v>664.85</v>
      </c>
      <c r="X129" s="2">
        <f t="shared" si="4"/>
        <v>709.85</v>
      </c>
      <c r="Y129" s="2">
        <f t="shared" si="5"/>
        <v>0</v>
      </c>
      <c r="Z129" s="2">
        <f t="shared" si="6"/>
        <v>664.85</v>
      </c>
      <c r="AA129" s="2">
        <f t="shared" si="7"/>
        <v>709.85</v>
      </c>
      <c r="AB129" s="2" t="str">
        <f t="shared" si="8"/>
        <v>Friday</v>
      </c>
      <c r="AC129" s="2" t="str">
        <f t="shared" si="9"/>
        <v>Weekday</v>
      </c>
      <c r="AD129" s="2" t="str">
        <f t="shared" si="10"/>
        <v>gregory.lee</v>
      </c>
      <c r="AE129" s="2" t="str">
        <f t="shared" si="11"/>
        <v>rediffmail</v>
      </c>
      <c r="AF129" s="2" t="str">
        <f t="shared" si="12"/>
        <v>Gregory Lee</v>
      </c>
      <c r="AG129" s="2" t="str">
        <f t="shared" si="13"/>
        <v>Gregory</v>
      </c>
      <c r="AH129" s="2" t="str">
        <f t="shared" si="14"/>
        <v>Lee</v>
      </c>
      <c r="AI129" s="2" t="str">
        <f t="shared" si="15"/>
        <v>Before Time</v>
      </c>
      <c r="AJ129" s="2" t="str">
        <f t="shared" si="16"/>
        <v>#NAME?</v>
      </c>
    </row>
    <row r="130" ht="14.25" customHeight="1">
      <c r="A130" s="2" t="s">
        <v>521</v>
      </c>
      <c r="B130" s="2" t="s">
        <v>387</v>
      </c>
      <c r="C130" s="2" t="s">
        <v>522</v>
      </c>
      <c r="D130" s="2">
        <v>51.0</v>
      </c>
      <c r="E130" s="2" t="s">
        <v>45</v>
      </c>
      <c r="F130" s="2" t="s">
        <v>133</v>
      </c>
      <c r="G130" s="2" t="s">
        <v>523</v>
      </c>
      <c r="H130" s="2" t="s">
        <v>2143</v>
      </c>
      <c r="I130" s="2" t="s">
        <v>524</v>
      </c>
      <c r="J130" s="2" t="s">
        <v>801</v>
      </c>
      <c r="K130" s="3">
        <v>45598.0</v>
      </c>
      <c r="L130" s="2" t="s">
        <v>802</v>
      </c>
      <c r="M130" s="2" t="s">
        <v>166</v>
      </c>
      <c r="N130" s="2">
        <v>272.51</v>
      </c>
      <c r="O130" s="2">
        <v>4.0</v>
      </c>
      <c r="P130" s="2" t="s">
        <v>56</v>
      </c>
      <c r="Q130" s="2">
        <v>2.0</v>
      </c>
      <c r="R130" s="2">
        <v>42.0</v>
      </c>
      <c r="S130" s="3">
        <v>45599.0</v>
      </c>
      <c r="T130" s="2" t="s">
        <v>803</v>
      </c>
      <c r="U130" s="2">
        <f t="shared" si="1"/>
        <v>1</v>
      </c>
      <c r="V130" s="2">
        <f t="shared" si="2"/>
        <v>22</v>
      </c>
      <c r="W130" s="2">
        <f t="shared" si="3"/>
        <v>1090.04</v>
      </c>
      <c r="X130" s="2">
        <f t="shared" si="4"/>
        <v>1132.04</v>
      </c>
      <c r="Y130" s="2">
        <f t="shared" si="5"/>
        <v>0</v>
      </c>
      <c r="Z130" s="2">
        <f t="shared" si="6"/>
        <v>1090.04</v>
      </c>
      <c r="AA130" s="2">
        <f t="shared" si="7"/>
        <v>1090.04</v>
      </c>
      <c r="AB130" s="2" t="str">
        <f t="shared" si="8"/>
        <v>Saturday</v>
      </c>
      <c r="AC130" s="2" t="str">
        <f t="shared" si="9"/>
        <v>Weekend</v>
      </c>
      <c r="AD130" s="2" t="str">
        <f t="shared" si="10"/>
        <v>jason.nguyen</v>
      </c>
      <c r="AE130" s="2" t="str">
        <f t="shared" si="11"/>
        <v>yahoo</v>
      </c>
      <c r="AF130" s="2" t="str">
        <f t="shared" si="12"/>
        <v>Jason Nguyen</v>
      </c>
      <c r="AG130" s="2" t="str">
        <f t="shared" si="13"/>
        <v>Jason</v>
      </c>
      <c r="AH130" s="2" t="str">
        <f t="shared" si="14"/>
        <v>Nguyen</v>
      </c>
      <c r="AI130" s="2" t="str">
        <f t="shared" si="15"/>
        <v>Before Time</v>
      </c>
      <c r="AJ130" s="2" t="str">
        <f t="shared" si="16"/>
        <v>#NAME?</v>
      </c>
    </row>
    <row r="131" ht="14.25" customHeight="1">
      <c r="A131" s="2" t="s">
        <v>31</v>
      </c>
      <c r="B131" s="2" t="s">
        <v>32</v>
      </c>
      <c r="C131" s="2" t="s">
        <v>33</v>
      </c>
      <c r="D131" s="2">
        <v>53.0</v>
      </c>
      <c r="E131" s="2" t="s">
        <v>34</v>
      </c>
      <c r="F131" s="2" t="s">
        <v>35</v>
      </c>
      <c r="G131" s="2" t="s">
        <v>36</v>
      </c>
      <c r="H131" s="2" t="s">
        <v>2093</v>
      </c>
      <c r="I131" s="2" t="s">
        <v>37</v>
      </c>
      <c r="J131" s="2" t="s">
        <v>804</v>
      </c>
      <c r="K131" s="3">
        <v>45589.0</v>
      </c>
      <c r="L131" s="2" t="s">
        <v>805</v>
      </c>
      <c r="M131" s="2" t="s">
        <v>50</v>
      </c>
      <c r="N131" s="2">
        <v>202.54</v>
      </c>
      <c r="O131" s="2">
        <v>2.0</v>
      </c>
      <c r="P131" s="2" t="s">
        <v>78</v>
      </c>
      <c r="Q131" s="2">
        <v>6.0</v>
      </c>
      <c r="R131" s="2">
        <v>70.0</v>
      </c>
      <c r="S131" s="3">
        <v>45594.0</v>
      </c>
      <c r="T131" s="2" t="s">
        <v>806</v>
      </c>
      <c r="U131" s="2">
        <f t="shared" si="1"/>
        <v>5</v>
      </c>
      <c r="V131" s="2">
        <f t="shared" si="2"/>
        <v>8</v>
      </c>
      <c r="W131" s="2">
        <f t="shared" si="3"/>
        <v>405.08</v>
      </c>
      <c r="X131" s="2">
        <f t="shared" si="4"/>
        <v>475.08</v>
      </c>
      <c r="Y131" s="2">
        <f t="shared" si="5"/>
        <v>0</v>
      </c>
      <c r="Z131" s="2">
        <f t="shared" si="6"/>
        <v>405.08</v>
      </c>
      <c r="AA131" s="2">
        <f t="shared" si="7"/>
        <v>475.08</v>
      </c>
      <c r="AB131" s="2" t="str">
        <f t="shared" si="8"/>
        <v>Thursday</v>
      </c>
      <c r="AC131" s="2" t="str">
        <f t="shared" si="9"/>
        <v>Weekday</v>
      </c>
      <c r="AD131" s="2" t="str">
        <f t="shared" si="10"/>
        <v>anthony.thomas</v>
      </c>
      <c r="AE131" s="2" t="str">
        <f t="shared" si="11"/>
        <v>rediffmail</v>
      </c>
      <c r="AF131" s="2" t="str">
        <f t="shared" si="12"/>
        <v>Anthony Thomas</v>
      </c>
      <c r="AG131" s="2" t="str">
        <f t="shared" si="13"/>
        <v>Anthony</v>
      </c>
      <c r="AH131" s="2" t="str">
        <f t="shared" si="14"/>
        <v>Thomas</v>
      </c>
      <c r="AI131" s="2" t="str">
        <f t="shared" si="15"/>
        <v>Before Time</v>
      </c>
      <c r="AJ131" s="2" t="str">
        <f t="shared" si="16"/>
        <v>#NAME?</v>
      </c>
    </row>
    <row r="132" ht="14.25" customHeight="1">
      <c r="A132" s="2" t="s">
        <v>91</v>
      </c>
      <c r="B132" s="2" t="s">
        <v>92</v>
      </c>
      <c r="C132" s="2" t="s">
        <v>93</v>
      </c>
      <c r="D132" s="2">
        <v>39.0</v>
      </c>
      <c r="E132" s="2" t="s">
        <v>22</v>
      </c>
      <c r="F132" s="2" t="s">
        <v>23</v>
      </c>
      <c r="G132" s="2" t="s">
        <v>94</v>
      </c>
      <c r="H132" s="2" t="s">
        <v>2098</v>
      </c>
      <c r="I132" s="2" t="s">
        <v>95</v>
      </c>
      <c r="J132" s="2" t="s">
        <v>807</v>
      </c>
      <c r="K132" s="3">
        <v>45689.0</v>
      </c>
      <c r="L132" s="2" t="s">
        <v>808</v>
      </c>
      <c r="M132" s="2" t="s">
        <v>507</v>
      </c>
      <c r="N132" s="2">
        <v>136.3</v>
      </c>
      <c r="O132" s="2">
        <v>2.0</v>
      </c>
      <c r="P132" s="2" t="s">
        <v>89</v>
      </c>
      <c r="Q132" s="2">
        <v>2.0</v>
      </c>
      <c r="R132" s="2">
        <v>51.0</v>
      </c>
      <c r="S132" s="3">
        <v>45694.0</v>
      </c>
      <c r="T132" s="2" t="s">
        <v>809</v>
      </c>
      <c r="U132" s="2">
        <f t="shared" si="1"/>
        <v>5</v>
      </c>
      <c r="V132" s="2">
        <f t="shared" si="2"/>
        <v>10</v>
      </c>
      <c r="W132" s="2">
        <f t="shared" si="3"/>
        <v>272.6</v>
      </c>
      <c r="X132" s="2">
        <f t="shared" si="4"/>
        <v>323.6</v>
      </c>
      <c r="Y132" s="2">
        <f t="shared" si="5"/>
        <v>0</v>
      </c>
      <c r="Z132" s="2">
        <f t="shared" si="6"/>
        <v>272.6</v>
      </c>
      <c r="AA132" s="2">
        <f t="shared" si="7"/>
        <v>323.6</v>
      </c>
      <c r="AB132" s="2" t="str">
        <f t="shared" si="8"/>
        <v>Saturday</v>
      </c>
      <c r="AC132" s="2" t="str">
        <f t="shared" si="9"/>
        <v>Weekend</v>
      </c>
      <c r="AD132" s="2" t="str">
        <f t="shared" si="10"/>
        <v>marcus.valenzuela</v>
      </c>
      <c r="AE132" s="2" t="str">
        <f t="shared" si="11"/>
        <v>yahoo</v>
      </c>
      <c r="AF132" s="2" t="str">
        <f t="shared" si="12"/>
        <v>Marcus Valenzuela</v>
      </c>
      <c r="AG132" s="2" t="str">
        <f t="shared" si="13"/>
        <v>Marcus</v>
      </c>
      <c r="AH132" s="2" t="str">
        <f t="shared" si="14"/>
        <v>Valenzuela</v>
      </c>
      <c r="AI132" s="2" t="str">
        <f t="shared" si="15"/>
        <v>Late</v>
      </c>
      <c r="AJ132" s="2" t="str">
        <f t="shared" si="16"/>
        <v>#NAME?</v>
      </c>
    </row>
    <row r="133" ht="14.25" customHeight="1">
      <c r="A133" s="2" t="s">
        <v>220</v>
      </c>
      <c r="B133" s="2" t="s">
        <v>221</v>
      </c>
      <c r="C133" s="2" t="s">
        <v>222</v>
      </c>
      <c r="D133" s="2">
        <v>64.0</v>
      </c>
      <c r="E133" s="2" t="s">
        <v>34</v>
      </c>
      <c r="F133" s="2" t="s">
        <v>35</v>
      </c>
      <c r="G133" s="2" t="s">
        <v>223</v>
      </c>
      <c r="H133" s="2" t="s">
        <v>2112</v>
      </c>
      <c r="I133" s="2" t="s">
        <v>224</v>
      </c>
      <c r="J133" s="2" t="s">
        <v>810</v>
      </c>
      <c r="K133" s="3">
        <v>45094.0</v>
      </c>
      <c r="L133" s="2" t="s">
        <v>811</v>
      </c>
      <c r="M133" s="2" t="s">
        <v>583</v>
      </c>
      <c r="N133" s="2">
        <v>403.03</v>
      </c>
      <c r="O133" s="2">
        <v>5.0</v>
      </c>
      <c r="P133" s="2" t="s">
        <v>56</v>
      </c>
      <c r="Q133" s="2">
        <v>7.0</v>
      </c>
      <c r="R133" s="2">
        <v>52.0</v>
      </c>
      <c r="S133" s="3">
        <v>45097.0</v>
      </c>
      <c r="T133" s="2" t="s">
        <v>812</v>
      </c>
      <c r="U133" s="2">
        <f t="shared" si="1"/>
        <v>3</v>
      </c>
      <c r="V133" s="2">
        <f t="shared" si="2"/>
        <v>17</v>
      </c>
      <c r="W133" s="2">
        <f t="shared" si="3"/>
        <v>2015.15</v>
      </c>
      <c r="X133" s="2">
        <f t="shared" si="4"/>
        <v>2067.15</v>
      </c>
      <c r="Y133" s="2">
        <f t="shared" si="5"/>
        <v>0</v>
      </c>
      <c r="Z133" s="2">
        <f t="shared" si="6"/>
        <v>2015.15</v>
      </c>
      <c r="AA133" s="2">
        <f t="shared" si="7"/>
        <v>2015.15</v>
      </c>
      <c r="AB133" s="2" t="str">
        <f t="shared" si="8"/>
        <v>Saturday</v>
      </c>
      <c r="AC133" s="2" t="str">
        <f t="shared" si="9"/>
        <v>Weekend</v>
      </c>
      <c r="AD133" s="2" t="str">
        <f t="shared" si="10"/>
        <v>john.herrera</v>
      </c>
      <c r="AE133" s="2" t="str">
        <f t="shared" si="11"/>
        <v>outlook</v>
      </c>
      <c r="AF133" s="2" t="str">
        <f t="shared" si="12"/>
        <v>John Herrera</v>
      </c>
      <c r="AG133" s="2" t="str">
        <f t="shared" si="13"/>
        <v>John</v>
      </c>
      <c r="AH133" s="2" t="str">
        <f t="shared" si="14"/>
        <v>Herrera</v>
      </c>
      <c r="AI133" s="2" t="str">
        <f t="shared" si="15"/>
        <v>Before Time</v>
      </c>
      <c r="AJ133" s="2" t="str">
        <f t="shared" si="16"/>
        <v>#NAME?</v>
      </c>
    </row>
    <row r="134" ht="14.25" customHeight="1">
      <c r="A134" s="2" t="s">
        <v>342</v>
      </c>
      <c r="B134" s="2" t="s">
        <v>343</v>
      </c>
      <c r="C134" s="2" t="s">
        <v>344</v>
      </c>
      <c r="D134" s="2">
        <v>70.0</v>
      </c>
      <c r="E134" s="2" t="s">
        <v>22</v>
      </c>
      <c r="F134" s="2" t="s">
        <v>161</v>
      </c>
      <c r="G134" s="2" t="s">
        <v>345</v>
      </c>
      <c r="H134" s="2" t="s">
        <v>2123</v>
      </c>
      <c r="I134" s="2" t="s">
        <v>346</v>
      </c>
      <c r="J134" s="2" t="s">
        <v>813</v>
      </c>
      <c r="K134" s="3">
        <v>45281.0</v>
      </c>
      <c r="L134" s="2" t="s">
        <v>814</v>
      </c>
      <c r="M134" s="2" t="s">
        <v>583</v>
      </c>
      <c r="N134" s="2">
        <v>403.03</v>
      </c>
      <c r="O134" s="2">
        <v>4.0</v>
      </c>
      <c r="P134" s="2" t="s">
        <v>89</v>
      </c>
      <c r="Q134" s="2">
        <v>6.0</v>
      </c>
      <c r="R134" s="2">
        <v>47.0</v>
      </c>
      <c r="S134" s="3">
        <v>45283.0</v>
      </c>
      <c r="T134" s="2" t="s">
        <v>815</v>
      </c>
      <c r="U134" s="2">
        <f t="shared" si="1"/>
        <v>2</v>
      </c>
      <c r="V134" s="2">
        <f t="shared" si="2"/>
        <v>7</v>
      </c>
      <c r="W134" s="2">
        <f t="shared" si="3"/>
        <v>1612.12</v>
      </c>
      <c r="X134" s="2">
        <f t="shared" si="4"/>
        <v>1659.12</v>
      </c>
      <c r="Y134" s="2">
        <f t="shared" si="5"/>
        <v>0</v>
      </c>
      <c r="Z134" s="2">
        <f t="shared" si="6"/>
        <v>1612.12</v>
      </c>
      <c r="AA134" s="2">
        <f t="shared" si="7"/>
        <v>1659.12</v>
      </c>
      <c r="AB134" s="2" t="str">
        <f t="shared" si="8"/>
        <v>Thursday</v>
      </c>
      <c r="AC134" s="2" t="str">
        <f t="shared" si="9"/>
        <v>Weekday</v>
      </c>
      <c r="AD134" s="2" t="str">
        <f t="shared" si="10"/>
        <v>donna.oneill</v>
      </c>
      <c r="AE134" s="2" t="str">
        <f t="shared" si="11"/>
        <v>yahoo</v>
      </c>
      <c r="AF134" s="2" t="str">
        <f t="shared" si="12"/>
        <v>Donna Oneill</v>
      </c>
      <c r="AG134" s="2" t="str">
        <f t="shared" si="13"/>
        <v>Donna</v>
      </c>
      <c r="AH134" s="2" t="str">
        <f t="shared" si="14"/>
        <v>Oneill</v>
      </c>
      <c r="AI134" s="2" t="str">
        <f t="shared" si="15"/>
        <v>Before Time</v>
      </c>
      <c r="AJ134" s="2" t="str">
        <f t="shared" si="16"/>
        <v>#NAME?</v>
      </c>
    </row>
    <row r="135" ht="14.25" customHeight="1">
      <c r="A135" s="2" t="s">
        <v>816</v>
      </c>
      <c r="B135" s="2" t="s">
        <v>817</v>
      </c>
      <c r="C135" s="2" t="s">
        <v>818</v>
      </c>
      <c r="D135" s="2">
        <v>42.0</v>
      </c>
      <c r="E135" s="2" t="s">
        <v>22</v>
      </c>
      <c r="F135" s="2" t="s">
        <v>69</v>
      </c>
      <c r="G135" s="2" t="s">
        <v>819</v>
      </c>
      <c r="H135" s="2" t="s">
        <v>2164</v>
      </c>
      <c r="I135" s="2" t="s">
        <v>820</v>
      </c>
      <c r="J135" s="2" t="s">
        <v>821</v>
      </c>
      <c r="K135" s="3">
        <v>44979.0</v>
      </c>
      <c r="L135" s="2" t="s">
        <v>822</v>
      </c>
      <c r="M135" s="2" t="s">
        <v>138</v>
      </c>
      <c r="N135" s="2">
        <v>190.1</v>
      </c>
      <c r="O135" s="2">
        <v>5.0</v>
      </c>
      <c r="P135" s="2" t="s">
        <v>78</v>
      </c>
      <c r="Q135" s="2">
        <v>4.0</v>
      </c>
      <c r="R135" s="2">
        <v>37.0</v>
      </c>
      <c r="S135" s="3">
        <v>44984.0</v>
      </c>
      <c r="T135" s="2" t="s">
        <v>823</v>
      </c>
      <c r="U135" s="2">
        <f t="shared" si="1"/>
        <v>5</v>
      </c>
      <c r="V135" s="2">
        <f t="shared" si="2"/>
        <v>7</v>
      </c>
      <c r="W135" s="2">
        <f t="shared" si="3"/>
        <v>950.5</v>
      </c>
      <c r="X135" s="2">
        <f t="shared" si="4"/>
        <v>987.5</v>
      </c>
      <c r="Y135" s="2">
        <f t="shared" si="5"/>
        <v>0</v>
      </c>
      <c r="Z135" s="2">
        <f t="shared" si="6"/>
        <v>950.5</v>
      </c>
      <c r="AA135" s="2">
        <f t="shared" si="7"/>
        <v>987.5</v>
      </c>
      <c r="AB135" s="2" t="str">
        <f t="shared" si="8"/>
        <v>Wednesday</v>
      </c>
      <c r="AC135" s="2" t="str">
        <f t="shared" si="9"/>
        <v>Weekday</v>
      </c>
      <c r="AD135" s="2" t="str">
        <f t="shared" si="10"/>
        <v>edward.black</v>
      </c>
      <c r="AE135" s="2" t="str">
        <f t="shared" si="11"/>
        <v>gmail</v>
      </c>
      <c r="AF135" s="2" t="str">
        <f t="shared" si="12"/>
        <v>Edward Black</v>
      </c>
      <c r="AG135" s="2" t="str">
        <f t="shared" si="13"/>
        <v>Edward</v>
      </c>
      <c r="AH135" s="2" t="str">
        <f t="shared" si="14"/>
        <v>Black</v>
      </c>
      <c r="AI135" s="2" t="str">
        <f t="shared" si="15"/>
        <v>Late</v>
      </c>
      <c r="AJ135" s="2" t="str">
        <f t="shared" si="16"/>
        <v>#NAME?</v>
      </c>
    </row>
    <row r="136" ht="14.25" customHeight="1">
      <c r="A136" s="2" t="s">
        <v>824</v>
      </c>
      <c r="B136" s="2" t="s">
        <v>825</v>
      </c>
      <c r="C136" s="2" t="s">
        <v>826</v>
      </c>
      <c r="D136" s="2">
        <v>60.0</v>
      </c>
      <c r="E136" s="2" t="s">
        <v>22</v>
      </c>
      <c r="F136" s="2" t="s">
        <v>133</v>
      </c>
      <c r="G136" s="2" t="s">
        <v>827</v>
      </c>
      <c r="H136" s="2" t="s">
        <v>2165</v>
      </c>
      <c r="I136" s="2" t="s">
        <v>828</v>
      </c>
      <c r="J136" s="2" t="s">
        <v>829</v>
      </c>
      <c r="K136" s="3">
        <v>45663.0</v>
      </c>
      <c r="L136" s="2" t="s">
        <v>830</v>
      </c>
      <c r="M136" s="2" t="s">
        <v>507</v>
      </c>
      <c r="N136" s="2">
        <v>136.3</v>
      </c>
      <c r="O136" s="2">
        <v>4.0</v>
      </c>
      <c r="P136" s="2" t="s">
        <v>56</v>
      </c>
      <c r="Q136" s="2">
        <v>5.0</v>
      </c>
      <c r="R136" s="2">
        <v>61.0</v>
      </c>
      <c r="S136" s="3">
        <v>45668.0</v>
      </c>
      <c r="T136" s="2" t="s">
        <v>831</v>
      </c>
      <c r="U136" s="2">
        <f t="shared" si="1"/>
        <v>5</v>
      </c>
      <c r="V136" s="2">
        <f t="shared" si="2"/>
        <v>0</v>
      </c>
      <c r="W136" s="2">
        <f t="shared" si="3"/>
        <v>545.2</v>
      </c>
      <c r="X136" s="2">
        <f t="shared" si="4"/>
        <v>606.2</v>
      </c>
      <c r="Y136" s="2">
        <f t="shared" si="5"/>
        <v>0</v>
      </c>
      <c r="Z136" s="2">
        <f t="shared" si="6"/>
        <v>545.2</v>
      </c>
      <c r="AA136" s="2">
        <f t="shared" si="7"/>
        <v>545.2</v>
      </c>
      <c r="AB136" s="2" t="str">
        <f t="shared" si="8"/>
        <v>Monday</v>
      </c>
      <c r="AC136" s="2" t="str">
        <f t="shared" si="9"/>
        <v>Weekday</v>
      </c>
      <c r="AD136" s="2" t="str">
        <f t="shared" si="10"/>
        <v>james.brown</v>
      </c>
      <c r="AE136" s="2" t="str">
        <f t="shared" si="11"/>
        <v>yahoo</v>
      </c>
      <c r="AF136" s="2" t="str">
        <f t="shared" si="12"/>
        <v>James Brown</v>
      </c>
      <c r="AG136" s="2" t="str">
        <f t="shared" si="13"/>
        <v>James</v>
      </c>
      <c r="AH136" s="2" t="str">
        <f t="shared" si="14"/>
        <v>Brown</v>
      </c>
      <c r="AI136" s="2" t="str">
        <f t="shared" si="15"/>
        <v>InTime</v>
      </c>
      <c r="AJ136" s="2" t="str">
        <f t="shared" si="16"/>
        <v>#NAME?</v>
      </c>
    </row>
    <row r="137" ht="14.25" customHeight="1">
      <c r="A137" s="2" t="s">
        <v>832</v>
      </c>
      <c r="B137" s="2" t="s">
        <v>833</v>
      </c>
      <c r="C137" s="2" t="s">
        <v>834</v>
      </c>
      <c r="D137" s="2">
        <v>26.0</v>
      </c>
      <c r="E137" s="2" t="s">
        <v>34</v>
      </c>
      <c r="F137" s="2" t="s">
        <v>152</v>
      </c>
      <c r="G137" s="2" t="s">
        <v>835</v>
      </c>
      <c r="H137" s="2" t="s">
        <v>2166</v>
      </c>
      <c r="I137" s="2" t="s">
        <v>836</v>
      </c>
      <c r="J137" s="2" t="s">
        <v>837</v>
      </c>
      <c r="K137" s="3">
        <v>45226.0</v>
      </c>
      <c r="L137" s="2" t="s">
        <v>838</v>
      </c>
      <c r="M137" s="2" t="s">
        <v>650</v>
      </c>
      <c r="N137" s="2">
        <v>235.63</v>
      </c>
      <c r="O137" s="2">
        <v>1.0</v>
      </c>
      <c r="P137" s="2" t="s">
        <v>78</v>
      </c>
      <c r="Q137" s="2">
        <v>2.0</v>
      </c>
      <c r="R137" s="2">
        <v>66.0</v>
      </c>
      <c r="S137" s="3">
        <v>45233.0</v>
      </c>
      <c r="T137" s="2" t="s">
        <v>839</v>
      </c>
      <c r="U137" s="2">
        <f t="shared" si="1"/>
        <v>7</v>
      </c>
      <c r="V137" s="2">
        <f t="shared" si="2"/>
        <v>20</v>
      </c>
      <c r="W137" s="2">
        <f t="shared" si="3"/>
        <v>235.63</v>
      </c>
      <c r="X137" s="2">
        <f t="shared" si="4"/>
        <v>301.63</v>
      </c>
      <c r="Y137" s="2">
        <f t="shared" si="5"/>
        <v>0</v>
      </c>
      <c r="Z137" s="2">
        <f t="shared" si="6"/>
        <v>235.63</v>
      </c>
      <c r="AA137" s="2">
        <f t="shared" si="7"/>
        <v>301.63</v>
      </c>
      <c r="AB137" s="2" t="str">
        <f t="shared" si="8"/>
        <v>Friday</v>
      </c>
      <c r="AC137" s="2" t="str">
        <f t="shared" si="9"/>
        <v>Weekday</v>
      </c>
      <c r="AD137" s="2" t="str">
        <f t="shared" si="10"/>
        <v>leslie.montgomery</v>
      </c>
      <c r="AE137" s="2" t="str">
        <f t="shared" si="11"/>
        <v>gmail</v>
      </c>
      <c r="AF137" s="2" t="str">
        <f t="shared" si="12"/>
        <v>Leslie Montgomery</v>
      </c>
      <c r="AG137" s="2" t="str">
        <f t="shared" si="13"/>
        <v>Leslie</v>
      </c>
      <c r="AH137" s="2" t="str">
        <f t="shared" si="14"/>
        <v>Montgomery</v>
      </c>
      <c r="AI137" s="2" t="str">
        <f t="shared" si="15"/>
        <v>Late</v>
      </c>
      <c r="AJ137" s="2" t="str">
        <f t="shared" si="16"/>
        <v>#NAME?</v>
      </c>
    </row>
    <row r="138" ht="14.25" customHeight="1">
      <c r="A138" s="2" t="s">
        <v>840</v>
      </c>
      <c r="B138" s="2" t="s">
        <v>841</v>
      </c>
      <c r="C138" s="2" t="s">
        <v>380</v>
      </c>
      <c r="D138" s="2">
        <v>37.0</v>
      </c>
      <c r="E138" s="2" t="s">
        <v>45</v>
      </c>
      <c r="F138" s="2" t="s">
        <v>213</v>
      </c>
      <c r="G138" s="2" t="s">
        <v>842</v>
      </c>
      <c r="H138" s="2" t="s">
        <v>2167</v>
      </c>
      <c r="I138" s="2" t="s">
        <v>843</v>
      </c>
      <c r="J138" s="2" t="s">
        <v>844</v>
      </c>
      <c r="K138" s="3">
        <v>45249.0</v>
      </c>
      <c r="L138" s="2" t="s">
        <v>845</v>
      </c>
      <c r="M138" s="2" t="s">
        <v>646</v>
      </c>
      <c r="N138" s="2">
        <v>433.62</v>
      </c>
      <c r="O138" s="2">
        <v>4.0</v>
      </c>
      <c r="P138" s="2" t="s">
        <v>78</v>
      </c>
      <c r="Q138" s="2">
        <v>3.0</v>
      </c>
      <c r="R138" s="2">
        <v>36.0</v>
      </c>
      <c r="S138" s="3">
        <v>45252.0</v>
      </c>
      <c r="T138" s="2" t="s">
        <v>846</v>
      </c>
      <c r="U138" s="2">
        <f t="shared" si="1"/>
        <v>3</v>
      </c>
      <c r="V138" s="2">
        <f t="shared" si="2"/>
        <v>14</v>
      </c>
      <c r="W138" s="2">
        <f t="shared" si="3"/>
        <v>1734.48</v>
      </c>
      <c r="X138" s="2">
        <f t="shared" si="4"/>
        <v>1770.48</v>
      </c>
      <c r="Y138" s="2">
        <f t="shared" si="5"/>
        <v>0</v>
      </c>
      <c r="Z138" s="2">
        <f t="shared" si="6"/>
        <v>1734.48</v>
      </c>
      <c r="AA138" s="2">
        <f t="shared" si="7"/>
        <v>1770.48</v>
      </c>
      <c r="AB138" s="2" t="str">
        <f t="shared" si="8"/>
        <v>Sunday</v>
      </c>
      <c r="AC138" s="2" t="str">
        <f t="shared" si="9"/>
        <v>Weekend</v>
      </c>
      <c r="AD138" s="2" t="str">
        <f t="shared" si="10"/>
        <v>susan.thompson</v>
      </c>
      <c r="AE138" s="2" t="str">
        <f t="shared" si="11"/>
        <v>outlook</v>
      </c>
      <c r="AF138" s="2" t="str">
        <f t="shared" si="12"/>
        <v>Susan Thompson</v>
      </c>
      <c r="AG138" s="2" t="str">
        <f t="shared" si="13"/>
        <v>Susan</v>
      </c>
      <c r="AH138" s="2" t="str">
        <f t="shared" si="14"/>
        <v>Thompson</v>
      </c>
      <c r="AI138" s="2" t="str">
        <f t="shared" si="15"/>
        <v>InTime</v>
      </c>
      <c r="AJ138" s="2" t="str">
        <f t="shared" si="16"/>
        <v>#NAME?</v>
      </c>
    </row>
    <row r="139" ht="14.25" customHeight="1">
      <c r="A139" s="2" t="s">
        <v>743</v>
      </c>
      <c r="B139" s="2" t="s">
        <v>744</v>
      </c>
      <c r="C139" s="2" t="s">
        <v>745</v>
      </c>
      <c r="D139" s="2">
        <v>43.0</v>
      </c>
      <c r="E139" s="2" t="s">
        <v>45</v>
      </c>
      <c r="F139" s="2" t="s">
        <v>152</v>
      </c>
      <c r="G139" s="2" t="s">
        <v>746</v>
      </c>
      <c r="H139" s="2" t="s">
        <v>2160</v>
      </c>
      <c r="I139" s="2" t="s">
        <v>747</v>
      </c>
      <c r="J139" s="2" t="s">
        <v>847</v>
      </c>
      <c r="K139" s="3">
        <v>45331.0</v>
      </c>
      <c r="L139" s="2" t="s">
        <v>848</v>
      </c>
      <c r="M139" s="2" t="s">
        <v>280</v>
      </c>
      <c r="N139" s="2">
        <v>157.64</v>
      </c>
      <c r="O139" s="2">
        <v>5.0</v>
      </c>
      <c r="P139" s="2" t="s">
        <v>56</v>
      </c>
      <c r="Q139" s="2">
        <v>7.0</v>
      </c>
      <c r="R139" s="2">
        <v>36.0</v>
      </c>
      <c r="S139" s="3">
        <v>45332.0</v>
      </c>
      <c r="T139" s="2" t="s">
        <v>849</v>
      </c>
      <c r="U139" s="2">
        <f t="shared" si="1"/>
        <v>1</v>
      </c>
      <c r="V139" s="2">
        <f t="shared" si="2"/>
        <v>10</v>
      </c>
      <c r="W139" s="2">
        <f t="shared" si="3"/>
        <v>788.2</v>
      </c>
      <c r="X139" s="2">
        <f t="shared" si="4"/>
        <v>824.2</v>
      </c>
      <c r="Y139" s="2">
        <f t="shared" si="5"/>
        <v>0</v>
      </c>
      <c r="Z139" s="2">
        <f t="shared" si="6"/>
        <v>788.2</v>
      </c>
      <c r="AA139" s="2">
        <f t="shared" si="7"/>
        <v>788.2</v>
      </c>
      <c r="AB139" s="2" t="str">
        <f t="shared" si="8"/>
        <v>Friday</v>
      </c>
      <c r="AC139" s="2" t="str">
        <f t="shared" si="9"/>
        <v>Weekday</v>
      </c>
      <c r="AD139" s="2" t="str">
        <f t="shared" si="10"/>
        <v>barbara.fuller</v>
      </c>
      <c r="AE139" s="2" t="str">
        <f t="shared" si="11"/>
        <v>rediffmail</v>
      </c>
      <c r="AF139" s="2" t="str">
        <f t="shared" si="12"/>
        <v>Barbara Fuller</v>
      </c>
      <c r="AG139" s="2" t="str">
        <f t="shared" si="13"/>
        <v>Barbara</v>
      </c>
      <c r="AH139" s="2" t="str">
        <f t="shared" si="14"/>
        <v>Fuller</v>
      </c>
      <c r="AI139" s="2" t="str">
        <f t="shared" si="15"/>
        <v>Before Time</v>
      </c>
      <c r="AJ139" s="2" t="str">
        <f t="shared" si="16"/>
        <v>#NAME?</v>
      </c>
    </row>
    <row r="140" ht="14.25" customHeight="1">
      <c r="A140" s="2" t="s">
        <v>80</v>
      </c>
      <c r="B140" s="2" t="s">
        <v>81</v>
      </c>
      <c r="C140" s="2" t="s">
        <v>82</v>
      </c>
      <c r="D140" s="2">
        <v>26.0</v>
      </c>
      <c r="E140" s="2" t="s">
        <v>34</v>
      </c>
      <c r="F140" s="2" t="s">
        <v>83</v>
      </c>
      <c r="G140" s="2" t="s">
        <v>84</v>
      </c>
      <c r="H140" s="2" t="s">
        <v>2097</v>
      </c>
      <c r="I140" s="2" t="s">
        <v>85</v>
      </c>
      <c r="J140" s="2" t="s">
        <v>850</v>
      </c>
      <c r="K140" s="3">
        <v>45108.0</v>
      </c>
      <c r="L140" s="2" t="s">
        <v>851</v>
      </c>
      <c r="M140" s="2" t="s">
        <v>284</v>
      </c>
      <c r="N140" s="2">
        <v>158.53</v>
      </c>
      <c r="O140" s="2">
        <v>5.0</v>
      </c>
      <c r="P140" s="2" t="s">
        <v>56</v>
      </c>
      <c r="Q140" s="2">
        <v>4.0</v>
      </c>
      <c r="R140" s="2">
        <v>66.0</v>
      </c>
      <c r="S140" s="3">
        <v>45111.0</v>
      </c>
      <c r="T140" s="2" t="s">
        <v>852</v>
      </c>
      <c r="U140" s="2">
        <f t="shared" si="1"/>
        <v>3</v>
      </c>
      <c r="V140" s="2">
        <f t="shared" si="2"/>
        <v>14</v>
      </c>
      <c r="W140" s="2">
        <f t="shared" si="3"/>
        <v>792.65</v>
      </c>
      <c r="X140" s="2">
        <f t="shared" si="4"/>
        <v>858.65</v>
      </c>
      <c r="Y140" s="2">
        <f t="shared" si="5"/>
        <v>0</v>
      </c>
      <c r="Z140" s="2">
        <f t="shared" si="6"/>
        <v>792.65</v>
      </c>
      <c r="AA140" s="2">
        <f t="shared" si="7"/>
        <v>792.65</v>
      </c>
      <c r="AB140" s="2" t="str">
        <f t="shared" si="8"/>
        <v>Saturday</v>
      </c>
      <c r="AC140" s="2" t="str">
        <f t="shared" si="9"/>
        <v>Weekend</v>
      </c>
      <c r="AD140" s="2" t="str">
        <f t="shared" si="10"/>
        <v>david.delacruz</v>
      </c>
      <c r="AE140" s="2" t="str">
        <f t="shared" si="11"/>
        <v>rediffmail</v>
      </c>
      <c r="AF140" s="2" t="str">
        <f t="shared" si="12"/>
        <v>David Delacruz</v>
      </c>
      <c r="AG140" s="2" t="str">
        <f t="shared" si="13"/>
        <v>David</v>
      </c>
      <c r="AH140" s="2" t="str">
        <f t="shared" si="14"/>
        <v>Delacruz</v>
      </c>
      <c r="AI140" s="2" t="str">
        <f t="shared" si="15"/>
        <v>Before Time</v>
      </c>
      <c r="AJ140" s="2" t="str">
        <f t="shared" si="16"/>
        <v>#NAME?</v>
      </c>
    </row>
    <row r="141" ht="14.25" customHeight="1">
      <c r="A141" s="2" t="s">
        <v>177</v>
      </c>
      <c r="B141" s="2" t="s">
        <v>178</v>
      </c>
      <c r="C141" s="2" t="s">
        <v>179</v>
      </c>
      <c r="D141" s="2">
        <v>42.0</v>
      </c>
      <c r="E141" s="2" t="s">
        <v>34</v>
      </c>
      <c r="F141" s="2" t="s">
        <v>161</v>
      </c>
      <c r="G141" s="2" t="s">
        <v>180</v>
      </c>
      <c r="H141" s="2" t="s">
        <v>2107</v>
      </c>
      <c r="I141" s="2" t="s">
        <v>181</v>
      </c>
      <c r="J141" s="2" t="s">
        <v>853</v>
      </c>
      <c r="K141" s="3">
        <v>45283.0</v>
      </c>
      <c r="L141" s="2" t="s">
        <v>854</v>
      </c>
      <c r="M141" s="2" t="s">
        <v>119</v>
      </c>
      <c r="N141" s="2">
        <v>257.06</v>
      </c>
      <c r="O141" s="2">
        <v>3.0</v>
      </c>
      <c r="P141" s="2" t="s">
        <v>29</v>
      </c>
      <c r="Q141" s="2">
        <v>6.0</v>
      </c>
      <c r="R141" s="2">
        <v>65.0</v>
      </c>
      <c r="S141" s="3">
        <v>45289.0</v>
      </c>
      <c r="T141" s="2" t="s">
        <v>855</v>
      </c>
      <c r="U141" s="2">
        <f t="shared" si="1"/>
        <v>6</v>
      </c>
      <c r="V141" s="2">
        <f t="shared" si="2"/>
        <v>10</v>
      </c>
      <c r="W141" s="2">
        <f t="shared" si="3"/>
        <v>771.18</v>
      </c>
      <c r="X141" s="2">
        <f t="shared" si="4"/>
        <v>836.18</v>
      </c>
      <c r="Y141" s="2">
        <f t="shared" si="5"/>
        <v>0</v>
      </c>
      <c r="Z141" s="2">
        <f t="shared" si="6"/>
        <v>771.18</v>
      </c>
      <c r="AA141" s="2">
        <f t="shared" si="7"/>
        <v>836.18</v>
      </c>
      <c r="AB141" s="2" t="str">
        <f t="shared" si="8"/>
        <v>Saturday</v>
      </c>
      <c r="AC141" s="2" t="str">
        <f t="shared" si="9"/>
        <v>Weekend</v>
      </c>
      <c r="AD141" s="2" t="str">
        <f t="shared" si="10"/>
        <v>mallory.mitchell</v>
      </c>
      <c r="AE141" s="2" t="str">
        <f t="shared" si="11"/>
        <v>yahoo</v>
      </c>
      <c r="AF141" s="2" t="str">
        <f t="shared" si="12"/>
        <v>Mallory Mitchell</v>
      </c>
      <c r="AG141" s="2" t="str">
        <f t="shared" si="13"/>
        <v>Mallory</v>
      </c>
      <c r="AH141" s="2" t="str">
        <f t="shared" si="14"/>
        <v>Mitchell</v>
      </c>
      <c r="AI141" s="2" t="str">
        <f t="shared" si="15"/>
        <v>InTime</v>
      </c>
      <c r="AJ141" s="2" t="str">
        <f t="shared" si="16"/>
        <v>#NAME?</v>
      </c>
    </row>
    <row r="142" ht="14.25" customHeight="1">
      <c r="A142" s="2" t="s">
        <v>769</v>
      </c>
      <c r="B142" s="2" t="s">
        <v>770</v>
      </c>
      <c r="C142" s="2" t="s">
        <v>771</v>
      </c>
      <c r="D142" s="2">
        <v>32.0</v>
      </c>
      <c r="E142" s="2" t="s">
        <v>22</v>
      </c>
      <c r="F142" s="2" t="s">
        <v>152</v>
      </c>
      <c r="G142" s="2" t="s">
        <v>772</v>
      </c>
      <c r="H142" s="2" t="s">
        <v>2162</v>
      </c>
      <c r="I142" s="2" t="s">
        <v>773</v>
      </c>
      <c r="J142" s="2" t="s">
        <v>856</v>
      </c>
      <c r="K142" s="3">
        <v>45537.0</v>
      </c>
      <c r="L142" s="2" t="s">
        <v>857</v>
      </c>
      <c r="M142" s="2" t="s">
        <v>731</v>
      </c>
      <c r="N142" s="2">
        <v>110.95</v>
      </c>
      <c r="O142" s="2">
        <v>4.0</v>
      </c>
      <c r="P142" s="2" t="s">
        <v>51</v>
      </c>
      <c r="Q142" s="2">
        <v>1.0</v>
      </c>
      <c r="R142" s="2">
        <v>60.0</v>
      </c>
      <c r="S142" s="3">
        <v>45541.0</v>
      </c>
      <c r="T142" s="2" t="s">
        <v>858</v>
      </c>
      <c r="U142" s="2">
        <f t="shared" si="1"/>
        <v>4</v>
      </c>
      <c r="V142" s="2">
        <f t="shared" si="2"/>
        <v>10</v>
      </c>
      <c r="W142" s="2">
        <f t="shared" si="3"/>
        <v>443.8</v>
      </c>
      <c r="X142" s="2">
        <f t="shared" si="4"/>
        <v>503.8</v>
      </c>
      <c r="Y142" s="2">
        <f t="shared" si="5"/>
        <v>0</v>
      </c>
      <c r="Z142" s="2">
        <f t="shared" si="6"/>
        <v>443.8</v>
      </c>
      <c r="AA142" s="2">
        <f t="shared" si="7"/>
        <v>503.8</v>
      </c>
      <c r="AB142" s="2" t="str">
        <f t="shared" si="8"/>
        <v>Monday</v>
      </c>
      <c r="AC142" s="2" t="str">
        <f t="shared" si="9"/>
        <v>Weekday</v>
      </c>
      <c r="AD142" s="2" t="str">
        <f t="shared" si="10"/>
        <v>lindsey.byrd</v>
      </c>
      <c r="AE142" s="2" t="str">
        <f t="shared" si="11"/>
        <v>rediffmail</v>
      </c>
      <c r="AF142" s="2" t="str">
        <f t="shared" si="12"/>
        <v>Lindsey Byrd</v>
      </c>
      <c r="AG142" s="2" t="str">
        <f t="shared" si="13"/>
        <v>Lindsey</v>
      </c>
      <c r="AH142" s="2" t="str">
        <f t="shared" si="14"/>
        <v>Byrd</v>
      </c>
      <c r="AI142" s="2" t="str">
        <f t="shared" si="15"/>
        <v>Late</v>
      </c>
      <c r="AJ142" s="2" t="str">
        <f t="shared" si="16"/>
        <v>#NAME?</v>
      </c>
    </row>
    <row r="143" ht="14.25" customHeight="1">
      <c r="A143" s="2" t="s">
        <v>539</v>
      </c>
      <c r="B143" s="2" t="s">
        <v>540</v>
      </c>
      <c r="C143" s="2" t="s">
        <v>541</v>
      </c>
      <c r="D143" s="2">
        <v>33.0</v>
      </c>
      <c r="E143" s="2" t="s">
        <v>45</v>
      </c>
      <c r="F143" s="2" t="s">
        <v>161</v>
      </c>
      <c r="G143" s="2" t="s">
        <v>542</v>
      </c>
      <c r="H143" s="2" t="s">
        <v>2145</v>
      </c>
      <c r="I143" s="2" t="s">
        <v>543</v>
      </c>
      <c r="J143" s="2" t="s">
        <v>859</v>
      </c>
      <c r="K143" s="3">
        <v>45609.0</v>
      </c>
      <c r="L143" s="2" t="s">
        <v>860</v>
      </c>
      <c r="M143" s="2" t="s">
        <v>316</v>
      </c>
      <c r="N143" s="2">
        <v>481.48</v>
      </c>
      <c r="O143" s="2">
        <v>5.0</v>
      </c>
      <c r="P143" s="2" t="s">
        <v>29</v>
      </c>
      <c r="Q143" s="2">
        <v>6.0</v>
      </c>
      <c r="R143" s="2">
        <v>44.0</v>
      </c>
      <c r="S143" s="3">
        <v>45612.0</v>
      </c>
      <c r="T143" s="2" t="s">
        <v>861</v>
      </c>
      <c r="U143" s="2">
        <f t="shared" si="1"/>
        <v>3</v>
      </c>
      <c r="V143" s="2">
        <f t="shared" si="2"/>
        <v>22</v>
      </c>
      <c r="W143" s="2">
        <f t="shared" si="3"/>
        <v>2407.4</v>
      </c>
      <c r="X143" s="2">
        <f t="shared" si="4"/>
        <v>2451.4</v>
      </c>
      <c r="Y143" s="2">
        <f t="shared" si="5"/>
        <v>0</v>
      </c>
      <c r="Z143" s="2">
        <f t="shared" si="6"/>
        <v>2407.4</v>
      </c>
      <c r="AA143" s="2">
        <f t="shared" si="7"/>
        <v>2451.4</v>
      </c>
      <c r="AB143" s="2" t="str">
        <f t="shared" si="8"/>
        <v>Wednesday</v>
      </c>
      <c r="AC143" s="2" t="str">
        <f t="shared" si="9"/>
        <v>Weekday</v>
      </c>
      <c r="AD143" s="2" t="str">
        <f t="shared" si="10"/>
        <v>jodi.whitney</v>
      </c>
      <c r="AE143" s="2" t="str">
        <f t="shared" si="11"/>
        <v>yahoo</v>
      </c>
      <c r="AF143" s="2" t="str">
        <f t="shared" si="12"/>
        <v>Jodi Whitney</v>
      </c>
      <c r="AG143" s="2" t="str">
        <f t="shared" si="13"/>
        <v>Jodi</v>
      </c>
      <c r="AH143" s="2" t="str">
        <f t="shared" si="14"/>
        <v>Whitney</v>
      </c>
      <c r="AI143" s="2" t="str">
        <f t="shared" si="15"/>
        <v>Before Time</v>
      </c>
      <c r="AJ143" s="2" t="str">
        <f t="shared" si="16"/>
        <v>#NAME?</v>
      </c>
    </row>
    <row r="144" ht="14.25" customHeight="1">
      <c r="A144" s="2" t="s">
        <v>500</v>
      </c>
      <c r="B144" s="2" t="s">
        <v>501</v>
      </c>
      <c r="C144" s="2" t="s">
        <v>502</v>
      </c>
      <c r="D144" s="2">
        <v>64.0</v>
      </c>
      <c r="E144" s="2" t="s">
        <v>22</v>
      </c>
      <c r="F144" s="2" t="s">
        <v>23</v>
      </c>
      <c r="G144" s="2" t="s">
        <v>503</v>
      </c>
      <c r="H144" s="2" t="s">
        <v>2141</v>
      </c>
      <c r="I144" s="2" t="s">
        <v>504</v>
      </c>
      <c r="J144" s="2" t="s">
        <v>862</v>
      </c>
      <c r="K144" s="3">
        <v>45576.0</v>
      </c>
      <c r="L144" s="2" t="s">
        <v>863</v>
      </c>
      <c r="M144" s="2" t="s">
        <v>864</v>
      </c>
      <c r="N144" s="2">
        <v>292.15</v>
      </c>
      <c r="O144" s="2">
        <v>4.0</v>
      </c>
      <c r="P144" s="2" t="s">
        <v>78</v>
      </c>
      <c r="Q144" s="2">
        <v>1.0</v>
      </c>
      <c r="R144" s="2">
        <v>58.0</v>
      </c>
      <c r="S144" s="3">
        <v>45577.0</v>
      </c>
      <c r="T144" s="2" t="s">
        <v>865</v>
      </c>
      <c r="U144" s="2">
        <f t="shared" si="1"/>
        <v>1</v>
      </c>
      <c r="V144" s="2">
        <f t="shared" si="2"/>
        <v>19</v>
      </c>
      <c r="W144" s="2">
        <f t="shared" si="3"/>
        <v>1168.6</v>
      </c>
      <c r="X144" s="2">
        <f t="shared" si="4"/>
        <v>1226.6</v>
      </c>
      <c r="Y144" s="2">
        <f t="shared" si="5"/>
        <v>0</v>
      </c>
      <c r="Z144" s="2">
        <f t="shared" si="6"/>
        <v>1168.6</v>
      </c>
      <c r="AA144" s="2">
        <f t="shared" si="7"/>
        <v>1226.6</v>
      </c>
      <c r="AB144" s="2" t="str">
        <f t="shared" si="8"/>
        <v>Friday</v>
      </c>
      <c r="AC144" s="2" t="str">
        <f t="shared" si="9"/>
        <v>Weekday</v>
      </c>
      <c r="AD144" s="2" t="str">
        <f t="shared" si="10"/>
        <v>sarah.butler</v>
      </c>
      <c r="AE144" s="2" t="str">
        <f t="shared" si="11"/>
        <v>rediffmail</v>
      </c>
      <c r="AF144" s="2" t="str">
        <f t="shared" si="12"/>
        <v>Sarah Butler</v>
      </c>
      <c r="AG144" s="2" t="str">
        <f t="shared" si="13"/>
        <v>Sarah</v>
      </c>
      <c r="AH144" s="2" t="str">
        <f t="shared" si="14"/>
        <v>Butler</v>
      </c>
      <c r="AI144" s="2" t="str">
        <f t="shared" si="15"/>
        <v>InTime</v>
      </c>
      <c r="AJ144" s="2" t="str">
        <f t="shared" si="16"/>
        <v>#NAME?</v>
      </c>
    </row>
    <row r="145" ht="14.25" customHeight="1">
      <c r="A145" s="2" t="s">
        <v>351</v>
      </c>
      <c r="B145" s="2" t="s">
        <v>352</v>
      </c>
      <c r="C145" s="2" t="s">
        <v>353</v>
      </c>
      <c r="D145" s="2">
        <v>32.0</v>
      </c>
      <c r="E145" s="2" t="s">
        <v>34</v>
      </c>
      <c r="F145" s="2" t="s">
        <v>161</v>
      </c>
      <c r="G145" s="2" t="s">
        <v>354</v>
      </c>
      <c r="H145" s="2" t="s">
        <v>2124</v>
      </c>
      <c r="I145" s="2" t="s">
        <v>355</v>
      </c>
      <c r="J145" s="2" t="s">
        <v>866</v>
      </c>
      <c r="K145" s="3">
        <v>45199.0</v>
      </c>
      <c r="L145" s="2" t="s">
        <v>867</v>
      </c>
      <c r="M145" s="2" t="s">
        <v>767</v>
      </c>
      <c r="N145" s="2">
        <v>20.0</v>
      </c>
      <c r="O145" s="2">
        <v>5.0</v>
      </c>
      <c r="P145" s="2" t="s">
        <v>51</v>
      </c>
      <c r="Q145" s="2">
        <v>7.0</v>
      </c>
      <c r="R145" s="2">
        <v>40.0</v>
      </c>
      <c r="S145" s="3">
        <v>45203.0</v>
      </c>
      <c r="T145" s="2" t="s">
        <v>868</v>
      </c>
      <c r="U145" s="2">
        <f t="shared" si="1"/>
        <v>4</v>
      </c>
      <c r="V145" s="2">
        <f t="shared" si="2"/>
        <v>19</v>
      </c>
      <c r="W145" s="2">
        <f t="shared" si="3"/>
        <v>100</v>
      </c>
      <c r="X145" s="2">
        <f t="shared" si="4"/>
        <v>140</v>
      </c>
      <c r="Y145" s="2">
        <f t="shared" si="5"/>
        <v>0</v>
      </c>
      <c r="Z145" s="2">
        <f t="shared" si="6"/>
        <v>100</v>
      </c>
      <c r="AA145" s="2">
        <f t="shared" si="7"/>
        <v>140</v>
      </c>
      <c r="AB145" s="2" t="str">
        <f t="shared" si="8"/>
        <v>Saturday</v>
      </c>
      <c r="AC145" s="2" t="str">
        <f t="shared" si="9"/>
        <v>Weekend</v>
      </c>
      <c r="AD145" s="2" t="str">
        <f t="shared" si="10"/>
        <v>robert.castillo</v>
      </c>
      <c r="AE145" s="2" t="str">
        <f t="shared" si="11"/>
        <v>gmail</v>
      </c>
      <c r="AF145" s="2" t="str">
        <f t="shared" si="12"/>
        <v>Robert Castillo</v>
      </c>
      <c r="AG145" s="2" t="str">
        <f t="shared" si="13"/>
        <v>Robert</v>
      </c>
      <c r="AH145" s="2" t="str">
        <f t="shared" si="14"/>
        <v>Castillo</v>
      </c>
      <c r="AI145" s="2" t="str">
        <f t="shared" si="15"/>
        <v>Before Time</v>
      </c>
      <c r="AJ145" s="2" t="str">
        <f t="shared" si="16"/>
        <v>#NAME?</v>
      </c>
    </row>
    <row r="146" ht="14.25" customHeight="1">
      <c r="A146" s="2" t="s">
        <v>351</v>
      </c>
      <c r="B146" s="2" t="s">
        <v>352</v>
      </c>
      <c r="C146" s="2" t="s">
        <v>353</v>
      </c>
      <c r="D146" s="2">
        <v>32.0</v>
      </c>
      <c r="E146" s="2" t="s">
        <v>34</v>
      </c>
      <c r="F146" s="2" t="s">
        <v>161</v>
      </c>
      <c r="G146" s="2" t="s">
        <v>354</v>
      </c>
      <c r="H146" s="2" t="s">
        <v>2124</v>
      </c>
      <c r="I146" s="2" t="s">
        <v>355</v>
      </c>
      <c r="J146" s="2" t="s">
        <v>869</v>
      </c>
      <c r="K146" s="3">
        <v>45677.0</v>
      </c>
      <c r="L146" s="2" t="s">
        <v>870</v>
      </c>
      <c r="M146" s="2" t="s">
        <v>55</v>
      </c>
      <c r="N146" s="2">
        <v>405.0</v>
      </c>
      <c r="O146" s="2">
        <v>2.0</v>
      </c>
      <c r="P146" s="2" t="s">
        <v>51</v>
      </c>
      <c r="Q146" s="2">
        <v>7.0</v>
      </c>
      <c r="R146" s="2">
        <v>55.0</v>
      </c>
      <c r="S146" s="3">
        <v>45680.0</v>
      </c>
      <c r="T146" s="2" t="s">
        <v>871</v>
      </c>
      <c r="U146" s="2">
        <f t="shared" si="1"/>
        <v>3</v>
      </c>
      <c r="V146" s="2">
        <f t="shared" si="2"/>
        <v>9</v>
      </c>
      <c r="W146" s="2">
        <f t="shared" si="3"/>
        <v>810</v>
      </c>
      <c r="X146" s="2">
        <f t="shared" si="4"/>
        <v>865</v>
      </c>
      <c r="Y146" s="2">
        <f t="shared" si="5"/>
        <v>0</v>
      </c>
      <c r="Z146" s="2">
        <f t="shared" si="6"/>
        <v>810</v>
      </c>
      <c r="AA146" s="2">
        <f t="shared" si="7"/>
        <v>865</v>
      </c>
      <c r="AB146" s="2" t="str">
        <f t="shared" si="8"/>
        <v>Monday</v>
      </c>
      <c r="AC146" s="2" t="str">
        <f t="shared" si="9"/>
        <v>Weekday</v>
      </c>
      <c r="AD146" s="2" t="str">
        <f t="shared" si="10"/>
        <v>robert.castillo</v>
      </c>
      <c r="AE146" s="2" t="str">
        <f t="shared" si="11"/>
        <v>gmail</v>
      </c>
      <c r="AF146" s="2" t="str">
        <f t="shared" si="12"/>
        <v>Robert Castillo</v>
      </c>
      <c r="AG146" s="2" t="str">
        <f t="shared" si="13"/>
        <v>Robert</v>
      </c>
      <c r="AH146" s="2" t="str">
        <f t="shared" si="14"/>
        <v>Castillo</v>
      </c>
      <c r="AI146" s="2" t="str">
        <f t="shared" si="15"/>
        <v>Before Time</v>
      </c>
      <c r="AJ146" s="2" t="str">
        <f t="shared" si="16"/>
        <v>#NAME?</v>
      </c>
    </row>
    <row r="147" ht="14.25" customHeight="1">
      <c r="A147" s="2" t="s">
        <v>568</v>
      </c>
      <c r="B147" s="2" t="s">
        <v>249</v>
      </c>
      <c r="C147" s="2" t="s">
        <v>569</v>
      </c>
      <c r="D147" s="2">
        <v>35.0</v>
      </c>
      <c r="E147" s="2" t="s">
        <v>22</v>
      </c>
      <c r="F147" s="2" t="s">
        <v>23</v>
      </c>
      <c r="G147" s="2" t="s">
        <v>570</v>
      </c>
      <c r="H147" s="2" t="s">
        <v>2146</v>
      </c>
      <c r="I147" s="2" t="s">
        <v>571</v>
      </c>
      <c r="J147" s="2" t="s">
        <v>872</v>
      </c>
      <c r="K147" s="3">
        <v>45581.0</v>
      </c>
      <c r="L147" s="2" t="s">
        <v>873</v>
      </c>
      <c r="M147" s="2" t="s">
        <v>107</v>
      </c>
      <c r="N147" s="2">
        <v>48.45</v>
      </c>
      <c r="O147" s="2">
        <v>5.0</v>
      </c>
      <c r="P147" s="2" t="s">
        <v>89</v>
      </c>
      <c r="Q147" s="2">
        <v>7.0</v>
      </c>
      <c r="R147" s="2">
        <v>53.0</v>
      </c>
      <c r="S147" s="3">
        <v>45588.0</v>
      </c>
      <c r="T147" s="2" t="s">
        <v>874</v>
      </c>
      <c r="U147" s="2">
        <f t="shared" si="1"/>
        <v>7</v>
      </c>
      <c r="V147" s="2">
        <f t="shared" si="2"/>
        <v>6</v>
      </c>
      <c r="W147" s="2">
        <f t="shared" si="3"/>
        <v>242.25</v>
      </c>
      <c r="X147" s="2">
        <f t="shared" si="4"/>
        <v>295.25</v>
      </c>
      <c r="Y147" s="2">
        <f t="shared" si="5"/>
        <v>0</v>
      </c>
      <c r="Z147" s="2">
        <f t="shared" si="6"/>
        <v>242.25</v>
      </c>
      <c r="AA147" s="2">
        <f t="shared" si="7"/>
        <v>295.25</v>
      </c>
      <c r="AB147" s="2" t="str">
        <f t="shared" si="8"/>
        <v>Wednesday</v>
      </c>
      <c r="AC147" s="2" t="str">
        <f t="shared" si="9"/>
        <v>Weekday</v>
      </c>
      <c r="AD147" s="2" t="str">
        <f t="shared" si="10"/>
        <v>ashley.romero</v>
      </c>
      <c r="AE147" s="2" t="str">
        <f t="shared" si="11"/>
        <v>yahoo</v>
      </c>
      <c r="AF147" s="2" t="str">
        <f t="shared" si="12"/>
        <v>Ashley Romero</v>
      </c>
      <c r="AG147" s="2" t="str">
        <f t="shared" si="13"/>
        <v>Ashley</v>
      </c>
      <c r="AH147" s="2" t="str">
        <f t="shared" si="14"/>
        <v>Romero</v>
      </c>
      <c r="AI147" s="2" t="str">
        <f t="shared" si="15"/>
        <v>InTime</v>
      </c>
      <c r="AJ147" s="2" t="str">
        <f t="shared" si="16"/>
        <v>#NAME?</v>
      </c>
    </row>
    <row r="148" ht="14.25" customHeight="1">
      <c r="A148" s="2" t="s">
        <v>483</v>
      </c>
      <c r="B148" s="2" t="s">
        <v>179</v>
      </c>
      <c r="C148" s="2" t="s">
        <v>320</v>
      </c>
      <c r="D148" s="2">
        <v>39.0</v>
      </c>
      <c r="E148" s="2" t="s">
        <v>45</v>
      </c>
      <c r="F148" s="2" t="s">
        <v>35</v>
      </c>
      <c r="G148" s="2" t="s">
        <v>484</v>
      </c>
      <c r="H148" s="2" t="s">
        <v>2139</v>
      </c>
      <c r="I148" s="2" t="s">
        <v>485</v>
      </c>
      <c r="J148" s="2" t="s">
        <v>875</v>
      </c>
      <c r="K148" s="3">
        <v>45609.0</v>
      </c>
      <c r="L148" s="2" t="s">
        <v>876</v>
      </c>
      <c r="M148" s="2" t="s">
        <v>50</v>
      </c>
      <c r="N148" s="2">
        <v>202.54</v>
      </c>
      <c r="O148" s="2">
        <v>1.0</v>
      </c>
      <c r="P148" s="2" t="s">
        <v>29</v>
      </c>
      <c r="Q148" s="2">
        <v>4.0</v>
      </c>
      <c r="R148" s="2">
        <v>48.0</v>
      </c>
      <c r="S148" s="3">
        <v>45611.0</v>
      </c>
      <c r="T148" s="2" t="s">
        <v>877</v>
      </c>
      <c r="U148" s="2">
        <f t="shared" si="1"/>
        <v>2</v>
      </c>
      <c r="V148" s="2">
        <f t="shared" si="2"/>
        <v>0</v>
      </c>
      <c r="W148" s="2">
        <f t="shared" si="3"/>
        <v>202.54</v>
      </c>
      <c r="X148" s="2">
        <f t="shared" si="4"/>
        <v>250.54</v>
      </c>
      <c r="Y148" s="2">
        <f t="shared" si="5"/>
        <v>0</v>
      </c>
      <c r="Z148" s="2">
        <f t="shared" si="6"/>
        <v>202.54</v>
      </c>
      <c r="AA148" s="2">
        <f t="shared" si="7"/>
        <v>250.54</v>
      </c>
      <c r="AB148" s="2" t="str">
        <f t="shared" si="8"/>
        <v>Wednesday</v>
      </c>
      <c r="AC148" s="2" t="str">
        <f t="shared" si="9"/>
        <v>Weekday</v>
      </c>
      <c r="AD148" s="2" t="str">
        <f t="shared" si="10"/>
        <v>mitchell.parker</v>
      </c>
      <c r="AE148" s="2" t="str">
        <f t="shared" si="11"/>
        <v>yahoo</v>
      </c>
      <c r="AF148" s="2" t="str">
        <f t="shared" si="12"/>
        <v>Mitchell Parker</v>
      </c>
      <c r="AG148" s="2" t="str">
        <f t="shared" si="13"/>
        <v>Mitchell</v>
      </c>
      <c r="AH148" s="2" t="str">
        <f t="shared" si="14"/>
        <v>Parker</v>
      </c>
      <c r="AI148" s="2" t="str">
        <f t="shared" si="15"/>
        <v>Before Time</v>
      </c>
      <c r="AJ148" s="2" t="str">
        <f t="shared" si="16"/>
        <v>#NAME?</v>
      </c>
    </row>
    <row r="149" ht="14.25" customHeight="1">
      <c r="A149" s="2" t="s">
        <v>760</v>
      </c>
      <c r="B149" s="2" t="s">
        <v>761</v>
      </c>
      <c r="C149" s="2" t="s">
        <v>762</v>
      </c>
      <c r="D149" s="2">
        <v>27.0</v>
      </c>
      <c r="E149" s="2" t="s">
        <v>22</v>
      </c>
      <c r="F149" s="2" t="s">
        <v>35</v>
      </c>
      <c r="G149" s="2" t="s">
        <v>763</v>
      </c>
      <c r="H149" s="2" t="s">
        <v>2161</v>
      </c>
      <c r="I149" s="2" t="s">
        <v>764</v>
      </c>
      <c r="J149" s="2" t="s">
        <v>878</v>
      </c>
      <c r="K149" s="3">
        <v>44983.0</v>
      </c>
      <c r="L149" s="2" t="s">
        <v>879</v>
      </c>
      <c r="M149" s="2" t="s">
        <v>466</v>
      </c>
      <c r="N149" s="2">
        <v>286.07</v>
      </c>
      <c r="O149" s="2">
        <v>5.0</v>
      </c>
      <c r="P149" s="2" t="s">
        <v>78</v>
      </c>
      <c r="Q149" s="2">
        <v>1.0</v>
      </c>
      <c r="R149" s="2">
        <v>52.0</v>
      </c>
      <c r="S149" s="3">
        <v>44986.0</v>
      </c>
      <c r="T149" s="2" t="s">
        <v>880</v>
      </c>
      <c r="U149" s="2">
        <f t="shared" si="1"/>
        <v>3</v>
      </c>
      <c r="V149" s="2">
        <f t="shared" si="2"/>
        <v>15</v>
      </c>
      <c r="W149" s="2">
        <f t="shared" si="3"/>
        <v>1430.35</v>
      </c>
      <c r="X149" s="2">
        <f t="shared" si="4"/>
        <v>1482.35</v>
      </c>
      <c r="Y149" s="2">
        <f t="shared" si="5"/>
        <v>0</v>
      </c>
      <c r="Z149" s="2">
        <f t="shared" si="6"/>
        <v>1430.35</v>
      </c>
      <c r="AA149" s="2">
        <f t="shared" si="7"/>
        <v>1482.35</v>
      </c>
      <c r="AB149" s="2" t="str">
        <f t="shared" si="8"/>
        <v>Sunday</v>
      </c>
      <c r="AC149" s="2" t="str">
        <f t="shared" si="9"/>
        <v>Weekend</v>
      </c>
      <c r="AD149" s="2" t="str">
        <f t="shared" si="10"/>
        <v>kristina.haynes</v>
      </c>
      <c r="AE149" s="2" t="str">
        <f t="shared" si="11"/>
        <v>yahoo</v>
      </c>
      <c r="AF149" s="2" t="str">
        <f t="shared" si="12"/>
        <v>Kristina Haynes</v>
      </c>
      <c r="AG149" s="2" t="str">
        <f t="shared" si="13"/>
        <v>Kristina</v>
      </c>
      <c r="AH149" s="2" t="str">
        <f t="shared" si="14"/>
        <v>Haynes</v>
      </c>
      <c r="AI149" s="2" t="str">
        <f t="shared" si="15"/>
        <v>Late</v>
      </c>
      <c r="AJ149" s="2" t="str">
        <f t="shared" si="16"/>
        <v>#NAME?</v>
      </c>
    </row>
    <row r="150" ht="14.25" customHeight="1">
      <c r="A150" s="2" t="s">
        <v>459</v>
      </c>
      <c r="B150" s="2" t="s">
        <v>460</v>
      </c>
      <c r="C150" s="2" t="s">
        <v>461</v>
      </c>
      <c r="D150" s="2">
        <v>18.0</v>
      </c>
      <c r="E150" s="2" t="s">
        <v>34</v>
      </c>
      <c r="F150" s="2" t="s">
        <v>35</v>
      </c>
      <c r="G150" s="2" t="s">
        <v>462</v>
      </c>
      <c r="H150" s="2" t="s">
        <v>2136</v>
      </c>
      <c r="I150" s="2" t="s">
        <v>463</v>
      </c>
      <c r="J150" s="2" t="s">
        <v>881</v>
      </c>
      <c r="K150" s="3">
        <v>45378.0</v>
      </c>
      <c r="L150" s="2" t="s">
        <v>882</v>
      </c>
      <c r="M150" s="2" t="s">
        <v>50</v>
      </c>
      <c r="N150" s="2">
        <v>202.54</v>
      </c>
      <c r="O150" s="2">
        <v>4.0</v>
      </c>
      <c r="P150" s="2" t="s">
        <v>89</v>
      </c>
      <c r="Q150" s="2">
        <v>1.0</v>
      </c>
      <c r="R150" s="2">
        <v>36.0</v>
      </c>
      <c r="S150" s="3">
        <v>45380.0</v>
      </c>
      <c r="T150" s="2" t="s">
        <v>883</v>
      </c>
      <c r="U150" s="2">
        <f t="shared" si="1"/>
        <v>2</v>
      </c>
      <c r="V150" s="2">
        <f t="shared" si="2"/>
        <v>3</v>
      </c>
      <c r="W150" s="2">
        <f t="shared" si="3"/>
        <v>810.16</v>
      </c>
      <c r="X150" s="2">
        <f t="shared" si="4"/>
        <v>846.16</v>
      </c>
      <c r="Y150" s="2">
        <f t="shared" si="5"/>
        <v>0</v>
      </c>
      <c r="Z150" s="2">
        <f t="shared" si="6"/>
        <v>810.16</v>
      </c>
      <c r="AA150" s="2">
        <f t="shared" si="7"/>
        <v>846.16</v>
      </c>
      <c r="AB150" s="2" t="str">
        <f t="shared" si="8"/>
        <v>Wednesday</v>
      </c>
      <c r="AC150" s="2" t="str">
        <f t="shared" si="9"/>
        <v>Weekday</v>
      </c>
      <c r="AD150" s="2" t="str">
        <f t="shared" si="10"/>
        <v>lori.cook</v>
      </c>
      <c r="AE150" s="2" t="str">
        <f t="shared" si="11"/>
        <v>rediffmail</v>
      </c>
      <c r="AF150" s="2" t="str">
        <f t="shared" si="12"/>
        <v>Lori Cook</v>
      </c>
      <c r="AG150" s="2" t="str">
        <f t="shared" si="13"/>
        <v>Lori</v>
      </c>
      <c r="AH150" s="2" t="str">
        <f t="shared" si="14"/>
        <v>Cook</v>
      </c>
      <c r="AI150" s="2" t="str">
        <f t="shared" si="15"/>
        <v>Late</v>
      </c>
      <c r="AJ150" s="2" t="str">
        <f t="shared" si="16"/>
        <v>#NAME?</v>
      </c>
    </row>
    <row r="151" ht="14.25" customHeight="1">
      <c r="A151" s="2" t="s">
        <v>273</v>
      </c>
      <c r="B151" s="2" t="s">
        <v>274</v>
      </c>
      <c r="C151" s="2" t="s">
        <v>275</v>
      </c>
      <c r="D151" s="2">
        <v>64.0</v>
      </c>
      <c r="E151" s="2" t="s">
        <v>45</v>
      </c>
      <c r="F151" s="2" t="s">
        <v>23</v>
      </c>
      <c r="G151" s="2" t="s">
        <v>276</v>
      </c>
      <c r="H151" s="2" t="s">
        <v>2117</v>
      </c>
      <c r="I151" s="2" t="s">
        <v>277</v>
      </c>
      <c r="J151" s="2" t="s">
        <v>884</v>
      </c>
      <c r="K151" s="3">
        <v>44989.0</v>
      </c>
      <c r="L151" s="2" t="s">
        <v>885</v>
      </c>
      <c r="M151" s="2" t="s">
        <v>411</v>
      </c>
      <c r="N151" s="2">
        <v>44.5</v>
      </c>
      <c r="O151" s="2">
        <v>3.0</v>
      </c>
      <c r="P151" s="2" t="s">
        <v>29</v>
      </c>
      <c r="Q151" s="2">
        <v>6.0</v>
      </c>
      <c r="R151" s="2">
        <v>46.0</v>
      </c>
      <c r="S151" s="3">
        <v>44991.0</v>
      </c>
      <c r="T151" s="2" t="s">
        <v>886</v>
      </c>
      <c r="U151" s="2">
        <f t="shared" si="1"/>
        <v>2</v>
      </c>
      <c r="V151" s="2">
        <f t="shared" si="2"/>
        <v>13</v>
      </c>
      <c r="W151" s="2">
        <f t="shared" si="3"/>
        <v>133.5</v>
      </c>
      <c r="X151" s="2">
        <f t="shared" si="4"/>
        <v>179.5</v>
      </c>
      <c r="Y151" s="2">
        <f t="shared" si="5"/>
        <v>0</v>
      </c>
      <c r="Z151" s="2">
        <f t="shared" si="6"/>
        <v>133.5</v>
      </c>
      <c r="AA151" s="2">
        <f t="shared" si="7"/>
        <v>179.5</v>
      </c>
      <c r="AB151" s="2" t="str">
        <f t="shared" si="8"/>
        <v>Saturday</v>
      </c>
      <c r="AC151" s="2" t="str">
        <f t="shared" si="9"/>
        <v>Weekend</v>
      </c>
      <c r="AD151" s="2" t="str">
        <f t="shared" si="10"/>
        <v>teresa.harvey</v>
      </c>
      <c r="AE151" s="2" t="str">
        <f t="shared" si="11"/>
        <v>gmail</v>
      </c>
      <c r="AF151" s="2" t="str">
        <f t="shared" si="12"/>
        <v>Teresa Harvey</v>
      </c>
      <c r="AG151" s="2" t="str">
        <f t="shared" si="13"/>
        <v>Teresa</v>
      </c>
      <c r="AH151" s="2" t="str">
        <f t="shared" si="14"/>
        <v>Harvey</v>
      </c>
      <c r="AI151" s="2" t="str">
        <f t="shared" si="15"/>
        <v>Before Time</v>
      </c>
      <c r="AJ151" s="2" t="str">
        <f t="shared" si="16"/>
        <v>#NAME?</v>
      </c>
    </row>
    <row r="152" ht="14.25" customHeight="1">
      <c r="A152" s="2" t="s">
        <v>887</v>
      </c>
      <c r="B152" s="2" t="s">
        <v>141</v>
      </c>
      <c r="C152" s="2" t="s">
        <v>888</v>
      </c>
      <c r="D152" s="2">
        <v>29.0</v>
      </c>
      <c r="E152" s="2" t="s">
        <v>22</v>
      </c>
      <c r="F152" s="2" t="s">
        <v>35</v>
      </c>
      <c r="G152" s="2" t="s">
        <v>889</v>
      </c>
      <c r="H152" s="2" t="s">
        <v>2168</v>
      </c>
      <c r="I152" s="2" t="s">
        <v>890</v>
      </c>
      <c r="J152" s="2" t="s">
        <v>891</v>
      </c>
      <c r="K152" s="3">
        <v>45251.0</v>
      </c>
      <c r="L152" s="2" t="s">
        <v>892</v>
      </c>
      <c r="M152" s="2" t="s">
        <v>316</v>
      </c>
      <c r="N152" s="2">
        <v>481.48</v>
      </c>
      <c r="O152" s="2">
        <v>4.0</v>
      </c>
      <c r="P152" s="2" t="s">
        <v>56</v>
      </c>
      <c r="Q152" s="2">
        <v>3.0</v>
      </c>
      <c r="R152" s="2">
        <v>54.0</v>
      </c>
      <c r="S152" s="3">
        <v>45256.0</v>
      </c>
      <c r="T152" s="2" t="s">
        <v>893</v>
      </c>
      <c r="U152" s="2">
        <f t="shared" si="1"/>
        <v>5</v>
      </c>
      <c r="V152" s="2">
        <f t="shared" si="2"/>
        <v>10</v>
      </c>
      <c r="W152" s="2">
        <f t="shared" si="3"/>
        <v>1925.92</v>
      </c>
      <c r="X152" s="2">
        <f t="shared" si="4"/>
        <v>1979.92</v>
      </c>
      <c r="Y152" s="2">
        <f t="shared" si="5"/>
        <v>0</v>
      </c>
      <c r="Z152" s="2">
        <f t="shared" si="6"/>
        <v>1925.92</v>
      </c>
      <c r="AA152" s="2">
        <f t="shared" si="7"/>
        <v>1925.92</v>
      </c>
      <c r="AB152" s="2" t="str">
        <f t="shared" si="8"/>
        <v>Tuesday</v>
      </c>
      <c r="AC152" s="2" t="str">
        <f t="shared" si="9"/>
        <v>Weekday</v>
      </c>
      <c r="AD152" s="2" t="str">
        <f t="shared" si="10"/>
        <v>amy.griffin</v>
      </c>
      <c r="AE152" s="2" t="str">
        <f t="shared" si="11"/>
        <v>rediffmail</v>
      </c>
      <c r="AF152" s="2" t="str">
        <f t="shared" si="12"/>
        <v>Amy Griffin</v>
      </c>
      <c r="AG152" s="2" t="str">
        <f t="shared" si="13"/>
        <v>Amy</v>
      </c>
      <c r="AH152" s="2" t="str">
        <f t="shared" si="14"/>
        <v>Griffin</v>
      </c>
      <c r="AI152" s="2" t="str">
        <f t="shared" si="15"/>
        <v>Late</v>
      </c>
      <c r="AJ152" s="2" t="str">
        <f t="shared" si="16"/>
        <v>#NAME?</v>
      </c>
    </row>
    <row r="153" ht="14.25" customHeight="1">
      <c r="A153" s="2" t="s">
        <v>539</v>
      </c>
      <c r="B153" s="2" t="s">
        <v>540</v>
      </c>
      <c r="C153" s="2" t="s">
        <v>541</v>
      </c>
      <c r="D153" s="2">
        <v>33.0</v>
      </c>
      <c r="E153" s="2" t="s">
        <v>45</v>
      </c>
      <c r="F153" s="2" t="s">
        <v>161</v>
      </c>
      <c r="G153" s="2" t="s">
        <v>542</v>
      </c>
      <c r="H153" s="2" t="s">
        <v>2145</v>
      </c>
      <c r="I153" s="2" t="s">
        <v>543</v>
      </c>
      <c r="J153" s="2" t="s">
        <v>894</v>
      </c>
      <c r="K153" s="3">
        <v>45200.0</v>
      </c>
      <c r="L153" s="2" t="s">
        <v>895</v>
      </c>
      <c r="M153" s="2" t="s">
        <v>333</v>
      </c>
      <c r="N153" s="2">
        <v>77.84</v>
      </c>
      <c r="O153" s="2">
        <v>5.0</v>
      </c>
      <c r="P153" s="2" t="s">
        <v>89</v>
      </c>
      <c r="Q153" s="2">
        <v>1.0</v>
      </c>
      <c r="R153" s="2">
        <v>41.0</v>
      </c>
      <c r="S153" s="3">
        <v>45206.0</v>
      </c>
      <c r="T153" s="2" t="s">
        <v>896</v>
      </c>
      <c r="U153" s="2">
        <f t="shared" si="1"/>
        <v>6</v>
      </c>
      <c r="V153" s="2">
        <f t="shared" si="2"/>
        <v>4</v>
      </c>
      <c r="W153" s="2">
        <f t="shared" si="3"/>
        <v>389.2</v>
      </c>
      <c r="X153" s="2">
        <f t="shared" si="4"/>
        <v>430.2</v>
      </c>
      <c r="Y153" s="2">
        <f t="shared" si="5"/>
        <v>0</v>
      </c>
      <c r="Z153" s="2">
        <f t="shared" si="6"/>
        <v>389.2</v>
      </c>
      <c r="AA153" s="2">
        <f t="shared" si="7"/>
        <v>430.2</v>
      </c>
      <c r="AB153" s="2" t="str">
        <f t="shared" si="8"/>
        <v>Sunday</v>
      </c>
      <c r="AC153" s="2" t="str">
        <f t="shared" si="9"/>
        <v>Weekend</v>
      </c>
      <c r="AD153" s="2" t="str">
        <f t="shared" si="10"/>
        <v>jodi.whitney</v>
      </c>
      <c r="AE153" s="2" t="str">
        <f t="shared" si="11"/>
        <v>yahoo</v>
      </c>
      <c r="AF153" s="2" t="str">
        <f t="shared" si="12"/>
        <v>Jodi Whitney</v>
      </c>
      <c r="AG153" s="2" t="str">
        <f t="shared" si="13"/>
        <v>Jodi</v>
      </c>
      <c r="AH153" s="2" t="str">
        <f t="shared" si="14"/>
        <v>Whitney</v>
      </c>
      <c r="AI153" s="2" t="str">
        <f t="shared" si="15"/>
        <v>Late</v>
      </c>
      <c r="AJ153" s="2" t="str">
        <f t="shared" si="16"/>
        <v>#NAME?</v>
      </c>
    </row>
    <row r="154" ht="14.25" customHeight="1">
      <c r="A154" s="2" t="s">
        <v>468</v>
      </c>
      <c r="B154" s="2" t="s">
        <v>101</v>
      </c>
      <c r="C154" s="2" t="s">
        <v>469</v>
      </c>
      <c r="D154" s="2">
        <v>33.0</v>
      </c>
      <c r="E154" s="2" t="s">
        <v>22</v>
      </c>
      <c r="F154" s="2" t="s">
        <v>161</v>
      </c>
      <c r="G154" s="2" t="s">
        <v>470</v>
      </c>
      <c r="H154" s="2" t="s">
        <v>2137</v>
      </c>
      <c r="I154" s="2" t="s">
        <v>471</v>
      </c>
      <c r="J154" s="2" t="s">
        <v>897</v>
      </c>
      <c r="K154" s="3">
        <v>45330.0</v>
      </c>
      <c r="L154" s="2" t="s">
        <v>898</v>
      </c>
      <c r="M154" s="2" t="s">
        <v>349</v>
      </c>
      <c r="N154" s="2">
        <v>496.59</v>
      </c>
      <c r="O154" s="2">
        <v>2.0</v>
      </c>
      <c r="P154" s="2" t="s">
        <v>89</v>
      </c>
      <c r="Q154" s="2">
        <v>5.0</v>
      </c>
      <c r="R154" s="2">
        <v>40.0</v>
      </c>
      <c r="S154" s="3">
        <v>45331.0</v>
      </c>
      <c r="T154" s="2" t="s">
        <v>899</v>
      </c>
      <c r="U154" s="2">
        <f t="shared" si="1"/>
        <v>1</v>
      </c>
      <c r="V154" s="2">
        <f t="shared" si="2"/>
        <v>15</v>
      </c>
      <c r="W154" s="2">
        <f t="shared" si="3"/>
        <v>993.18</v>
      </c>
      <c r="X154" s="2">
        <f t="shared" si="4"/>
        <v>1033.18</v>
      </c>
      <c r="Y154" s="2">
        <f t="shared" si="5"/>
        <v>0</v>
      </c>
      <c r="Z154" s="2">
        <f t="shared" si="6"/>
        <v>993.18</v>
      </c>
      <c r="AA154" s="2">
        <f t="shared" si="7"/>
        <v>1033.18</v>
      </c>
      <c r="AB154" s="2" t="str">
        <f t="shared" si="8"/>
        <v>Thursday</v>
      </c>
      <c r="AC154" s="2" t="str">
        <f t="shared" si="9"/>
        <v>Weekday</v>
      </c>
      <c r="AD154" s="2" t="str">
        <f t="shared" si="10"/>
        <v>debra.hayes</v>
      </c>
      <c r="AE154" s="2" t="str">
        <f t="shared" si="11"/>
        <v>yahoo</v>
      </c>
      <c r="AF154" s="2" t="str">
        <f t="shared" si="12"/>
        <v>Debra Hayes</v>
      </c>
      <c r="AG154" s="2" t="str">
        <f t="shared" si="13"/>
        <v>Debra</v>
      </c>
      <c r="AH154" s="2" t="str">
        <f t="shared" si="14"/>
        <v>Hayes</v>
      </c>
      <c r="AI154" s="2" t="str">
        <f t="shared" si="15"/>
        <v>Before Time</v>
      </c>
      <c r="AJ154" s="2" t="str">
        <f t="shared" si="16"/>
        <v>#NAME?</v>
      </c>
    </row>
    <row r="155" ht="14.25" customHeight="1">
      <c r="A155" s="2" t="s">
        <v>273</v>
      </c>
      <c r="B155" s="2" t="s">
        <v>274</v>
      </c>
      <c r="C155" s="2" t="s">
        <v>275</v>
      </c>
      <c r="D155" s="2">
        <v>64.0</v>
      </c>
      <c r="E155" s="2" t="s">
        <v>45</v>
      </c>
      <c r="F155" s="2" t="s">
        <v>23</v>
      </c>
      <c r="G155" s="2" t="s">
        <v>276</v>
      </c>
      <c r="H155" s="2" t="s">
        <v>2117</v>
      </c>
      <c r="I155" s="2" t="s">
        <v>277</v>
      </c>
      <c r="J155" s="2" t="s">
        <v>900</v>
      </c>
      <c r="K155" s="3">
        <v>45129.0</v>
      </c>
      <c r="L155" s="2" t="s">
        <v>901</v>
      </c>
      <c r="M155" s="2" t="s">
        <v>147</v>
      </c>
      <c r="N155" s="2">
        <v>220.27</v>
      </c>
      <c r="O155" s="2">
        <v>3.0</v>
      </c>
      <c r="P155" s="2" t="s">
        <v>29</v>
      </c>
      <c r="Q155" s="2">
        <v>6.0</v>
      </c>
      <c r="R155" s="2">
        <v>48.0</v>
      </c>
      <c r="S155" s="3">
        <v>45132.0</v>
      </c>
      <c r="T155" s="2" t="s">
        <v>902</v>
      </c>
      <c r="U155" s="2">
        <f t="shared" si="1"/>
        <v>3</v>
      </c>
      <c r="V155" s="2">
        <f t="shared" si="2"/>
        <v>18</v>
      </c>
      <c r="W155" s="2">
        <f t="shared" si="3"/>
        <v>660.81</v>
      </c>
      <c r="X155" s="2">
        <f t="shared" si="4"/>
        <v>708.81</v>
      </c>
      <c r="Y155" s="2">
        <f t="shared" si="5"/>
        <v>0</v>
      </c>
      <c r="Z155" s="2">
        <f t="shared" si="6"/>
        <v>660.81</v>
      </c>
      <c r="AA155" s="2">
        <f t="shared" si="7"/>
        <v>708.81</v>
      </c>
      <c r="AB155" s="2" t="str">
        <f t="shared" si="8"/>
        <v>Saturday</v>
      </c>
      <c r="AC155" s="2" t="str">
        <f t="shared" si="9"/>
        <v>Weekend</v>
      </c>
      <c r="AD155" s="2" t="str">
        <f t="shared" si="10"/>
        <v>teresa.harvey</v>
      </c>
      <c r="AE155" s="2" t="str">
        <f t="shared" si="11"/>
        <v>gmail</v>
      </c>
      <c r="AF155" s="2" t="str">
        <f t="shared" si="12"/>
        <v>Teresa Harvey</v>
      </c>
      <c r="AG155" s="2" t="str">
        <f t="shared" si="13"/>
        <v>Teresa</v>
      </c>
      <c r="AH155" s="2" t="str">
        <f t="shared" si="14"/>
        <v>Harvey</v>
      </c>
      <c r="AI155" s="2" t="str">
        <f t="shared" si="15"/>
        <v>Before Time</v>
      </c>
      <c r="AJ155" s="2" t="str">
        <f t="shared" si="16"/>
        <v>#NAME?</v>
      </c>
    </row>
    <row r="156" ht="14.25" customHeight="1">
      <c r="A156" s="2" t="s">
        <v>265</v>
      </c>
      <c r="B156" s="2" t="s">
        <v>266</v>
      </c>
      <c r="C156" s="2" t="s">
        <v>267</v>
      </c>
      <c r="D156" s="2">
        <v>44.0</v>
      </c>
      <c r="E156" s="2" t="s">
        <v>22</v>
      </c>
      <c r="F156" s="2" t="s">
        <v>213</v>
      </c>
      <c r="G156" s="2" t="s">
        <v>268</v>
      </c>
      <c r="H156" s="2" t="s">
        <v>2116</v>
      </c>
      <c r="I156" s="2" t="s">
        <v>269</v>
      </c>
      <c r="J156" s="2" t="s">
        <v>903</v>
      </c>
      <c r="K156" s="3">
        <v>45584.0</v>
      </c>
      <c r="L156" s="2" t="s">
        <v>904</v>
      </c>
      <c r="M156" s="2" t="s">
        <v>301</v>
      </c>
      <c r="N156" s="2">
        <v>129.75</v>
      </c>
      <c r="O156" s="2">
        <v>1.0</v>
      </c>
      <c r="P156" s="2" t="s">
        <v>56</v>
      </c>
      <c r="Q156" s="2">
        <v>7.0</v>
      </c>
      <c r="R156" s="2">
        <v>44.0</v>
      </c>
      <c r="S156" s="3">
        <v>45591.0</v>
      </c>
      <c r="T156" s="2" t="s">
        <v>905</v>
      </c>
      <c r="U156" s="2">
        <f t="shared" si="1"/>
        <v>7</v>
      </c>
      <c r="V156" s="2">
        <f t="shared" si="2"/>
        <v>20</v>
      </c>
      <c r="W156" s="2">
        <f t="shared" si="3"/>
        <v>129.75</v>
      </c>
      <c r="X156" s="2">
        <f t="shared" si="4"/>
        <v>173.75</v>
      </c>
      <c r="Y156" s="2">
        <f t="shared" si="5"/>
        <v>0</v>
      </c>
      <c r="Z156" s="2">
        <f t="shared" si="6"/>
        <v>129.75</v>
      </c>
      <c r="AA156" s="2">
        <f t="shared" si="7"/>
        <v>129.75</v>
      </c>
      <c r="AB156" s="2" t="str">
        <f t="shared" si="8"/>
        <v>Saturday</v>
      </c>
      <c r="AC156" s="2" t="str">
        <f t="shared" si="9"/>
        <v>Weekend</v>
      </c>
      <c r="AD156" s="2" t="str">
        <f t="shared" si="10"/>
        <v>lauren.long</v>
      </c>
      <c r="AE156" s="2" t="str">
        <f t="shared" si="11"/>
        <v>gmail</v>
      </c>
      <c r="AF156" s="2" t="str">
        <f t="shared" si="12"/>
        <v>Lauren Long</v>
      </c>
      <c r="AG156" s="2" t="str">
        <f t="shared" si="13"/>
        <v>Lauren</v>
      </c>
      <c r="AH156" s="2" t="str">
        <f t="shared" si="14"/>
        <v>Long</v>
      </c>
      <c r="AI156" s="2" t="str">
        <f t="shared" si="15"/>
        <v>InTime</v>
      </c>
      <c r="AJ156" s="2" t="str">
        <f t="shared" si="16"/>
        <v>#NAME?</v>
      </c>
    </row>
    <row r="157" ht="14.25" customHeight="1">
      <c r="A157" s="2" t="s">
        <v>743</v>
      </c>
      <c r="B157" s="2" t="s">
        <v>744</v>
      </c>
      <c r="C157" s="2" t="s">
        <v>745</v>
      </c>
      <c r="D157" s="2">
        <v>43.0</v>
      </c>
      <c r="E157" s="2" t="s">
        <v>45</v>
      </c>
      <c r="F157" s="2" t="s">
        <v>152</v>
      </c>
      <c r="G157" s="2" t="s">
        <v>746</v>
      </c>
      <c r="H157" s="2" t="s">
        <v>2160</v>
      </c>
      <c r="I157" s="2" t="s">
        <v>747</v>
      </c>
      <c r="J157" s="2" t="s">
        <v>906</v>
      </c>
      <c r="K157" s="3">
        <v>45291.0</v>
      </c>
      <c r="L157" s="2" t="s">
        <v>907</v>
      </c>
      <c r="M157" s="2" t="s">
        <v>507</v>
      </c>
      <c r="N157" s="2">
        <v>136.3</v>
      </c>
      <c r="O157" s="2">
        <v>1.0</v>
      </c>
      <c r="P157" s="2" t="s">
        <v>51</v>
      </c>
      <c r="Q157" s="2">
        <v>1.0</v>
      </c>
      <c r="R157" s="2">
        <v>64.0</v>
      </c>
      <c r="S157" s="3">
        <v>45296.0</v>
      </c>
      <c r="T157" s="2" t="s">
        <v>908</v>
      </c>
      <c r="U157" s="2">
        <f t="shared" si="1"/>
        <v>5</v>
      </c>
      <c r="V157" s="2">
        <f t="shared" si="2"/>
        <v>10</v>
      </c>
      <c r="W157" s="2">
        <f t="shared" si="3"/>
        <v>136.3</v>
      </c>
      <c r="X157" s="2">
        <f t="shared" si="4"/>
        <v>200.3</v>
      </c>
      <c r="Y157" s="2">
        <f t="shared" si="5"/>
        <v>0</v>
      </c>
      <c r="Z157" s="2">
        <f t="shared" si="6"/>
        <v>136.3</v>
      </c>
      <c r="AA157" s="2">
        <f t="shared" si="7"/>
        <v>200.3</v>
      </c>
      <c r="AB157" s="2" t="str">
        <f t="shared" si="8"/>
        <v>Sunday</v>
      </c>
      <c r="AC157" s="2" t="str">
        <f t="shared" si="9"/>
        <v>Weekend</v>
      </c>
      <c r="AD157" s="2" t="str">
        <f t="shared" si="10"/>
        <v>barbara.fuller</v>
      </c>
      <c r="AE157" s="2" t="str">
        <f t="shared" si="11"/>
        <v>rediffmail</v>
      </c>
      <c r="AF157" s="2" t="str">
        <f t="shared" si="12"/>
        <v>Barbara Fuller</v>
      </c>
      <c r="AG157" s="2" t="str">
        <f t="shared" si="13"/>
        <v>Barbara</v>
      </c>
      <c r="AH157" s="2" t="str">
        <f t="shared" si="14"/>
        <v>Fuller</v>
      </c>
      <c r="AI157" s="2" t="str">
        <f t="shared" si="15"/>
        <v>Late</v>
      </c>
      <c r="AJ157" s="2" t="str">
        <f t="shared" si="16"/>
        <v>#NAME?</v>
      </c>
    </row>
    <row r="158" ht="14.25" customHeight="1">
      <c r="A158" s="2" t="s">
        <v>428</v>
      </c>
      <c r="B158" s="2" t="s">
        <v>429</v>
      </c>
      <c r="C158" s="2" t="s">
        <v>430</v>
      </c>
      <c r="D158" s="2">
        <v>28.0</v>
      </c>
      <c r="E158" s="2" t="s">
        <v>45</v>
      </c>
      <c r="F158" s="2" t="s">
        <v>69</v>
      </c>
      <c r="G158" s="2" t="s">
        <v>431</v>
      </c>
      <c r="H158" s="2" t="s">
        <v>2132</v>
      </c>
      <c r="I158" s="2" t="s">
        <v>432</v>
      </c>
      <c r="J158" s="2" t="s">
        <v>909</v>
      </c>
      <c r="K158" s="3">
        <v>45482.0</v>
      </c>
      <c r="L158" s="2" t="s">
        <v>910</v>
      </c>
      <c r="M158" s="2" t="s">
        <v>466</v>
      </c>
      <c r="N158" s="2">
        <v>286.07</v>
      </c>
      <c r="O158" s="2">
        <v>2.0</v>
      </c>
      <c r="P158" s="2" t="s">
        <v>29</v>
      </c>
      <c r="Q158" s="2">
        <v>3.0</v>
      </c>
      <c r="R158" s="2">
        <v>54.0</v>
      </c>
      <c r="S158" s="3">
        <v>45485.0</v>
      </c>
      <c r="T158" s="2" t="s">
        <v>911</v>
      </c>
      <c r="U158" s="2">
        <f t="shared" si="1"/>
        <v>3</v>
      </c>
      <c r="V158" s="2">
        <f t="shared" si="2"/>
        <v>21</v>
      </c>
      <c r="W158" s="2">
        <f t="shared" si="3"/>
        <v>572.14</v>
      </c>
      <c r="X158" s="2">
        <f t="shared" si="4"/>
        <v>626.14</v>
      </c>
      <c r="Y158" s="2">
        <f t="shared" si="5"/>
        <v>0</v>
      </c>
      <c r="Z158" s="2">
        <f t="shared" si="6"/>
        <v>572.14</v>
      </c>
      <c r="AA158" s="2">
        <f t="shared" si="7"/>
        <v>626.14</v>
      </c>
      <c r="AB158" s="2" t="str">
        <f t="shared" si="8"/>
        <v>Tuesday</v>
      </c>
      <c r="AC158" s="2" t="str">
        <f t="shared" si="9"/>
        <v>Weekday</v>
      </c>
      <c r="AD158" s="2" t="str">
        <f t="shared" si="10"/>
        <v>mary.knight</v>
      </c>
      <c r="AE158" s="2" t="str">
        <f t="shared" si="11"/>
        <v>yahoo</v>
      </c>
      <c r="AF158" s="2" t="str">
        <f t="shared" si="12"/>
        <v>Mary Knight</v>
      </c>
      <c r="AG158" s="2" t="str">
        <f t="shared" si="13"/>
        <v>Mary</v>
      </c>
      <c r="AH158" s="2" t="str">
        <f t="shared" si="14"/>
        <v>Knight</v>
      </c>
      <c r="AI158" s="2" t="str">
        <f t="shared" si="15"/>
        <v>InTime</v>
      </c>
      <c r="AJ158" s="2" t="str">
        <f t="shared" si="16"/>
        <v>#NAME?</v>
      </c>
    </row>
    <row r="159" ht="14.25" customHeight="1">
      <c r="A159" s="2" t="s">
        <v>500</v>
      </c>
      <c r="B159" s="2" t="s">
        <v>501</v>
      </c>
      <c r="C159" s="2" t="s">
        <v>502</v>
      </c>
      <c r="D159" s="2">
        <v>64.0</v>
      </c>
      <c r="E159" s="2" t="s">
        <v>22</v>
      </c>
      <c r="F159" s="2" t="s">
        <v>23</v>
      </c>
      <c r="G159" s="2" t="s">
        <v>503</v>
      </c>
      <c r="H159" s="2" t="s">
        <v>2141</v>
      </c>
      <c r="I159" s="2" t="s">
        <v>504</v>
      </c>
      <c r="J159" s="2" t="s">
        <v>912</v>
      </c>
      <c r="K159" s="3">
        <v>45089.0</v>
      </c>
      <c r="L159" s="2" t="s">
        <v>913</v>
      </c>
      <c r="M159" s="2" t="s">
        <v>88</v>
      </c>
      <c r="N159" s="2">
        <v>363.64</v>
      </c>
      <c r="O159" s="2">
        <v>2.0</v>
      </c>
      <c r="P159" s="2" t="s">
        <v>56</v>
      </c>
      <c r="Q159" s="2">
        <v>4.0</v>
      </c>
      <c r="R159" s="2">
        <v>40.0</v>
      </c>
      <c r="S159" s="3">
        <v>45091.0</v>
      </c>
      <c r="T159" s="2" t="s">
        <v>914</v>
      </c>
      <c r="U159" s="2">
        <f t="shared" si="1"/>
        <v>2</v>
      </c>
      <c r="V159" s="2">
        <f t="shared" si="2"/>
        <v>16</v>
      </c>
      <c r="W159" s="2">
        <f t="shared" si="3"/>
        <v>727.28</v>
      </c>
      <c r="X159" s="2">
        <f t="shared" si="4"/>
        <v>767.28</v>
      </c>
      <c r="Y159" s="2">
        <f t="shared" si="5"/>
        <v>0</v>
      </c>
      <c r="Z159" s="2">
        <f t="shared" si="6"/>
        <v>727.28</v>
      </c>
      <c r="AA159" s="2">
        <f t="shared" si="7"/>
        <v>727.28</v>
      </c>
      <c r="AB159" s="2" t="str">
        <f t="shared" si="8"/>
        <v>Monday</v>
      </c>
      <c r="AC159" s="2" t="str">
        <f t="shared" si="9"/>
        <v>Weekday</v>
      </c>
      <c r="AD159" s="2" t="str">
        <f t="shared" si="10"/>
        <v>sarah.butler</v>
      </c>
      <c r="AE159" s="2" t="str">
        <f t="shared" si="11"/>
        <v>rediffmail</v>
      </c>
      <c r="AF159" s="2" t="str">
        <f t="shared" si="12"/>
        <v>Sarah Butler</v>
      </c>
      <c r="AG159" s="2" t="str">
        <f t="shared" si="13"/>
        <v>Sarah</v>
      </c>
      <c r="AH159" s="2" t="str">
        <f t="shared" si="14"/>
        <v>Butler</v>
      </c>
      <c r="AI159" s="2" t="str">
        <f t="shared" si="15"/>
        <v>Before Time</v>
      </c>
      <c r="AJ159" s="2" t="str">
        <f t="shared" si="16"/>
        <v>#NAME?</v>
      </c>
    </row>
    <row r="160" ht="14.25" customHeight="1">
      <c r="A160" s="2" t="s">
        <v>428</v>
      </c>
      <c r="B160" s="2" t="s">
        <v>429</v>
      </c>
      <c r="C160" s="2" t="s">
        <v>430</v>
      </c>
      <c r="D160" s="2">
        <v>28.0</v>
      </c>
      <c r="E160" s="2" t="s">
        <v>45</v>
      </c>
      <c r="F160" s="2" t="s">
        <v>69</v>
      </c>
      <c r="G160" s="2" t="s">
        <v>431</v>
      </c>
      <c r="H160" s="2" t="s">
        <v>2132</v>
      </c>
      <c r="I160" s="2" t="s">
        <v>432</v>
      </c>
      <c r="J160" s="2" t="s">
        <v>915</v>
      </c>
      <c r="K160" s="3">
        <v>45610.0</v>
      </c>
      <c r="L160" s="2" t="s">
        <v>916</v>
      </c>
      <c r="M160" s="2" t="s">
        <v>630</v>
      </c>
      <c r="N160" s="2">
        <v>445.81</v>
      </c>
      <c r="O160" s="2">
        <v>5.0</v>
      </c>
      <c r="P160" s="2" t="s">
        <v>29</v>
      </c>
      <c r="Q160" s="2">
        <v>6.0</v>
      </c>
      <c r="R160" s="2">
        <v>70.0</v>
      </c>
      <c r="S160" s="3">
        <v>45613.0</v>
      </c>
      <c r="T160" s="2" t="s">
        <v>917</v>
      </c>
      <c r="U160" s="2">
        <f t="shared" si="1"/>
        <v>3</v>
      </c>
      <c r="V160" s="2">
        <f t="shared" si="2"/>
        <v>10</v>
      </c>
      <c r="W160" s="2">
        <f t="shared" si="3"/>
        <v>2229.05</v>
      </c>
      <c r="X160" s="2">
        <f t="shared" si="4"/>
        <v>2299.05</v>
      </c>
      <c r="Y160" s="2">
        <f t="shared" si="5"/>
        <v>0</v>
      </c>
      <c r="Z160" s="2">
        <f t="shared" si="6"/>
        <v>2229.05</v>
      </c>
      <c r="AA160" s="2">
        <f t="shared" si="7"/>
        <v>2299.05</v>
      </c>
      <c r="AB160" s="2" t="str">
        <f t="shared" si="8"/>
        <v>Thursday</v>
      </c>
      <c r="AC160" s="2" t="str">
        <f t="shared" si="9"/>
        <v>Weekday</v>
      </c>
      <c r="AD160" s="2" t="str">
        <f t="shared" si="10"/>
        <v>mary.knight</v>
      </c>
      <c r="AE160" s="2" t="str">
        <f t="shared" si="11"/>
        <v>yahoo</v>
      </c>
      <c r="AF160" s="2" t="str">
        <f t="shared" si="12"/>
        <v>Mary Knight</v>
      </c>
      <c r="AG160" s="2" t="str">
        <f t="shared" si="13"/>
        <v>Mary</v>
      </c>
      <c r="AH160" s="2" t="str">
        <f t="shared" si="14"/>
        <v>Knight</v>
      </c>
      <c r="AI160" s="2" t="str">
        <f t="shared" si="15"/>
        <v>Before Time</v>
      </c>
      <c r="AJ160" s="2" t="str">
        <f t="shared" si="16"/>
        <v>#NAME?</v>
      </c>
    </row>
    <row r="161" ht="14.25" customHeight="1">
      <c r="A161" s="2" t="s">
        <v>918</v>
      </c>
      <c r="B161" s="2" t="s">
        <v>919</v>
      </c>
      <c r="C161" s="2" t="s">
        <v>920</v>
      </c>
      <c r="D161" s="2">
        <v>24.0</v>
      </c>
      <c r="E161" s="2" t="s">
        <v>45</v>
      </c>
      <c r="F161" s="2" t="s">
        <v>213</v>
      </c>
      <c r="G161" s="2" t="s">
        <v>921</v>
      </c>
      <c r="H161" s="2" t="s">
        <v>2169</v>
      </c>
      <c r="I161" s="2" t="s">
        <v>922</v>
      </c>
      <c r="J161" s="2" t="s">
        <v>923</v>
      </c>
      <c r="K161" s="3">
        <v>45045.0</v>
      </c>
      <c r="L161" s="2" t="s">
        <v>924</v>
      </c>
      <c r="M161" s="2" t="s">
        <v>731</v>
      </c>
      <c r="N161" s="2">
        <v>110.95</v>
      </c>
      <c r="O161" s="2">
        <v>5.0</v>
      </c>
      <c r="P161" s="2" t="s">
        <v>78</v>
      </c>
      <c r="Q161" s="2">
        <v>5.0</v>
      </c>
      <c r="R161" s="2">
        <v>62.0</v>
      </c>
      <c r="S161" s="3">
        <v>45047.0</v>
      </c>
      <c r="T161" s="2" t="s">
        <v>925</v>
      </c>
      <c r="U161" s="2">
        <f t="shared" si="1"/>
        <v>2</v>
      </c>
      <c r="V161" s="2">
        <f t="shared" si="2"/>
        <v>2</v>
      </c>
      <c r="W161" s="2">
        <f t="shared" si="3"/>
        <v>554.75</v>
      </c>
      <c r="X161" s="2">
        <f t="shared" si="4"/>
        <v>616.75</v>
      </c>
      <c r="Y161" s="2">
        <f t="shared" si="5"/>
        <v>0</v>
      </c>
      <c r="Z161" s="2">
        <f t="shared" si="6"/>
        <v>554.75</v>
      </c>
      <c r="AA161" s="2">
        <f t="shared" si="7"/>
        <v>616.75</v>
      </c>
      <c r="AB161" s="2" t="str">
        <f t="shared" si="8"/>
        <v>Saturday</v>
      </c>
      <c r="AC161" s="2" t="str">
        <f t="shared" si="9"/>
        <v>Weekend</v>
      </c>
      <c r="AD161" s="2" t="str">
        <f t="shared" si="10"/>
        <v>rachael.robinson</v>
      </c>
      <c r="AE161" s="2" t="str">
        <f t="shared" si="11"/>
        <v>rediffmail</v>
      </c>
      <c r="AF161" s="2" t="str">
        <f t="shared" si="12"/>
        <v>Rachael Robinson</v>
      </c>
      <c r="AG161" s="2" t="str">
        <f t="shared" si="13"/>
        <v>Rachael</v>
      </c>
      <c r="AH161" s="2" t="str">
        <f t="shared" si="14"/>
        <v>Robinson</v>
      </c>
      <c r="AI161" s="2" t="str">
        <f t="shared" si="15"/>
        <v>Before Time</v>
      </c>
      <c r="AJ161" s="2" t="str">
        <f t="shared" si="16"/>
        <v>#NAME?</v>
      </c>
    </row>
    <row r="162" ht="14.25" customHeight="1">
      <c r="A162" s="2" t="s">
        <v>476</v>
      </c>
      <c r="B162" s="2" t="s">
        <v>477</v>
      </c>
      <c r="C162" s="2" t="s">
        <v>123</v>
      </c>
      <c r="D162" s="2">
        <v>68.0</v>
      </c>
      <c r="E162" s="2" t="s">
        <v>45</v>
      </c>
      <c r="F162" s="2" t="s">
        <v>213</v>
      </c>
      <c r="G162" s="2" t="s">
        <v>478</v>
      </c>
      <c r="H162" s="2" t="s">
        <v>2138</v>
      </c>
      <c r="I162" s="2" t="s">
        <v>479</v>
      </c>
      <c r="J162" s="2" t="s">
        <v>926</v>
      </c>
      <c r="K162" s="3">
        <v>45529.0</v>
      </c>
      <c r="L162" s="2" t="s">
        <v>927</v>
      </c>
      <c r="M162" s="2" t="s">
        <v>175</v>
      </c>
      <c r="N162" s="2">
        <v>104.18</v>
      </c>
      <c r="O162" s="2">
        <v>4.0</v>
      </c>
      <c r="P162" s="2" t="s">
        <v>29</v>
      </c>
      <c r="Q162" s="2">
        <v>4.0</v>
      </c>
      <c r="R162" s="2">
        <v>45.0</v>
      </c>
      <c r="S162" s="3">
        <v>45536.0</v>
      </c>
      <c r="T162" s="2" t="s">
        <v>928</v>
      </c>
      <c r="U162" s="2">
        <f t="shared" si="1"/>
        <v>7</v>
      </c>
      <c r="V162" s="2">
        <f t="shared" si="2"/>
        <v>21</v>
      </c>
      <c r="W162" s="2">
        <f t="shared" si="3"/>
        <v>416.72</v>
      </c>
      <c r="X162" s="2">
        <f t="shared" si="4"/>
        <v>461.72</v>
      </c>
      <c r="Y162" s="2">
        <f t="shared" si="5"/>
        <v>0</v>
      </c>
      <c r="Z162" s="2">
        <f t="shared" si="6"/>
        <v>416.72</v>
      </c>
      <c r="AA162" s="2">
        <f t="shared" si="7"/>
        <v>461.72</v>
      </c>
      <c r="AB162" s="2" t="str">
        <f t="shared" si="8"/>
        <v>Sunday</v>
      </c>
      <c r="AC162" s="2" t="str">
        <f t="shared" si="9"/>
        <v>Weekend</v>
      </c>
      <c r="AD162" s="2" t="str">
        <f t="shared" si="10"/>
        <v>brittany.stewart</v>
      </c>
      <c r="AE162" s="2" t="str">
        <f t="shared" si="11"/>
        <v>gmail</v>
      </c>
      <c r="AF162" s="2" t="str">
        <f t="shared" si="12"/>
        <v>Brittany Stewart</v>
      </c>
      <c r="AG162" s="2" t="str">
        <f t="shared" si="13"/>
        <v>Brittany</v>
      </c>
      <c r="AH162" s="2" t="str">
        <f t="shared" si="14"/>
        <v>Stewart</v>
      </c>
      <c r="AI162" s="2" t="str">
        <f t="shared" si="15"/>
        <v>Late</v>
      </c>
      <c r="AJ162" s="2" t="str">
        <f t="shared" si="16"/>
        <v>#NAME?</v>
      </c>
    </row>
    <row r="163" ht="14.25" customHeight="1">
      <c r="A163" s="2" t="s">
        <v>459</v>
      </c>
      <c r="B163" s="2" t="s">
        <v>460</v>
      </c>
      <c r="C163" s="2" t="s">
        <v>461</v>
      </c>
      <c r="D163" s="2">
        <v>18.0</v>
      </c>
      <c r="E163" s="2" t="s">
        <v>34</v>
      </c>
      <c r="F163" s="2" t="s">
        <v>35</v>
      </c>
      <c r="G163" s="2" t="s">
        <v>462</v>
      </c>
      <c r="H163" s="2" t="s">
        <v>2136</v>
      </c>
      <c r="I163" s="2" t="s">
        <v>463</v>
      </c>
      <c r="J163" s="2" t="s">
        <v>929</v>
      </c>
      <c r="K163" s="3">
        <v>45535.0</v>
      </c>
      <c r="L163" s="2" t="s">
        <v>930</v>
      </c>
      <c r="M163" s="2" t="s">
        <v>349</v>
      </c>
      <c r="N163" s="2">
        <v>496.59</v>
      </c>
      <c r="O163" s="2">
        <v>4.0</v>
      </c>
      <c r="P163" s="2" t="s">
        <v>78</v>
      </c>
      <c r="Q163" s="2">
        <v>1.0</v>
      </c>
      <c r="R163" s="2">
        <v>59.0</v>
      </c>
      <c r="S163" s="3">
        <v>45541.0</v>
      </c>
      <c r="T163" s="2" t="s">
        <v>931</v>
      </c>
      <c r="U163" s="2">
        <f t="shared" si="1"/>
        <v>6</v>
      </c>
      <c r="V163" s="2">
        <f t="shared" si="2"/>
        <v>8</v>
      </c>
      <c r="W163" s="2">
        <f t="shared" si="3"/>
        <v>1986.36</v>
      </c>
      <c r="X163" s="2">
        <f t="shared" si="4"/>
        <v>2045.36</v>
      </c>
      <c r="Y163" s="2">
        <f t="shared" si="5"/>
        <v>0</v>
      </c>
      <c r="Z163" s="2">
        <f t="shared" si="6"/>
        <v>1986.36</v>
      </c>
      <c r="AA163" s="2">
        <f t="shared" si="7"/>
        <v>2045.36</v>
      </c>
      <c r="AB163" s="2" t="str">
        <f t="shared" si="8"/>
        <v>Saturday</v>
      </c>
      <c r="AC163" s="2" t="str">
        <f t="shared" si="9"/>
        <v>Weekend</v>
      </c>
      <c r="AD163" s="2" t="str">
        <f t="shared" si="10"/>
        <v>lori.cook</v>
      </c>
      <c r="AE163" s="2" t="str">
        <f t="shared" si="11"/>
        <v>rediffmail</v>
      </c>
      <c r="AF163" s="2" t="str">
        <f t="shared" si="12"/>
        <v>Lori Cook</v>
      </c>
      <c r="AG163" s="2" t="str">
        <f t="shared" si="13"/>
        <v>Lori</v>
      </c>
      <c r="AH163" s="2" t="str">
        <f t="shared" si="14"/>
        <v>Cook</v>
      </c>
      <c r="AI163" s="2" t="str">
        <f t="shared" si="15"/>
        <v>Late</v>
      </c>
      <c r="AJ163" s="2" t="str">
        <f t="shared" si="16"/>
        <v>#NAME?</v>
      </c>
    </row>
    <row r="164" ht="14.25" customHeight="1">
      <c r="A164" s="2" t="s">
        <v>112</v>
      </c>
      <c r="B164" s="2" t="s">
        <v>113</v>
      </c>
      <c r="C164" s="2" t="s">
        <v>114</v>
      </c>
      <c r="D164" s="2">
        <v>20.0</v>
      </c>
      <c r="E164" s="2" t="s">
        <v>22</v>
      </c>
      <c r="F164" s="2" t="s">
        <v>83</v>
      </c>
      <c r="G164" s="2" t="s">
        <v>115</v>
      </c>
      <c r="H164" s="2" t="s">
        <v>2100</v>
      </c>
      <c r="I164" s="2" t="s">
        <v>116</v>
      </c>
      <c r="J164" s="2" t="s">
        <v>932</v>
      </c>
      <c r="K164" s="3">
        <v>44981.0</v>
      </c>
      <c r="L164" s="2" t="s">
        <v>933</v>
      </c>
      <c r="M164" s="2" t="s">
        <v>934</v>
      </c>
      <c r="N164" s="2">
        <v>107.47</v>
      </c>
      <c r="O164" s="2">
        <v>5.0</v>
      </c>
      <c r="P164" s="2" t="s">
        <v>78</v>
      </c>
      <c r="Q164" s="2">
        <v>6.0</v>
      </c>
      <c r="R164" s="2">
        <v>48.0</v>
      </c>
      <c r="S164" s="3">
        <v>44987.0</v>
      </c>
      <c r="T164" s="2" t="s">
        <v>935</v>
      </c>
      <c r="U164" s="2">
        <f t="shared" si="1"/>
        <v>6</v>
      </c>
      <c r="V164" s="2">
        <f t="shared" si="2"/>
        <v>20</v>
      </c>
      <c r="W164" s="2">
        <f t="shared" si="3"/>
        <v>537.35</v>
      </c>
      <c r="X164" s="2">
        <f t="shared" si="4"/>
        <v>585.35</v>
      </c>
      <c r="Y164" s="2">
        <f t="shared" si="5"/>
        <v>0</v>
      </c>
      <c r="Z164" s="2">
        <f t="shared" si="6"/>
        <v>537.35</v>
      </c>
      <c r="AA164" s="2">
        <f t="shared" si="7"/>
        <v>585.35</v>
      </c>
      <c r="AB164" s="2" t="str">
        <f t="shared" si="8"/>
        <v>Friday</v>
      </c>
      <c r="AC164" s="2" t="str">
        <f t="shared" si="9"/>
        <v>Weekday</v>
      </c>
      <c r="AD164" s="2" t="str">
        <f t="shared" si="10"/>
        <v>bobby.forbes</v>
      </c>
      <c r="AE164" s="2" t="str">
        <f t="shared" si="11"/>
        <v>gmail</v>
      </c>
      <c r="AF164" s="2" t="str">
        <f t="shared" si="12"/>
        <v>Bobby Forbes</v>
      </c>
      <c r="AG164" s="2" t="str">
        <f t="shared" si="13"/>
        <v>Bobby</v>
      </c>
      <c r="AH164" s="2" t="str">
        <f t="shared" si="14"/>
        <v>Forbes</v>
      </c>
      <c r="AI164" s="2" t="str">
        <f t="shared" si="15"/>
        <v>InTime</v>
      </c>
      <c r="AJ164" s="2" t="str">
        <f t="shared" si="16"/>
        <v>#NAME?</v>
      </c>
    </row>
    <row r="165" ht="14.25" customHeight="1">
      <c r="A165" s="2" t="s">
        <v>918</v>
      </c>
      <c r="B165" s="2" t="s">
        <v>919</v>
      </c>
      <c r="C165" s="2" t="s">
        <v>920</v>
      </c>
      <c r="D165" s="2">
        <v>24.0</v>
      </c>
      <c r="E165" s="2" t="s">
        <v>45</v>
      </c>
      <c r="F165" s="2" t="s">
        <v>213</v>
      </c>
      <c r="G165" s="2" t="s">
        <v>921</v>
      </c>
      <c r="H165" s="2" t="s">
        <v>2169</v>
      </c>
      <c r="I165" s="2" t="s">
        <v>922</v>
      </c>
      <c r="J165" s="2" t="s">
        <v>936</v>
      </c>
      <c r="K165" s="3">
        <v>45207.0</v>
      </c>
      <c r="L165" s="2" t="s">
        <v>937</v>
      </c>
      <c r="M165" s="2" t="s">
        <v>239</v>
      </c>
      <c r="N165" s="2">
        <v>282.63</v>
      </c>
      <c r="O165" s="2">
        <v>1.0</v>
      </c>
      <c r="P165" s="2" t="s">
        <v>56</v>
      </c>
      <c r="Q165" s="2">
        <v>5.0</v>
      </c>
      <c r="R165" s="2">
        <v>45.0</v>
      </c>
      <c r="S165" s="3">
        <v>45214.0</v>
      </c>
      <c r="T165" s="2" t="s">
        <v>938</v>
      </c>
      <c r="U165" s="2">
        <f t="shared" si="1"/>
        <v>7</v>
      </c>
      <c r="V165" s="2">
        <f t="shared" si="2"/>
        <v>18</v>
      </c>
      <c r="W165" s="2">
        <f t="shared" si="3"/>
        <v>282.63</v>
      </c>
      <c r="X165" s="2">
        <f t="shared" si="4"/>
        <v>327.63</v>
      </c>
      <c r="Y165" s="2">
        <f t="shared" si="5"/>
        <v>0</v>
      </c>
      <c r="Z165" s="2">
        <f t="shared" si="6"/>
        <v>282.63</v>
      </c>
      <c r="AA165" s="2">
        <f t="shared" si="7"/>
        <v>282.63</v>
      </c>
      <c r="AB165" s="2" t="str">
        <f t="shared" si="8"/>
        <v>Sunday</v>
      </c>
      <c r="AC165" s="2" t="str">
        <f t="shared" si="9"/>
        <v>Weekend</v>
      </c>
      <c r="AD165" s="2" t="str">
        <f t="shared" si="10"/>
        <v>rachael.robinson</v>
      </c>
      <c r="AE165" s="2" t="str">
        <f t="shared" si="11"/>
        <v>rediffmail</v>
      </c>
      <c r="AF165" s="2" t="str">
        <f t="shared" si="12"/>
        <v>Rachael Robinson</v>
      </c>
      <c r="AG165" s="2" t="str">
        <f t="shared" si="13"/>
        <v>Rachael</v>
      </c>
      <c r="AH165" s="2" t="str">
        <f t="shared" si="14"/>
        <v>Robinson</v>
      </c>
      <c r="AI165" s="2" t="str">
        <f t="shared" si="15"/>
        <v>Late</v>
      </c>
      <c r="AJ165" s="2" t="str">
        <f t="shared" si="16"/>
        <v>#NAME?</v>
      </c>
    </row>
    <row r="166" ht="14.25" customHeight="1">
      <c r="A166" s="2" t="s">
        <v>121</v>
      </c>
      <c r="B166" s="2" t="s">
        <v>122</v>
      </c>
      <c r="C166" s="2" t="s">
        <v>123</v>
      </c>
      <c r="D166" s="2">
        <v>30.0</v>
      </c>
      <c r="E166" s="2" t="s">
        <v>34</v>
      </c>
      <c r="F166" s="2" t="s">
        <v>35</v>
      </c>
      <c r="G166" s="2" t="s">
        <v>124</v>
      </c>
      <c r="H166" s="2" t="s">
        <v>2101</v>
      </c>
      <c r="I166" s="2" t="s">
        <v>125</v>
      </c>
      <c r="J166" s="2" t="s">
        <v>939</v>
      </c>
      <c r="K166" s="3">
        <v>45185.0</v>
      </c>
      <c r="L166" s="2" t="s">
        <v>940</v>
      </c>
      <c r="M166" s="2" t="s">
        <v>423</v>
      </c>
      <c r="N166" s="2">
        <v>369.03</v>
      </c>
      <c r="O166" s="2">
        <v>1.0</v>
      </c>
      <c r="P166" s="2" t="s">
        <v>78</v>
      </c>
      <c r="Q166" s="2">
        <v>1.0</v>
      </c>
      <c r="R166" s="2">
        <v>48.0</v>
      </c>
      <c r="S166" s="3">
        <v>45192.0</v>
      </c>
      <c r="T166" s="2" t="s">
        <v>941</v>
      </c>
      <c r="U166" s="2">
        <f t="shared" si="1"/>
        <v>7</v>
      </c>
      <c r="V166" s="2">
        <f t="shared" si="2"/>
        <v>5</v>
      </c>
      <c r="W166" s="2">
        <f t="shared" si="3"/>
        <v>369.03</v>
      </c>
      <c r="X166" s="2">
        <f t="shared" si="4"/>
        <v>417.03</v>
      </c>
      <c r="Y166" s="2">
        <f t="shared" si="5"/>
        <v>0</v>
      </c>
      <c r="Z166" s="2">
        <f t="shared" si="6"/>
        <v>369.03</v>
      </c>
      <c r="AA166" s="2">
        <f t="shared" si="7"/>
        <v>417.03</v>
      </c>
      <c r="AB166" s="2" t="str">
        <f t="shared" si="8"/>
        <v>Saturday</v>
      </c>
      <c r="AC166" s="2" t="str">
        <f t="shared" si="9"/>
        <v>Weekend</v>
      </c>
      <c r="AD166" s="2" t="str">
        <f t="shared" si="10"/>
        <v>joseph.stewart</v>
      </c>
      <c r="AE166" s="2" t="str">
        <f t="shared" si="11"/>
        <v>yahoo</v>
      </c>
      <c r="AF166" s="2" t="str">
        <f t="shared" si="12"/>
        <v>Joseph Stewart</v>
      </c>
      <c r="AG166" s="2" t="str">
        <f t="shared" si="13"/>
        <v>Joseph</v>
      </c>
      <c r="AH166" s="2" t="str">
        <f t="shared" si="14"/>
        <v>Stewart</v>
      </c>
      <c r="AI166" s="2" t="str">
        <f t="shared" si="15"/>
        <v>Late</v>
      </c>
      <c r="AJ166" s="2" t="str">
        <f t="shared" si="16"/>
        <v>#NAME?</v>
      </c>
    </row>
    <row r="167" ht="14.25" customHeight="1">
      <c r="A167" s="2" t="s">
        <v>140</v>
      </c>
      <c r="B167" s="2" t="s">
        <v>141</v>
      </c>
      <c r="C167" s="2" t="s">
        <v>142</v>
      </c>
      <c r="D167" s="2">
        <v>44.0</v>
      </c>
      <c r="E167" s="2" t="s">
        <v>34</v>
      </c>
      <c r="F167" s="2" t="s">
        <v>83</v>
      </c>
      <c r="G167" s="2" t="s">
        <v>143</v>
      </c>
      <c r="H167" s="2" t="s">
        <v>2103</v>
      </c>
      <c r="I167" s="2" t="s">
        <v>144</v>
      </c>
      <c r="J167" s="2" t="s">
        <v>942</v>
      </c>
      <c r="K167" s="3">
        <v>45513.0</v>
      </c>
      <c r="L167" s="2" t="s">
        <v>943</v>
      </c>
      <c r="M167" s="2" t="s">
        <v>175</v>
      </c>
      <c r="N167" s="2">
        <v>104.18</v>
      </c>
      <c r="O167" s="2">
        <v>2.0</v>
      </c>
      <c r="P167" s="2" t="s">
        <v>56</v>
      </c>
      <c r="Q167" s="2">
        <v>2.0</v>
      </c>
      <c r="R167" s="2">
        <v>57.0</v>
      </c>
      <c r="S167" s="3">
        <v>45515.0</v>
      </c>
      <c r="T167" s="2" t="s">
        <v>944</v>
      </c>
      <c r="U167" s="2">
        <f t="shared" si="1"/>
        <v>2</v>
      </c>
      <c r="V167" s="2">
        <f t="shared" si="2"/>
        <v>11</v>
      </c>
      <c r="W167" s="2">
        <f t="shared" si="3"/>
        <v>208.36</v>
      </c>
      <c r="X167" s="2">
        <f t="shared" si="4"/>
        <v>265.36</v>
      </c>
      <c r="Y167" s="2">
        <f t="shared" si="5"/>
        <v>0</v>
      </c>
      <c r="Z167" s="2">
        <f t="shared" si="6"/>
        <v>208.36</v>
      </c>
      <c r="AA167" s="2">
        <f t="shared" si="7"/>
        <v>208.36</v>
      </c>
      <c r="AB167" s="2" t="str">
        <f t="shared" si="8"/>
        <v>Friday</v>
      </c>
      <c r="AC167" s="2" t="str">
        <f t="shared" si="9"/>
        <v>Weekday</v>
      </c>
      <c r="AD167" s="2" t="str">
        <f t="shared" si="10"/>
        <v>amy.reid</v>
      </c>
      <c r="AE167" s="2" t="str">
        <f t="shared" si="11"/>
        <v>rediffmail</v>
      </c>
      <c r="AF167" s="2" t="str">
        <f t="shared" si="12"/>
        <v>Amy Reid</v>
      </c>
      <c r="AG167" s="2" t="str">
        <f t="shared" si="13"/>
        <v>Amy</v>
      </c>
      <c r="AH167" s="2" t="str">
        <f t="shared" si="14"/>
        <v>Reid</v>
      </c>
      <c r="AI167" s="2" t="str">
        <f t="shared" si="15"/>
        <v>InTime</v>
      </c>
      <c r="AJ167" s="2" t="str">
        <f t="shared" si="16"/>
        <v>#NAME?</v>
      </c>
    </row>
    <row r="168" ht="14.25" customHeight="1">
      <c r="A168" s="2" t="s">
        <v>405</v>
      </c>
      <c r="B168" s="2" t="s">
        <v>221</v>
      </c>
      <c r="C168" s="2" t="s">
        <v>406</v>
      </c>
      <c r="D168" s="2">
        <v>28.0</v>
      </c>
      <c r="E168" s="2" t="s">
        <v>45</v>
      </c>
      <c r="F168" s="2" t="s">
        <v>133</v>
      </c>
      <c r="G168" s="2" t="s">
        <v>407</v>
      </c>
      <c r="H168" s="2" t="s">
        <v>2130</v>
      </c>
      <c r="I168" s="2" t="s">
        <v>408</v>
      </c>
      <c r="J168" s="2" t="s">
        <v>945</v>
      </c>
      <c r="K168" s="3">
        <v>45550.0</v>
      </c>
      <c r="L168" s="2" t="s">
        <v>946</v>
      </c>
      <c r="M168" s="2" t="s">
        <v>147</v>
      </c>
      <c r="N168" s="2">
        <v>220.27</v>
      </c>
      <c r="O168" s="2">
        <v>2.0</v>
      </c>
      <c r="P168" s="2" t="s">
        <v>78</v>
      </c>
      <c r="Q168" s="2">
        <v>1.0</v>
      </c>
      <c r="R168" s="2">
        <v>42.0</v>
      </c>
      <c r="S168" s="3">
        <v>45552.0</v>
      </c>
      <c r="T168" s="2" t="s">
        <v>947</v>
      </c>
      <c r="U168" s="2">
        <f t="shared" si="1"/>
        <v>2</v>
      </c>
      <c r="V168" s="2">
        <f t="shared" si="2"/>
        <v>8</v>
      </c>
      <c r="W168" s="2">
        <f t="shared" si="3"/>
        <v>440.54</v>
      </c>
      <c r="X168" s="2">
        <f t="shared" si="4"/>
        <v>482.54</v>
      </c>
      <c r="Y168" s="2">
        <f t="shared" si="5"/>
        <v>0</v>
      </c>
      <c r="Z168" s="2">
        <f t="shared" si="6"/>
        <v>440.54</v>
      </c>
      <c r="AA168" s="2">
        <f t="shared" si="7"/>
        <v>482.54</v>
      </c>
      <c r="AB168" s="2" t="str">
        <f t="shared" si="8"/>
        <v>Sunday</v>
      </c>
      <c r="AC168" s="2" t="str">
        <f t="shared" si="9"/>
        <v>Weekend</v>
      </c>
      <c r="AD168" s="2" t="str">
        <f t="shared" si="10"/>
        <v>john.ramirez</v>
      </c>
      <c r="AE168" s="2" t="str">
        <f t="shared" si="11"/>
        <v>outlook</v>
      </c>
      <c r="AF168" s="2" t="str">
        <f t="shared" si="12"/>
        <v>John Ramirez</v>
      </c>
      <c r="AG168" s="2" t="str">
        <f t="shared" si="13"/>
        <v>John</v>
      </c>
      <c r="AH168" s="2" t="str">
        <f t="shared" si="14"/>
        <v>Ramirez</v>
      </c>
      <c r="AI168" s="2" t="str">
        <f t="shared" si="15"/>
        <v>Late</v>
      </c>
      <c r="AJ168" s="2" t="str">
        <f t="shared" si="16"/>
        <v>#NAME?</v>
      </c>
    </row>
    <row r="169" ht="14.25" customHeight="1">
      <c r="A169" s="2" t="s">
        <v>528</v>
      </c>
      <c r="B169" s="2" t="s">
        <v>529</v>
      </c>
      <c r="C169" s="2" t="s">
        <v>530</v>
      </c>
      <c r="D169" s="2">
        <v>32.0</v>
      </c>
      <c r="E169" s="2" t="s">
        <v>45</v>
      </c>
      <c r="F169" s="2" t="s">
        <v>83</v>
      </c>
      <c r="G169" s="2" t="s">
        <v>531</v>
      </c>
      <c r="H169" s="2" t="s">
        <v>2144</v>
      </c>
      <c r="I169" s="2" t="s">
        <v>532</v>
      </c>
      <c r="J169" s="2" t="s">
        <v>948</v>
      </c>
      <c r="K169" s="3">
        <v>45125.0</v>
      </c>
      <c r="L169" s="2" t="s">
        <v>949</v>
      </c>
      <c r="M169" s="2" t="s">
        <v>650</v>
      </c>
      <c r="N169" s="2">
        <v>235.63</v>
      </c>
      <c r="O169" s="2">
        <v>5.0</v>
      </c>
      <c r="P169" s="2" t="s">
        <v>29</v>
      </c>
      <c r="Q169" s="2">
        <v>4.0</v>
      </c>
      <c r="R169" s="2">
        <v>52.0</v>
      </c>
      <c r="S169" s="3">
        <v>45129.0</v>
      </c>
      <c r="T169" s="2" t="s">
        <v>950</v>
      </c>
      <c r="U169" s="2">
        <f t="shared" si="1"/>
        <v>4</v>
      </c>
      <c r="V169" s="2">
        <f t="shared" si="2"/>
        <v>2</v>
      </c>
      <c r="W169" s="2">
        <f t="shared" si="3"/>
        <v>1178.15</v>
      </c>
      <c r="X169" s="2">
        <f t="shared" si="4"/>
        <v>1230.15</v>
      </c>
      <c r="Y169" s="2">
        <f t="shared" si="5"/>
        <v>0</v>
      </c>
      <c r="Z169" s="2">
        <f t="shared" si="6"/>
        <v>1178.15</v>
      </c>
      <c r="AA169" s="2">
        <f t="shared" si="7"/>
        <v>1230.15</v>
      </c>
      <c r="AB169" s="2" t="str">
        <f t="shared" si="8"/>
        <v>Tuesday</v>
      </c>
      <c r="AC169" s="2" t="str">
        <f t="shared" si="9"/>
        <v>Weekday</v>
      </c>
      <c r="AD169" s="2" t="str">
        <f t="shared" si="10"/>
        <v>brandon.cruz</v>
      </c>
      <c r="AE169" s="2" t="str">
        <f t="shared" si="11"/>
        <v>gmail</v>
      </c>
      <c r="AF169" s="2" t="str">
        <f t="shared" si="12"/>
        <v>Brandon Cruz</v>
      </c>
      <c r="AG169" s="2" t="str">
        <f t="shared" si="13"/>
        <v>Brandon</v>
      </c>
      <c r="AH169" s="2" t="str">
        <f t="shared" si="14"/>
        <v>Cruz</v>
      </c>
      <c r="AI169" s="2" t="str">
        <f t="shared" si="15"/>
        <v>InTime</v>
      </c>
      <c r="AJ169" s="2" t="str">
        <f t="shared" si="16"/>
        <v>#NAME?</v>
      </c>
    </row>
    <row r="170" ht="14.25" customHeight="1">
      <c r="A170" s="2" t="s">
        <v>632</v>
      </c>
      <c r="B170" s="2" t="s">
        <v>141</v>
      </c>
      <c r="C170" s="2" t="s">
        <v>633</v>
      </c>
      <c r="D170" s="2">
        <v>44.0</v>
      </c>
      <c r="E170" s="2" t="s">
        <v>45</v>
      </c>
      <c r="F170" s="2" t="s">
        <v>83</v>
      </c>
      <c r="G170" s="2" t="s">
        <v>634</v>
      </c>
      <c r="H170" s="2" t="s">
        <v>2150</v>
      </c>
      <c r="I170" s="2" t="s">
        <v>635</v>
      </c>
      <c r="J170" s="2" t="s">
        <v>951</v>
      </c>
      <c r="K170" s="3">
        <v>45186.0</v>
      </c>
      <c r="L170" s="2" t="s">
        <v>952</v>
      </c>
      <c r="M170" s="2" t="s">
        <v>40</v>
      </c>
      <c r="N170" s="2">
        <v>166.28</v>
      </c>
      <c r="O170" s="2">
        <v>4.0</v>
      </c>
      <c r="P170" s="2" t="s">
        <v>78</v>
      </c>
      <c r="Q170" s="2">
        <v>6.0</v>
      </c>
      <c r="R170" s="2">
        <v>36.0</v>
      </c>
      <c r="S170" s="3">
        <v>45193.0</v>
      </c>
      <c r="T170" s="2" t="s">
        <v>953</v>
      </c>
      <c r="U170" s="2">
        <f t="shared" si="1"/>
        <v>7</v>
      </c>
      <c r="V170" s="2">
        <f t="shared" si="2"/>
        <v>11</v>
      </c>
      <c r="W170" s="2">
        <f t="shared" si="3"/>
        <v>665.12</v>
      </c>
      <c r="X170" s="2">
        <f t="shared" si="4"/>
        <v>701.12</v>
      </c>
      <c r="Y170" s="2">
        <f t="shared" si="5"/>
        <v>0</v>
      </c>
      <c r="Z170" s="2">
        <f t="shared" si="6"/>
        <v>665.12</v>
      </c>
      <c r="AA170" s="2">
        <f t="shared" si="7"/>
        <v>701.12</v>
      </c>
      <c r="AB170" s="2" t="str">
        <f t="shared" si="8"/>
        <v>Sunday</v>
      </c>
      <c r="AC170" s="2" t="str">
        <f t="shared" si="9"/>
        <v>Weekend</v>
      </c>
      <c r="AD170" s="2" t="str">
        <f t="shared" si="10"/>
        <v>amy.ellis</v>
      </c>
      <c r="AE170" s="2" t="str">
        <f t="shared" si="11"/>
        <v>gmail</v>
      </c>
      <c r="AF170" s="2" t="str">
        <f t="shared" si="12"/>
        <v>Amy Ellis</v>
      </c>
      <c r="AG170" s="2" t="str">
        <f t="shared" si="13"/>
        <v>Amy</v>
      </c>
      <c r="AH170" s="2" t="str">
        <f t="shared" si="14"/>
        <v>Ellis</v>
      </c>
      <c r="AI170" s="2" t="str">
        <f t="shared" si="15"/>
        <v>Late</v>
      </c>
      <c r="AJ170" s="2" t="str">
        <f t="shared" si="16"/>
        <v>#NAME?</v>
      </c>
    </row>
    <row r="171" ht="14.25" customHeight="1">
      <c r="A171" s="2" t="s">
        <v>121</v>
      </c>
      <c r="B171" s="2" t="s">
        <v>122</v>
      </c>
      <c r="C171" s="2" t="s">
        <v>123</v>
      </c>
      <c r="D171" s="2">
        <v>30.0</v>
      </c>
      <c r="E171" s="2" t="s">
        <v>34</v>
      </c>
      <c r="F171" s="2" t="s">
        <v>35</v>
      </c>
      <c r="G171" s="2" t="s">
        <v>124</v>
      </c>
      <c r="H171" s="2" t="s">
        <v>2101</v>
      </c>
      <c r="I171" s="2" t="s">
        <v>125</v>
      </c>
      <c r="J171" s="2" t="s">
        <v>954</v>
      </c>
      <c r="K171" s="3">
        <v>45120.0</v>
      </c>
      <c r="L171" s="2" t="s">
        <v>955</v>
      </c>
      <c r="M171" s="2" t="s">
        <v>55</v>
      </c>
      <c r="N171" s="2">
        <v>405.0</v>
      </c>
      <c r="O171" s="2">
        <v>5.0</v>
      </c>
      <c r="P171" s="2" t="s">
        <v>89</v>
      </c>
      <c r="Q171" s="2">
        <v>6.0</v>
      </c>
      <c r="R171" s="2">
        <v>36.0</v>
      </c>
      <c r="S171" s="3">
        <v>45127.0</v>
      </c>
      <c r="T171" s="2" t="s">
        <v>956</v>
      </c>
      <c r="U171" s="2">
        <f t="shared" si="1"/>
        <v>7</v>
      </c>
      <c r="V171" s="2">
        <f t="shared" si="2"/>
        <v>3</v>
      </c>
      <c r="W171" s="2">
        <f t="shared" si="3"/>
        <v>2025</v>
      </c>
      <c r="X171" s="2">
        <f t="shared" si="4"/>
        <v>2061</v>
      </c>
      <c r="Y171" s="2">
        <f t="shared" si="5"/>
        <v>0</v>
      </c>
      <c r="Z171" s="2">
        <f t="shared" si="6"/>
        <v>2025</v>
      </c>
      <c r="AA171" s="2">
        <f t="shared" si="7"/>
        <v>2061</v>
      </c>
      <c r="AB171" s="2" t="str">
        <f t="shared" si="8"/>
        <v>Thursday</v>
      </c>
      <c r="AC171" s="2" t="str">
        <f t="shared" si="9"/>
        <v>Weekday</v>
      </c>
      <c r="AD171" s="2" t="str">
        <f t="shared" si="10"/>
        <v>joseph.stewart</v>
      </c>
      <c r="AE171" s="2" t="str">
        <f t="shared" si="11"/>
        <v>yahoo</v>
      </c>
      <c r="AF171" s="2" t="str">
        <f t="shared" si="12"/>
        <v>Joseph Stewart</v>
      </c>
      <c r="AG171" s="2" t="str">
        <f t="shared" si="13"/>
        <v>Joseph</v>
      </c>
      <c r="AH171" s="2" t="str">
        <f t="shared" si="14"/>
        <v>Stewart</v>
      </c>
      <c r="AI171" s="2" t="str">
        <f t="shared" si="15"/>
        <v>Late</v>
      </c>
      <c r="AJ171" s="2" t="str">
        <f t="shared" si="16"/>
        <v>#NAME?</v>
      </c>
    </row>
    <row r="172" ht="14.25" customHeight="1">
      <c r="A172" s="2" t="s">
        <v>158</v>
      </c>
      <c r="B172" s="2" t="s">
        <v>159</v>
      </c>
      <c r="C172" s="2" t="s">
        <v>160</v>
      </c>
      <c r="D172" s="2">
        <v>46.0</v>
      </c>
      <c r="E172" s="2" t="s">
        <v>22</v>
      </c>
      <c r="F172" s="2" t="s">
        <v>161</v>
      </c>
      <c r="G172" s="2" t="s">
        <v>162</v>
      </c>
      <c r="H172" s="2" t="s">
        <v>2105</v>
      </c>
      <c r="I172" s="2" t="s">
        <v>163</v>
      </c>
      <c r="J172" s="2" t="s">
        <v>957</v>
      </c>
      <c r="K172" s="3">
        <v>45591.0</v>
      </c>
      <c r="L172" s="2" t="s">
        <v>958</v>
      </c>
      <c r="M172" s="2" t="s">
        <v>119</v>
      </c>
      <c r="N172" s="2">
        <v>257.06</v>
      </c>
      <c r="O172" s="2">
        <v>2.0</v>
      </c>
      <c r="P172" s="2" t="s">
        <v>51</v>
      </c>
      <c r="Q172" s="2">
        <v>7.0</v>
      </c>
      <c r="R172" s="2">
        <v>59.0</v>
      </c>
      <c r="S172" s="3">
        <v>45592.0</v>
      </c>
      <c r="T172" s="2" t="s">
        <v>959</v>
      </c>
      <c r="U172" s="2">
        <f t="shared" si="1"/>
        <v>1</v>
      </c>
      <c r="V172" s="2">
        <f t="shared" si="2"/>
        <v>4</v>
      </c>
      <c r="W172" s="2">
        <f t="shared" si="3"/>
        <v>514.12</v>
      </c>
      <c r="X172" s="2">
        <f t="shared" si="4"/>
        <v>573.12</v>
      </c>
      <c r="Y172" s="2">
        <f t="shared" si="5"/>
        <v>0</v>
      </c>
      <c r="Z172" s="2">
        <f t="shared" si="6"/>
        <v>514.12</v>
      </c>
      <c r="AA172" s="2">
        <f t="shared" si="7"/>
        <v>573.12</v>
      </c>
      <c r="AB172" s="2" t="str">
        <f t="shared" si="8"/>
        <v>Saturday</v>
      </c>
      <c r="AC172" s="2" t="str">
        <f t="shared" si="9"/>
        <v>Weekend</v>
      </c>
      <c r="AD172" s="2" t="str">
        <f t="shared" si="10"/>
        <v>erin.miller</v>
      </c>
      <c r="AE172" s="2" t="str">
        <f t="shared" si="11"/>
        <v>gmail</v>
      </c>
      <c r="AF172" s="2" t="str">
        <f t="shared" si="12"/>
        <v>Erin Miller</v>
      </c>
      <c r="AG172" s="2" t="str">
        <f t="shared" si="13"/>
        <v>Erin</v>
      </c>
      <c r="AH172" s="2" t="str">
        <f t="shared" si="14"/>
        <v>Miller</v>
      </c>
      <c r="AI172" s="2" t="str">
        <f t="shared" si="15"/>
        <v>Before Time</v>
      </c>
      <c r="AJ172" s="2" t="str">
        <f t="shared" si="16"/>
        <v>#NAME?</v>
      </c>
    </row>
    <row r="173" ht="14.25" customHeight="1">
      <c r="A173" s="2" t="s">
        <v>918</v>
      </c>
      <c r="B173" s="2" t="s">
        <v>919</v>
      </c>
      <c r="C173" s="2" t="s">
        <v>920</v>
      </c>
      <c r="D173" s="2">
        <v>24.0</v>
      </c>
      <c r="E173" s="2" t="s">
        <v>45</v>
      </c>
      <c r="F173" s="2" t="s">
        <v>213</v>
      </c>
      <c r="G173" s="2" t="s">
        <v>921</v>
      </c>
      <c r="H173" s="2" t="s">
        <v>2169</v>
      </c>
      <c r="I173" s="2" t="s">
        <v>922</v>
      </c>
      <c r="J173" s="2" t="s">
        <v>960</v>
      </c>
      <c r="K173" s="3">
        <v>45525.0</v>
      </c>
      <c r="L173" s="2" t="s">
        <v>961</v>
      </c>
      <c r="M173" s="2" t="s">
        <v>411</v>
      </c>
      <c r="N173" s="2">
        <v>44.5</v>
      </c>
      <c r="O173" s="2">
        <v>4.0</v>
      </c>
      <c r="P173" s="2" t="s">
        <v>29</v>
      </c>
      <c r="Q173" s="2">
        <v>5.0</v>
      </c>
      <c r="R173" s="2">
        <v>40.0</v>
      </c>
      <c r="S173" s="3">
        <v>45531.0</v>
      </c>
      <c r="T173" s="2" t="s">
        <v>962</v>
      </c>
      <c r="U173" s="2">
        <f t="shared" si="1"/>
        <v>6</v>
      </c>
      <c r="V173" s="2">
        <f t="shared" si="2"/>
        <v>8</v>
      </c>
      <c r="W173" s="2">
        <f t="shared" si="3"/>
        <v>178</v>
      </c>
      <c r="X173" s="2">
        <f t="shared" si="4"/>
        <v>218</v>
      </c>
      <c r="Y173" s="2">
        <f t="shared" si="5"/>
        <v>0</v>
      </c>
      <c r="Z173" s="2">
        <f t="shared" si="6"/>
        <v>178</v>
      </c>
      <c r="AA173" s="2">
        <f t="shared" si="7"/>
        <v>218</v>
      </c>
      <c r="AB173" s="2" t="str">
        <f t="shared" si="8"/>
        <v>Wednesday</v>
      </c>
      <c r="AC173" s="2" t="str">
        <f t="shared" si="9"/>
        <v>Weekday</v>
      </c>
      <c r="AD173" s="2" t="str">
        <f t="shared" si="10"/>
        <v>rachael.robinson</v>
      </c>
      <c r="AE173" s="2" t="str">
        <f t="shared" si="11"/>
        <v>rediffmail</v>
      </c>
      <c r="AF173" s="2" t="str">
        <f t="shared" si="12"/>
        <v>Rachael Robinson</v>
      </c>
      <c r="AG173" s="2" t="str">
        <f t="shared" si="13"/>
        <v>Rachael</v>
      </c>
      <c r="AH173" s="2" t="str">
        <f t="shared" si="14"/>
        <v>Robinson</v>
      </c>
      <c r="AI173" s="2" t="str">
        <f t="shared" si="15"/>
        <v>Late</v>
      </c>
      <c r="AJ173" s="2" t="str">
        <f t="shared" si="16"/>
        <v>#NAME?</v>
      </c>
    </row>
    <row r="174" ht="14.25" customHeight="1">
      <c r="A174" s="2" t="s">
        <v>632</v>
      </c>
      <c r="B174" s="2" t="s">
        <v>141</v>
      </c>
      <c r="C174" s="2" t="s">
        <v>633</v>
      </c>
      <c r="D174" s="2">
        <v>44.0</v>
      </c>
      <c r="E174" s="2" t="s">
        <v>45</v>
      </c>
      <c r="F174" s="2" t="s">
        <v>83</v>
      </c>
      <c r="G174" s="2" t="s">
        <v>634</v>
      </c>
      <c r="H174" s="2" t="s">
        <v>2150</v>
      </c>
      <c r="I174" s="2" t="s">
        <v>635</v>
      </c>
      <c r="J174" s="2" t="s">
        <v>963</v>
      </c>
      <c r="K174" s="3">
        <v>45561.0</v>
      </c>
      <c r="L174" s="2" t="s">
        <v>964</v>
      </c>
      <c r="M174" s="2" t="s">
        <v>411</v>
      </c>
      <c r="N174" s="2">
        <v>44.5</v>
      </c>
      <c r="O174" s="2">
        <v>2.0</v>
      </c>
      <c r="P174" s="2" t="s">
        <v>51</v>
      </c>
      <c r="Q174" s="2">
        <v>5.0</v>
      </c>
      <c r="R174" s="2">
        <v>52.0</v>
      </c>
      <c r="S174" s="3">
        <v>45563.0</v>
      </c>
      <c r="T174" s="2" t="s">
        <v>965</v>
      </c>
      <c r="U174" s="2">
        <f t="shared" si="1"/>
        <v>2</v>
      </c>
      <c r="V174" s="2">
        <f t="shared" si="2"/>
        <v>9</v>
      </c>
      <c r="W174" s="2">
        <f t="shared" si="3"/>
        <v>89</v>
      </c>
      <c r="X174" s="2">
        <f t="shared" si="4"/>
        <v>141</v>
      </c>
      <c r="Y174" s="2">
        <f t="shared" si="5"/>
        <v>0</v>
      </c>
      <c r="Z174" s="2">
        <f t="shared" si="6"/>
        <v>89</v>
      </c>
      <c r="AA174" s="2">
        <f t="shared" si="7"/>
        <v>141</v>
      </c>
      <c r="AB174" s="2" t="str">
        <f t="shared" si="8"/>
        <v>Thursday</v>
      </c>
      <c r="AC174" s="2" t="str">
        <f t="shared" si="9"/>
        <v>Weekday</v>
      </c>
      <c r="AD174" s="2" t="str">
        <f t="shared" si="10"/>
        <v>amy.ellis</v>
      </c>
      <c r="AE174" s="2" t="str">
        <f t="shared" si="11"/>
        <v>gmail</v>
      </c>
      <c r="AF174" s="2" t="str">
        <f t="shared" si="12"/>
        <v>Amy Ellis</v>
      </c>
      <c r="AG174" s="2" t="str">
        <f t="shared" si="13"/>
        <v>Amy</v>
      </c>
      <c r="AH174" s="2" t="str">
        <f t="shared" si="14"/>
        <v>Ellis</v>
      </c>
      <c r="AI174" s="2" t="str">
        <f t="shared" si="15"/>
        <v>Before Time</v>
      </c>
      <c r="AJ174" s="2" t="str">
        <f t="shared" si="16"/>
        <v>#NAME?</v>
      </c>
    </row>
    <row r="175" ht="14.25" customHeight="1">
      <c r="A175" s="2" t="s">
        <v>615</v>
      </c>
      <c r="B175" s="2" t="s">
        <v>122</v>
      </c>
      <c r="C175" s="2" t="s">
        <v>616</v>
      </c>
      <c r="D175" s="2">
        <v>47.0</v>
      </c>
      <c r="E175" s="2" t="s">
        <v>45</v>
      </c>
      <c r="F175" s="2" t="s">
        <v>69</v>
      </c>
      <c r="G175" s="2" t="s">
        <v>617</v>
      </c>
      <c r="H175" s="2" t="s">
        <v>2170</v>
      </c>
      <c r="I175" s="2" t="s">
        <v>618</v>
      </c>
      <c r="J175" s="2" t="s">
        <v>966</v>
      </c>
      <c r="K175" s="3">
        <v>45051.0</v>
      </c>
      <c r="L175" s="2" t="s">
        <v>967</v>
      </c>
      <c r="M175" s="2" t="s">
        <v>301</v>
      </c>
      <c r="N175" s="2">
        <v>129.75</v>
      </c>
      <c r="O175" s="2">
        <v>5.0</v>
      </c>
      <c r="P175" s="2" t="s">
        <v>56</v>
      </c>
      <c r="Q175" s="2">
        <v>3.0</v>
      </c>
      <c r="R175" s="2">
        <v>43.0</v>
      </c>
      <c r="S175" s="3">
        <v>45057.0</v>
      </c>
      <c r="T175" s="2" t="s">
        <v>968</v>
      </c>
      <c r="U175" s="2">
        <f t="shared" si="1"/>
        <v>6</v>
      </c>
      <c r="V175" s="2">
        <f t="shared" si="2"/>
        <v>19</v>
      </c>
      <c r="W175" s="2">
        <f t="shared" si="3"/>
        <v>648.75</v>
      </c>
      <c r="X175" s="2">
        <f t="shared" si="4"/>
        <v>691.75</v>
      </c>
      <c r="Y175" s="2">
        <f t="shared" si="5"/>
        <v>0</v>
      </c>
      <c r="Z175" s="2">
        <f t="shared" si="6"/>
        <v>648.75</v>
      </c>
      <c r="AA175" s="2">
        <f t="shared" si="7"/>
        <v>648.75</v>
      </c>
      <c r="AB175" s="2" t="str">
        <f t="shared" si="8"/>
        <v>Friday</v>
      </c>
      <c r="AC175" s="2" t="str">
        <f t="shared" si="9"/>
        <v>Weekday</v>
      </c>
      <c r="AD175" s="2" t="str">
        <f t="shared" si="10"/>
        <v>joseph.gaines</v>
      </c>
      <c r="AE175" s="2" t="str">
        <f t="shared" si="11"/>
        <v>outlook</v>
      </c>
      <c r="AF175" s="2" t="str">
        <f t="shared" si="12"/>
        <v>Joseph Gaines</v>
      </c>
      <c r="AG175" s="2" t="str">
        <f t="shared" si="13"/>
        <v>Joseph</v>
      </c>
      <c r="AH175" s="2" t="str">
        <f t="shared" si="14"/>
        <v>Gaines</v>
      </c>
      <c r="AI175" s="2" t="str">
        <f t="shared" si="15"/>
        <v>Late</v>
      </c>
      <c r="AJ175" s="2" t="str">
        <f t="shared" si="16"/>
        <v>#NAME?</v>
      </c>
    </row>
    <row r="176" ht="14.25" customHeight="1">
      <c r="A176" s="2" t="s">
        <v>664</v>
      </c>
      <c r="B176" s="2" t="s">
        <v>665</v>
      </c>
      <c r="C176" s="2" t="s">
        <v>666</v>
      </c>
      <c r="D176" s="2">
        <v>38.0</v>
      </c>
      <c r="E176" s="2" t="s">
        <v>34</v>
      </c>
      <c r="F176" s="2" t="s">
        <v>213</v>
      </c>
      <c r="G176" s="2" t="s">
        <v>667</v>
      </c>
      <c r="H176" s="2" t="s">
        <v>2152</v>
      </c>
      <c r="I176" s="2" t="s">
        <v>668</v>
      </c>
      <c r="J176" s="2" t="s">
        <v>969</v>
      </c>
      <c r="K176" s="3">
        <v>45318.0</v>
      </c>
      <c r="L176" s="2" t="s">
        <v>970</v>
      </c>
      <c r="M176" s="2" t="s">
        <v>263</v>
      </c>
      <c r="N176" s="2">
        <v>62.42</v>
      </c>
      <c r="O176" s="2">
        <v>4.0</v>
      </c>
      <c r="P176" s="2" t="s">
        <v>78</v>
      </c>
      <c r="Q176" s="2">
        <v>4.0</v>
      </c>
      <c r="R176" s="2">
        <v>37.0</v>
      </c>
      <c r="S176" s="3">
        <v>45321.0</v>
      </c>
      <c r="T176" s="2" t="s">
        <v>971</v>
      </c>
      <c r="U176" s="2">
        <f t="shared" si="1"/>
        <v>3</v>
      </c>
      <c r="V176" s="2">
        <f t="shared" si="2"/>
        <v>18</v>
      </c>
      <c r="W176" s="2">
        <f t="shared" si="3"/>
        <v>249.68</v>
      </c>
      <c r="X176" s="2">
        <f t="shared" si="4"/>
        <v>286.68</v>
      </c>
      <c r="Y176" s="2">
        <f t="shared" si="5"/>
        <v>0</v>
      </c>
      <c r="Z176" s="2">
        <f t="shared" si="6"/>
        <v>249.68</v>
      </c>
      <c r="AA176" s="2">
        <f t="shared" si="7"/>
        <v>286.68</v>
      </c>
      <c r="AB176" s="2" t="str">
        <f t="shared" si="8"/>
        <v>Saturday</v>
      </c>
      <c r="AC176" s="2" t="str">
        <f t="shared" si="9"/>
        <v>Weekend</v>
      </c>
      <c r="AD176" s="2" t="str">
        <f t="shared" si="10"/>
        <v>christy.chang</v>
      </c>
      <c r="AE176" s="2" t="str">
        <f t="shared" si="11"/>
        <v>outlook</v>
      </c>
      <c r="AF176" s="2" t="str">
        <f t="shared" si="12"/>
        <v>Christy Chang</v>
      </c>
      <c r="AG176" s="2" t="str">
        <f t="shared" si="13"/>
        <v>Christy</v>
      </c>
      <c r="AH176" s="2" t="str">
        <f t="shared" si="14"/>
        <v>Chang</v>
      </c>
      <c r="AI176" s="2" t="str">
        <f t="shared" si="15"/>
        <v>Before Time</v>
      </c>
      <c r="AJ176" s="2" t="str">
        <f t="shared" si="16"/>
        <v>#NAME?</v>
      </c>
    </row>
    <row r="177" ht="14.25" customHeight="1">
      <c r="A177" s="2" t="s">
        <v>717</v>
      </c>
      <c r="B177" s="2" t="s">
        <v>718</v>
      </c>
      <c r="C177" s="2" t="s">
        <v>160</v>
      </c>
      <c r="D177" s="2">
        <v>70.0</v>
      </c>
      <c r="E177" s="2" t="s">
        <v>34</v>
      </c>
      <c r="F177" s="2" t="s">
        <v>83</v>
      </c>
      <c r="G177" s="2" t="s">
        <v>719</v>
      </c>
      <c r="H177" s="2" t="s">
        <v>2157</v>
      </c>
      <c r="I177" s="2" t="s">
        <v>720</v>
      </c>
      <c r="J177" s="2" t="s">
        <v>972</v>
      </c>
      <c r="K177" s="3">
        <v>45508.0</v>
      </c>
      <c r="L177" s="2" t="s">
        <v>973</v>
      </c>
      <c r="M177" s="2" t="s">
        <v>488</v>
      </c>
      <c r="N177" s="2">
        <v>421.7</v>
      </c>
      <c r="O177" s="2">
        <v>4.0</v>
      </c>
      <c r="P177" s="2" t="s">
        <v>29</v>
      </c>
      <c r="Q177" s="2">
        <v>7.0</v>
      </c>
      <c r="R177" s="2">
        <v>69.0</v>
      </c>
      <c r="S177" s="3">
        <v>45514.0</v>
      </c>
      <c r="T177" s="2" t="s">
        <v>974</v>
      </c>
      <c r="U177" s="2">
        <f t="shared" si="1"/>
        <v>6</v>
      </c>
      <c r="V177" s="2">
        <f t="shared" si="2"/>
        <v>16</v>
      </c>
      <c r="W177" s="2">
        <f t="shared" si="3"/>
        <v>1686.8</v>
      </c>
      <c r="X177" s="2">
        <f t="shared" si="4"/>
        <v>1755.8</v>
      </c>
      <c r="Y177" s="2">
        <f t="shared" si="5"/>
        <v>0</v>
      </c>
      <c r="Z177" s="2">
        <f t="shared" si="6"/>
        <v>1686.8</v>
      </c>
      <c r="AA177" s="2">
        <f t="shared" si="7"/>
        <v>1755.8</v>
      </c>
      <c r="AB177" s="2" t="str">
        <f t="shared" si="8"/>
        <v>Sunday</v>
      </c>
      <c r="AC177" s="2" t="str">
        <f t="shared" si="9"/>
        <v>Weekend</v>
      </c>
      <c r="AD177" s="2" t="str">
        <f t="shared" si="10"/>
        <v>lisa.miller</v>
      </c>
      <c r="AE177" s="2" t="str">
        <f t="shared" si="11"/>
        <v>gmail</v>
      </c>
      <c r="AF177" s="2" t="str">
        <f t="shared" si="12"/>
        <v>Lisa Miller</v>
      </c>
      <c r="AG177" s="2" t="str">
        <f t="shared" si="13"/>
        <v>Lisa</v>
      </c>
      <c r="AH177" s="2" t="str">
        <f t="shared" si="14"/>
        <v>Miller</v>
      </c>
      <c r="AI177" s="2" t="str">
        <f t="shared" si="15"/>
        <v>Before Time</v>
      </c>
      <c r="AJ177" s="2" t="str">
        <f t="shared" si="16"/>
        <v>#NAME?</v>
      </c>
    </row>
    <row r="178" ht="14.25" customHeight="1">
      <c r="A178" s="2" t="s">
        <v>130</v>
      </c>
      <c r="B178" s="2" t="s">
        <v>131</v>
      </c>
      <c r="C178" s="2" t="s">
        <v>132</v>
      </c>
      <c r="D178" s="2">
        <v>25.0</v>
      </c>
      <c r="E178" s="2" t="s">
        <v>45</v>
      </c>
      <c r="F178" s="2" t="s">
        <v>133</v>
      </c>
      <c r="G178" s="2" t="s">
        <v>134</v>
      </c>
      <c r="H178" s="2" t="s">
        <v>2102</v>
      </c>
      <c r="I178" s="2" t="s">
        <v>135</v>
      </c>
      <c r="J178" s="2" t="s">
        <v>975</v>
      </c>
      <c r="K178" s="3">
        <v>45580.0</v>
      </c>
      <c r="L178" s="2" t="s">
        <v>976</v>
      </c>
      <c r="M178" s="2" t="s">
        <v>977</v>
      </c>
      <c r="N178" s="2">
        <v>33.49</v>
      </c>
      <c r="O178" s="2">
        <v>1.0</v>
      </c>
      <c r="P178" s="2" t="s">
        <v>56</v>
      </c>
      <c r="Q178" s="2">
        <v>1.0</v>
      </c>
      <c r="R178" s="2">
        <v>59.0</v>
      </c>
      <c r="S178" s="3">
        <v>45585.0</v>
      </c>
      <c r="T178" s="2" t="s">
        <v>978</v>
      </c>
      <c r="U178" s="2">
        <f t="shared" si="1"/>
        <v>5</v>
      </c>
      <c r="V178" s="2">
        <f t="shared" si="2"/>
        <v>13</v>
      </c>
      <c r="W178" s="2">
        <f t="shared" si="3"/>
        <v>33.49</v>
      </c>
      <c r="X178" s="2">
        <f t="shared" si="4"/>
        <v>92.49</v>
      </c>
      <c r="Y178" s="2">
        <f t="shared" si="5"/>
        <v>0</v>
      </c>
      <c r="Z178" s="2">
        <f t="shared" si="6"/>
        <v>33.49</v>
      </c>
      <c r="AA178" s="2">
        <f t="shared" si="7"/>
        <v>33.49</v>
      </c>
      <c r="AB178" s="2" t="str">
        <f t="shared" si="8"/>
        <v>Tuesday</v>
      </c>
      <c r="AC178" s="2" t="str">
        <f t="shared" si="9"/>
        <v>Weekday</v>
      </c>
      <c r="AD178" s="2" t="str">
        <f t="shared" si="10"/>
        <v>kara.brennan</v>
      </c>
      <c r="AE178" s="2" t="str">
        <f t="shared" si="11"/>
        <v>outlook</v>
      </c>
      <c r="AF178" s="2" t="str">
        <f t="shared" si="12"/>
        <v>Kara Brennan</v>
      </c>
      <c r="AG178" s="2" t="str">
        <f t="shared" si="13"/>
        <v>Kara</v>
      </c>
      <c r="AH178" s="2" t="str">
        <f t="shared" si="14"/>
        <v>Brennan</v>
      </c>
      <c r="AI178" s="2" t="str">
        <f t="shared" si="15"/>
        <v>Late</v>
      </c>
      <c r="AJ178" s="2" t="str">
        <f t="shared" si="16"/>
        <v>#NAME?</v>
      </c>
    </row>
    <row r="179" ht="14.25" customHeight="1">
      <c r="A179" s="2" t="s">
        <v>979</v>
      </c>
      <c r="B179" s="2" t="s">
        <v>980</v>
      </c>
      <c r="C179" s="2" t="s">
        <v>981</v>
      </c>
      <c r="D179" s="2">
        <v>49.0</v>
      </c>
      <c r="E179" s="2" t="s">
        <v>22</v>
      </c>
      <c r="F179" s="2" t="s">
        <v>35</v>
      </c>
      <c r="G179" s="2" t="s">
        <v>982</v>
      </c>
      <c r="H179" s="2" t="s">
        <v>2171</v>
      </c>
      <c r="I179" s="2" t="s">
        <v>983</v>
      </c>
      <c r="J179" s="2" t="s">
        <v>984</v>
      </c>
      <c r="K179" s="3">
        <v>45478.0</v>
      </c>
      <c r="L179" s="2" t="s">
        <v>985</v>
      </c>
      <c r="M179" s="2" t="s">
        <v>166</v>
      </c>
      <c r="N179" s="2">
        <v>272.51</v>
      </c>
      <c r="O179" s="2">
        <v>4.0</v>
      </c>
      <c r="P179" s="2" t="s">
        <v>56</v>
      </c>
      <c r="Q179" s="2">
        <v>1.0</v>
      </c>
      <c r="R179" s="2">
        <v>51.0</v>
      </c>
      <c r="S179" s="3">
        <v>45480.0</v>
      </c>
      <c r="T179" s="2" t="s">
        <v>986</v>
      </c>
      <c r="U179" s="2">
        <f t="shared" si="1"/>
        <v>2</v>
      </c>
      <c r="V179" s="2">
        <f t="shared" si="2"/>
        <v>8</v>
      </c>
      <c r="W179" s="2">
        <f t="shared" si="3"/>
        <v>1090.04</v>
      </c>
      <c r="X179" s="2">
        <f t="shared" si="4"/>
        <v>1141.04</v>
      </c>
      <c r="Y179" s="2">
        <f t="shared" si="5"/>
        <v>0</v>
      </c>
      <c r="Z179" s="2">
        <f t="shared" si="6"/>
        <v>1090.04</v>
      </c>
      <c r="AA179" s="2">
        <f t="shared" si="7"/>
        <v>1090.04</v>
      </c>
      <c r="AB179" s="2" t="str">
        <f t="shared" si="8"/>
        <v>Friday</v>
      </c>
      <c r="AC179" s="2" t="str">
        <f t="shared" si="9"/>
        <v>Weekday</v>
      </c>
      <c r="AD179" s="2" t="str">
        <f t="shared" si="10"/>
        <v>natasha.michael</v>
      </c>
      <c r="AE179" s="2" t="str">
        <f t="shared" si="11"/>
        <v>gmail</v>
      </c>
      <c r="AF179" s="2" t="str">
        <f t="shared" si="12"/>
        <v>Natasha Michael</v>
      </c>
      <c r="AG179" s="2" t="str">
        <f t="shared" si="13"/>
        <v>Natasha</v>
      </c>
      <c r="AH179" s="2" t="str">
        <f t="shared" si="14"/>
        <v>Michael</v>
      </c>
      <c r="AI179" s="2" t="str">
        <f t="shared" si="15"/>
        <v>Late</v>
      </c>
      <c r="AJ179" s="2" t="str">
        <f t="shared" si="16"/>
        <v>#NAME?</v>
      </c>
    </row>
    <row r="180" ht="14.25" customHeight="1">
      <c r="A180" s="2" t="s">
        <v>521</v>
      </c>
      <c r="B180" s="2" t="s">
        <v>387</v>
      </c>
      <c r="C180" s="2" t="s">
        <v>522</v>
      </c>
      <c r="D180" s="2">
        <v>51.0</v>
      </c>
      <c r="E180" s="2" t="s">
        <v>45</v>
      </c>
      <c r="F180" s="2" t="s">
        <v>133</v>
      </c>
      <c r="G180" s="2" t="s">
        <v>523</v>
      </c>
      <c r="H180" s="2" t="s">
        <v>2172</v>
      </c>
      <c r="I180" s="2" t="s">
        <v>524</v>
      </c>
      <c r="J180" s="2" t="s">
        <v>987</v>
      </c>
      <c r="K180" s="3">
        <v>45010.0</v>
      </c>
      <c r="L180" s="2" t="s">
        <v>988</v>
      </c>
      <c r="M180" s="2" t="s">
        <v>556</v>
      </c>
      <c r="N180" s="2">
        <v>133.62</v>
      </c>
      <c r="O180" s="2">
        <v>2.0</v>
      </c>
      <c r="P180" s="2" t="s">
        <v>29</v>
      </c>
      <c r="Q180" s="2">
        <v>1.0</v>
      </c>
      <c r="R180" s="2">
        <v>48.0</v>
      </c>
      <c r="S180" s="3">
        <v>45015.0</v>
      </c>
      <c r="T180" s="2" t="s">
        <v>989</v>
      </c>
      <c r="U180" s="2">
        <f t="shared" si="1"/>
        <v>5</v>
      </c>
      <c r="V180" s="2">
        <f t="shared" si="2"/>
        <v>2</v>
      </c>
      <c r="W180" s="2">
        <f t="shared" si="3"/>
        <v>267.24</v>
      </c>
      <c r="X180" s="2">
        <f t="shared" si="4"/>
        <v>315.24</v>
      </c>
      <c r="Y180" s="2">
        <f t="shared" si="5"/>
        <v>0</v>
      </c>
      <c r="Z180" s="2">
        <f t="shared" si="6"/>
        <v>267.24</v>
      </c>
      <c r="AA180" s="2">
        <f t="shared" si="7"/>
        <v>315.24</v>
      </c>
      <c r="AB180" s="2" t="str">
        <f t="shared" si="8"/>
        <v>Saturday</v>
      </c>
      <c r="AC180" s="2" t="str">
        <f t="shared" si="9"/>
        <v>Weekend</v>
      </c>
      <c r="AD180" s="2" t="str">
        <f t="shared" si="10"/>
        <v>jason.nguyen</v>
      </c>
      <c r="AE180" s="2" t="str">
        <f t="shared" si="11"/>
        <v>yahoo</v>
      </c>
      <c r="AF180" s="2" t="str">
        <f t="shared" si="12"/>
        <v>Jason Nguyen</v>
      </c>
      <c r="AG180" s="2" t="str">
        <f t="shared" si="13"/>
        <v>Jason</v>
      </c>
      <c r="AH180" s="2" t="str">
        <f t="shared" si="14"/>
        <v>Nguyen</v>
      </c>
      <c r="AI180" s="2" t="str">
        <f t="shared" si="15"/>
        <v>Late</v>
      </c>
      <c r="AJ180" s="2" t="str">
        <f t="shared" si="16"/>
        <v>#NAME?</v>
      </c>
    </row>
    <row r="181" ht="14.25" customHeight="1">
      <c r="A181" s="2" t="s">
        <v>760</v>
      </c>
      <c r="B181" s="2" t="s">
        <v>761</v>
      </c>
      <c r="C181" s="2" t="s">
        <v>762</v>
      </c>
      <c r="D181" s="2">
        <v>27.0</v>
      </c>
      <c r="E181" s="2" t="s">
        <v>22</v>
      </c>
      <c r="F181" s="2" t="s">
        <v>35</v>
      </c>
      <c r="G181" s="2" t="s">
        <v>763</v>
      </c>
      <c r="H181" s="2" t="s">
        <v>2161</v>
      </c>
      <c r="I181" s="2" t="s">
        <v>764</v>
      </c>
      <c r="J181" s="2" t="s">
        <v>990</v>
      </c>
      <c r="K181" s="3">
        <v>45132.0</v>
      </c>
      <c r="L181" s="2" t="s">
        <v>991</v>
      </c>
      <c r="M181" s="2" t="s">
        <v>119</v>
      </c>
      <c r="N181" s="2">
        <v>257.06</v>
      </c>
      <c r="O181" s="2">
        <v>4.0</v>
      </c>
      <c r="P181" s="2" t="s">
        <v>56</v>
      </c>
      <c r="Q181" s="2">
        <v>5.0</v>
      </c>
      <c r="R181" s="2">
        <v>52.0</v>
      </c>
      <c r="S181" s="3">
        <v>45136.0</v>
      </c>
      <c r="T181" s="2" t="s">
        <v>992</v>
      </c>
      <c r="U181" s="2">
        <f t="shared" si="1"/>
        <v>4</v>
      </c>
      <c r="V181" s="2">
        <f t="shared" si="2"/>
        <v>5</v>
      </c>
      <c r="W181" s="2">
        <f t="shared" si="3"/>
        <v>1028.24</v>
      </c>
      <c r="X181" s="2">
        <f t="shared" si="4"/>
        <v>1080.24</v>
      </c>
      <c r="Y181" s="2">
        <f t="shared" si="5"/>
        <v>0</v>
      </c>
      <c r="Z181" s="2">
        <f t="shared" si="6"/>
        <v>1028.24</v>
      </c>
      <c r="AA181" s="2">
        <f t="shared" si="7"/>
        <v>1028.24</v>
      </c>
      <c r="AB181" s="2" t="str">
        <f t="shared" si="8"/>
        <v>Tuesday</v>
      </c>
      <c r="AC181" s="2" t="str">
        <f t="shared" si="9"/>
        <v>Weekday</v>
      </c>
      <c r="AD181" s="2" t="str">
        <f t="shared" si="10"/>
        <v>kristina.haynes</v>
      </c>
      <c r="AE181" s="2" t="str">
        <f t="shared" si="11"/>
        <v>yahoo</v>
      </c>
      <c r="AF181" s="2" t="str">
        <f t="shared" si="12"/>
        <v>Kristina Haynes</v>
      </c>
      <c r="AG181" s="2" t="str">
        <f t="shared" si="13"/>
        <v>Kristina</v>
      </c>
      <c r="AH181" s="2" t="str">
        <f t="shared" si="14"/>
        <v>Haynes</v>
      </c>
      <c r="AI181" s="2" t="str">
        <f t="shared" si="15"/>
        <v>Before Time</v>
      </c>
      <c r="AJ181" s="2" t="str">
        <f t="shared" si="16"/>
        <v>#NAME?</v>
      </c>
    </row>
    <row r="182" ht="14.25" customHeight="1">
      <c r="A182" s="2" t="s">
        <v>130</v>
      </c>
      <c r="B182" s="2" t="s">
        <v>131</v>
      </c>
      <c r="C182" s="2" t="s">
        <v>132</v>
      </c>
      <c r="D182" s="2">
        <v>25.0</v>
      </c>
      <c r="E182" s="2" t="s">
        <v>45</v>
      </c>
      <c r="F182" s="2" t="s">
        <v>133</v>
      </c>
      <c r="G182" s="2" t="s">
        <v>134</v>
      </c>
      <c r="H182" s="2" t="s">
        <v>2102</v>
      </c>
      <c r="I182" s="2" t="s">
        <v>135</v>
      </c>
      <c r="J182" s="2" t="s">
        <v>993</v>
      </c>
      <c r="K182" s="3">
        <v>45457.0</v>
      </c>
      <c r="L182" s="2" t="s">
        <v>994</v>
      </c>
      <c r="M182" s="2" t="s">
        <v>767</v>
      </c>
      <c r="N182" s="2">
        <v>20.0</v>
      </c>
      <c r="O182" s="2">
        <v>5.0</v>
      </c>
      <c r="P182" s="2" t="s">
        <v>51</v>
      </c>
      <c r="Q182" s="2">
        <v>6.0</v>
      </c>
      <c r="R182" s="2">
        <v>36.0</v>
      </c>
      <c r="S182" s="3">
        <v>45463.0</v>
      </c>
      <c r="T182" s="2" t="s">
        <v>995</v>
      </c>
      <c r="U182" s="2">
        <f t="shared" si="1"/>
        <v>6</v>
      </c>
      <c r="V182" s="2">
        <f t="shared" si="2"/>
        <v>18</v>
      </c>
      <c r="W182" s="2">
        <f t="shared" si="3"/>
        <v>100</v>
      </c>
      <c r="X182" s="2">
        <f t="shared" si="4"/>
        <v>136</v>
      </c>
      <c r="Y182" s="2">
        <f t="shared" si="5"/>
        <v>0</v>
      </c>
      <c r="Z182" s="2">
        <f t="shared" si="6"/>
        <v>100</v>
      </c>
      <c r="AA182" s="2">
        <f t="shared" si="7"/>
        <v>136</v>
      </c>
      <c r="AB182" s="2" t="str">
        <f t="shared" si="8"/>
        <v>Friday</v>
      </c>
      <c r="AC182" s="2" t="str">
        <f t="shared" si="9"/>
        <v>Weekday</v>
      </c>
      <c r="AD182" s="2" t="str">
        <f t="shared" si="10"/>
        <v>kara.brennan</v>
      </c>
      <c r="AE182" s="2" t="str">
        <f t="shared" si="11"/>
        <v>outlook</v>
      </c>
      <c r="AF182" s="2" t="str">
        <f t="shared" si="12"/>
        <v>Kara Brennan</v>
      </c>
      <c r="AG182" s="2" t="str">
        <f t="shared" si="13"/>
        <v>Kara</v>
      </c>
      <c r="AH182" s="2" t="str">
        <f t="shared" si="14"/>
        <v>Brennan</v>
      </c>
      <c r="AI182" s="2" t="str">
        <f t="shared" si="15"/>
        <v>InTime</v>
      </c>
      <c r="AJ182" s="2" t="str">
        <f t="shared" si="16"/>
        <v>#NAME?</v>
      </c>
    </row>
    <row r="183" ht="14.25" customHeight="1">
      <c r="A183" s="2" t="s">
        <v>709</v>
      </c>
      <c r="B183" s="2" t="s">
        <v>710</v>
      </c>
      <c r="C183" s="2" t="s">
        <v>711</v>
      </c>
      <c r="D183" s="2">
        <v>32.0</v>
      </c>
      <c r="E183" s="2" t="s">
        <v>34</v>
      </c>
      <c r="F183" s="2" t="s">
        <v>23</v>
      </c>
      <c r="G183" s="2" t="s">
        <v>712</v>
      </c>
      <c r="H183" s="2" t="s">
        <v>2156</v>
      </c>
      <c r="I183" s="2" t="s">
        <v>713</v>
      </c>
      <c r="J183" s="2" t="s">
        <v>996</v>
      </c>
      <c r="K183" s="3">
        <v>45343.0</v>
      </c>
      <c r="L183" s="2" t="s">
        <v>997</v>
      </c>
      <c r="M183" s="2" t="s">
        <v>650</v>
      </c>
      <c r="N183" s="2">
        <v>235.63</v>
      </c>
      <c r="O183" s="2">
        <v>3.0</v>
      </c>
      <c r="P183" s="2" t="s">
        <v>89</v>
      </c>
      <c r="Q183" s="2">
        <v>5.0</v>
      </c>
      <c r="R183" s="2">
        <v>44.0</v>
      </c>
      <c r="S183" s="3">
        <v>45347.0</v>
      </c>
      <c r="T183" s="2" t="s">
        <v>998</v>
      </c>
      <c r="U183" s="2">
        <f t="shared" si="1"/>
        <v>4</v>
      </c>
      <c r="V183" s="2">
        <f t="shared" si="2"/>
        <v>3</v>
      </c>
      <c r="W183" s="2">
        <f t="shared" si="3"/>
        <v>706.89</v>
      </c>
      <c r="X183" s="2">
        <f t="shared" si="4"/>
        <v>750.89</v>
      </c>
      <c r="Y183" s="2">
        <f t="shared" si="5"/>
        <v>0</v>
      </c>
      <c r="Z183" s="2">
        <f t="shared" si="6"/>
        <v>706.89</v>
      </c>
      <c r="AA183" s="2">
        <f t="shared" si="7"/>
        <v>750.89</v>
      </c>
      <c r="AB183" s="2" t="str">
        <f t="shared" si="8"/>
        <v>Wednesday</v>
      </c>
      <c r="AC183" s="2" t="str">
        <f t="shared" si="9"/>
        <v>Weekday</v>
      </c>
      <c r="AD183" s="2" t="str">
        <f t="shared" si="10"/>
        <v>bruce.allen</v>
      </c>
      <c r="AE183" s="2" t="str">
        <f t="shared" si="11"/>
        <v>rediffmail</v>
      </c>
      <c r="AF183" s="2" t="str">
        <f t="shared" si="12"/>
        <v>Bruce Allen</v>
      </c>
      <c r="AG183" s="2" t="str">
        <f t="shared" si="13"/>
        <v>Bruce</v>
      </c>
      <c r="AH183" s="2" t="str">
        <f t="shared" si="14"/>
        <v>Allen</v>
      </c>
      <c r="AI183" s="2" t="str">
        <f t="shared" si="15"/>
        <v>Before Time</v>
      </c>
      <c r="AJ183" s="2" t="str">
        <f t="shared" si="16"/>
        <v>#NAME?</v>
      </c>
    </row>
    <row r="184" ht="14.25" customHeight="1">
      <c r="A184" s="2" t="s">
        <v>19</v>
      </c>
      <c r="B184" s="2" t="s">
        <v>20</v>
      </c>
      <c r="C184" s="2" t="s">
        <v>21</v>
      </c>
      <c r="D184" s="2">
        <v>37.0</v>
      </c>
      <c r="E184" s="2" t="s">
        <v>22</v>
      </c>
      <c r="F184" s="2" t="s">
        <v>23</v>
      </c>
      <c r="G184" s="2" t="s">
        <v>24</v>
      </c>
      <c r="H184" s="2" t="s">
        <v>2092</v>
      </c>
      <c r="I184" s="2" t="s">
        <v>25</v>
      </c>
      <c r="J184" s="2" t="s">
        <v>999</v>
      </c>
      <c r="K184" s="3">
        <v>45095.0</v>
      </c>
      <c r="L184" s="2" t="s">
        <v>1000</v>
      </c>
      <c r="M184" s="2" t="s">
        <v>556</v>
      </c>
      <c r="N184" s="2">
        <v>133.62</v>
      </c>
      <c r="O184" s="2">
        <v>5.0</v>
      </c>
      <c r="P184" s="2" t="s">
        <v>56</v>
      </c>
      <c r="Q184" s="2">
        <v>7.0</v>
      </c>
      <c r="R184" s="2">
        <v>58.0</v>
      </c>
      <c r="S184" s="3">
        <v>45098.0</v>
      </c>
      <c r="T184" s="2" t="s">
        <v>1001</v>
      </c>
      <c r="U184" s="2">
        <f t="shared" si="1"/>
        <v>3</v>
      </c>
      <c r="V184" s="2">
        <f t="shared" si="2"/>
        <v>21</v>
      </c>
      <c r="W184" s="2">
        <f t="shared" si="3"/>
        <v>668.1</v>
      </c>
      <c r="X184" s="2">
        <f t="shared" si="4"/>
        <v>726.1</v>
      </c>
      <c r="Y184" s="2">
        <f t="shared" si="5"/>
        <v>0</v>
      </c>
      <c r="Z184" s="2">
        <f t="shared" si="6"/>
        <v>668.1</v>
      </c>
      <c r="AA184" s="2">
        <f t="shared" si="7"/>
        <v>668.1</v>
      </c>
      <c r="AB184" s="2" t="str">
        <f t="shared" si="8"/>
        <v>Sunday</v>
      </c>
      <c r="AC184" s="2" t="str">
        <f t="shared" si="9"/>
        <v>Weekend</v>
      </c>
      <c r="AD184" s="2" t="str">
        <f t="shared" si="10"/>
        <v>anne.oconnell</v>
      </c>
      <c r="AE184" s="2" t="str">
        <f t="shared" si="11"/>
        <v>outlook</v>
      </c>
      <c r="AF184" s="2" t="str">
        <f t="shared" si="12"/>
        <v>Anne Oconnell</v>
      </c>
      <c r="AG184" s="2" t="str">
        <f t="shared" si="13"/>
        <v>Anne</v>
      </c>
      <c r="AH184" s="2" t="str">
        <f t="shared" si="14"/>
        <v>Oconnell</v>
      </c>
      <c r="AI184" s="2" t="str">
        <f t="shared" si="15"/>
        <v>Before Time</v>
      </c>
      <c r="AJ184" s="2" t="str">
        <f t="shared" si="16"/>
        <v>#NAME?</v>
      </c>
    </row>
    <row r="185" ht="14.25" customHeight="1">
      <c r="A185" s="2" t="s">
        <v>483</v>
      </c>
      <c r="B185" s="2" t="s">
        <v>179</v>
      </c>
      <c r="C185" s="2" t="s">
        <v>320</v>
      </c>
      <c r="D185" s="2">
        <v>39.0</v>
      </c>
      <c r="E185" s="2" t="s">
        <v>45</v>
      </c>
      <c r="F185" s="2" t="s">
        <v>35</v>
      </c>
      <c r="G185" s="2" t="s">
        <v>484</v>
      </c>
      <c r="H185" s="2" t="s">
        <v>2139</v>
      </c>
      <c r="I185" s="2" t="s">
        <v>485</v>
      </c>
      <c r="J185" s="2" t="s">
        <v>1002</v>
      </c>
      <c r="K185" s="3">
        <v>45651.0</v>
      </c>
      <c r="L185" s="2" t="s">
        <v>1003</v>
      </c>
      <c r="M185" s="2" t="s">
        <v>488</v>
      </c>
      <c r="N185" s="2">
        <v>421.7</v>
      </c>
      <c r="O185" s="2">
        <v>2.0</v>
      </c>
      <c r="P185" s="2" t="s">
        <v>29</v>
      </c>
      <c r="Q185" s="2">
        <v>5.0</v>
      </c>
      <c r="R185" s="2">
        <v>45.0</v>
      </c>
      <c r="S185" s="3">
        <v>45653.0</v>
      </c>
      <c r="T185" s="2" t="s">
        <v>1004</v>
      </c>
      <c r="U185" s="2">
        <f t="shared" si="1"/>
        <v>2</v>
      </c>
      <c r="V185" s="2">
        <f t="shared" si="2"/>
        <v>14</v>
      </c>
      <c r="W185" s="2">
        <f t="shared" si="3"/>
        <v>843.4</v>
      </c>
      <c r="X185" s="2">
        <f t="shared" si="4"/>
        <v>888.4</v>
      </c>
      <c r="Y185" s="2">
        <f t="shared" si="5"/>
        <v>0</v>
      </c>
      <c r="Z185" s="2">
        <f t="shared" si="6"/>
        <v>843.4</v>
      </c>
      <c r="AA185" s="2">
        <f t="shared" si="7"/>
        <v>888.4</v>
      </c>
      <c r="AB185" s="2" t="str">
        <f t="shared" si="8"/>
        <v>Wednesday</v>
      </c>
      <c r="AC185" s="2" t="str">
        <f t="shared" si="9"/>
        <v>Weekday</v>
      </c>
      <c r="AD185" s="2" t="str">
        <f t="shared" si="10"/>
        <v>mitchell.parker</v>
      </c>
      <c r="AE185" s="2" t="str">
        <f t="shared" si="11"/>
        <v>yahoo</v>
      </c>
      <c r="AF185" s="2" t="str">
        <f t="shared" si="12"/>
        <v>Mitchell Parker</v>
      </c>
      <c r="AG185" s="2" t="str">
        <f t="shared" si="13"/>
        <v>Mitchell</v>
      </c>
      <c r="AH185" s="2" t="str">
        <f t="shared" si="14"/>
        <v>Parker</v>
      </c>
      <c r="AI185" s="2" t="str">
        <f t="shared" si="15"/>
        <v>Before Time</v>
      </c>
      <c r="AJ185" s="2" t="str">
        <f t="shared" si="16"/>
        <v>#NAME?</v>
      </c>
    </row>
    <row r="186" ht="14.25" customHeight="1">
      <c r="A186" s="2" t="s">
        <v>177</v>
      </c>
      <c r="B186" s="2" t="s">
        <v>178</v>
      </c>
      <c r="C186" s="2" t="s">
        <v>179</v>
      </c>
      <c r="D186" s="2">
        <v>42.0</v>
      </c>
      <c r="E186" s="2" t="s">
        <v>34</v>
      </c>
      <c r="F186" s="2" t="s">
        <v>161</v>
      </c>
      <c r="G186" s="2" t="s">
        <v>180</v>
      </c>
      <c r="H186" s="2" t="s">
        <v>2107</v>
      </c>
      <c r="I186" s="2" t="s">
        <v>181</v>
      </c>
      <c r="J186" s="2" t="s">
        <v>1005</v>
      </c>
      <c r="K186" s="3">
        <v>45455.0</v>
      </c>
      <c r="L186" s="2" t="s">
        <v>1006</v>
      </c>
      <c r="M186" s="2" t="s">
        <v>337</v>
      </c>
      <c r="N186" s="2">
        <v>372.62</v>
      </c>
      <c r="O186" s="2">
        <v>1.0</v>
      </c>
      <c r="P186" s="2" t="s">
        <v>51</v>
      </c>
      <c r="Q186" s="2">
        <v>3.0</v>
      </c>
      <c r="R186" s="2">
        <v>35.0</v>
      </c>
      <c r="S186" s="3">
        <v>45458.0</v>
      </c>
      <c r="T186" s="2" t="s">
        <v>1007</v>
      </c>
      <c r="U186" s="2">
        <f t="shared" si="1"/>
        <v>3</v>
      </c>
      <c r="V186" s="2">
        <f t="shared" si="2"/>
        <v>19</v>
      </c>
      <c r="W186" s="2">
        <f t="shared" si="3"/>
        <v>372.62</v>
      </c>
      <c r="X186" s="2">
        <f t="shared" si="4"/>
        <v>407.62</v>
      </c>
      <c r="Y186" s="2">
        <f t="shared" si="5"/>
        <v>0</v>
      </c>
      <c r="Z186" s="2">
        <f t="shared" si="6"/>
        <v>372.62</v>
      </c>
      <c r="AA186" s="2">
        <f t="shared" si="7"/>
        <v>407.62</v>
      </c>
      <c r="AB186" s="2" t="str">
        <f t="shared" si="8"/>
        <v>Wednesday</v>
      </c>
      <c r="AC186" s="2" t="str">
        <f t="shared" si="9"/>
        <v>Weekday</v>
      </c>
      <c r="AD186" s="2" t="str">
        <f t="shared" si="10"/>
        <v>mallory.mitchell</v>
      </c>
      <c r="AE186" s="2" t="str">
        <f t="shared" si="11"/>
        <v>yahoo</v>
      </c>
      <c r="AF186" s="2" t="str">
        <f t="shared" si="12"/>
        <v>Mallory Mitchell</v>
      </c>
      <c r="AG186" s="2" t="str">
        <f t="shared" si="13"/>
        <v>Mallory</v>
      </c>
      <c r="AH186" s="2" t="str">
        <f t="shared" si="14"/>
        <v>Mitchell</v>
      </c>
      <c r="AI186" s="2" t="str">
        <f t="shared" si="15"/>
        <v>InTime</v>
      </c>
      <c r="AJ186" s="2" t="str">
        <f t="shared" si="16"/>
        <v>#NAME?</v>
      </c>
    </row>
    <row r="187" ht="14.25" customHeight="1">
      <c r="A187" s="2" t="s">
        <v>528</v>
      </c>
      <c r="B187" s="2" t="s">
        <v>529</v>
      </c>
      <c r="C187" s="2" t="s">
        <v>530</v>
      </c>
      <c r="D187" s="2">
        <v>32.0</v>
      </c>
      <c r="E187" s="2" t="s">
        <v>45</v>
      </c>
      <c r="F187" s="2" t="s">
        <v>83</v>
      </c>
      <c r="G187" s="2" t="s">
        <v>531</v>
      </c>
      <c r="H187" s="2" t="s">
        <v>2144</v>
      </c>
      <c r="I187" s="2" t="s">
        <v>532</v>
      </c>
      <c r="J187" s="2" t="s">
        <v>1008</v>
      </c>
      <c r="K187" s="3">
        <v>45455.0</v>
      </c>
      <c r="L187" s="2" t="s">
        <v>1009</v>
      </c>
      <c r="M187" s="2" t="s">
        <v>88</v>
      </c>
      <c r="N187" s="2">
        <v>363.64</v>
      </c>
      <c r="O187" s="2">
        <v>3.0</v>
      </c>
      <c r="P187" s="2" t="s">
        <v>56</v>
      </c>
      <c r="Q187" s="2">
        <v>3.0</v>
      </c>
      <c r="R187" s="2">
        <v>70.0</v>
      </c>
      <c r="S187" s="3">
        <v>45461.0</v>
      </c>
      <c r="T187" s="2" t="s">
        <v>1010</v>
      </c>
      <c r="U187" s="2">
        <f t="shared" si="1"/>
        <v>6</v>
      </c>
      <c r="V187" s="2">
        <f t="shared" si="2"/>
        <v>16</v>
      </c>
      <c r="W187" s="2">
        <f t="shared" si="3"/>
        <v>1090.92</v>
      </c>
      <c r="X187" s="2">
        <f t="shared" si="4"/>
        <v>1160.92</v>
      </c>
      <c r="Y187" s="2">
        <f t="shared" si="5"/>
        <v>0</v>
      </c>
      <c r="Z187" s="2">
        <f t="shared" si="6"/>
        <v>1090.92</v>
      </c>
      <c r="AA187" s="2">
        <f t="shared" si="7"/>
        <v>1090.92</v>
      </c>
      <c r="AB187" s="2" t="str">
        <f t="shared" si="8"/>
        <v>Wednesday</v>
      </c>
      <c r="AC187" s="2" t="str">
        <f t="shared" si="9"/>
        <v>Weekday</v>
      </c>
      <c r="AD187" s="2" t="str">
        <f t="shared" si="10"/>
        <v>brandon.cruz</v>
      </c>
      <c r="AE187" s="2" t="str">
        <f t="shared" si="11"/>
        <v>gmail</v>
      </c>
      <c r="AF187" s="2" t="str">
        <f t="shared" si="12"/>
        <v>Brandon Cruz</v>
      </c>
      <c r="AG187" s="2" t="str">
        <f t="shared" si="13"/>
        <v>Brandon</v>
      </c>
      <c r="AH187" s="2" t="str">
        <f t="shared" si="14"/>
        <v>Cruz</v>
      </c>
      <c r="AI187" s="2" t="str">
        <f t="shared" si="15"/>
        <v>Late</v>
      </c>
      <c r="AJ187" s="2" t="str">
        <f t="shared" si="16"/>
        <v>#NAME?</v>
      </c>
    </row>
    <row r="188" ht="14.25" customHeight="1">
      <c r="A188" s="2" t="s">
        <v>66</v>
      </c>
      <c r="B188" s="2" t="s">
        <v>67</v>
      </c>
      <c r="C188" s="2" t="s">
        <v>68</v>
      </c>
      <c r="D188" s="2">
        <v>53.0</v>
      </c>
      <c r="E188" s="2" t="s">
        <v>45</v>
      </c>
      <c r="F188" s="2" t="s">
        <v>69</v>
      </c>
      <c r="G188" s="2" t="s">
        <v>70</v>
      </c>
      <c r="H188" s="2" t="s">
        <v>2096</v>
      </c>
      <c r="I188" s="2" t="s">
        <v>71</v>
      </c>
      <c r="J188" s="2" t="s">
        <v>1011</v>
      </c>
      <c r="K188" s="3">
        <v>45561.0</v>
      </c>
      <c r="L188" s="2" t="s">
        <v>1012</v>
      </c>
      <c r="M188" s="2" t="s">
        <v>74</v>
      </c>
      <c r="N188" s="2">
        <v>330.11</v>
      </c>
      <c r="O188" s="2">
        <v>4.0</v>
      </c>
      <c r="P188" s="2" t="s">
        <v>78</v>
      </c>
      <c r="Q188" s="2">
        <v>4.0</v>
      </c>
      <c r="R188" s="2">
        <v>47.0</v>
      </c>
      <c r="S188" s="3">
        <v>45566.0</v>
      </c>
      <c r="T188" s="2" t="s">
        <v>1013</v>
      </c>
      <c r="U188" s="2">
        <f t="shared" si="1"/>
        <v>5</v>
      </c>
      <c r="V188" s="2">
        <f t="shared" si="2"/>
        <v>5</v>
      </c>
      <c r="W188" s="2">
        <f t="shared" si="3"/>
        <v>1320.44</v>
      </c>
      <c r="X188" s="2">
        <f t="shared" si="4"/>
        <v>1367.44</v>
      </c>
      <c r="Y188" s="2">
        <f t="shared" si="5"/>
        <v>0</v>
      </c>
      <c r="Z188" s="2">
        <f t="shared" si="6"/>
        <v>1320.44</v>
      </c>
      <c r="AA188" s="2">
        <f t="shared" si="7"/>
        <v>1367.44</v>
      </c>
      <c r="AB188" s="2" t="str">
        <f t="shared" si="8"/>
        <v>Thursday</v>
      </c>
      <c r="AC188" s="2" t="str">
        <f t="shared" si="9"/>
        <v>Weekday</v>
      </c>
      <c r="AD188" s="2" t="str">
        <f t="shared" si="10"/>
        <v>christine.west</v>
      </c>
      <c r="AE188" s="2" t="str">
        <f t="shared" si="11"/>
        <v>gmail</v>
      </c>
      <c r="AF188" s="2" t="str">
        <f t="shared" si="12"/>
        <v>Christine West</v>
      </c>
      <c r="AG188" s="2" t="str">
        <f t="shared" si="13"/>
        <v>Christine</v>
      </c>
      <c r="AH188" s="2" t="str">
        <f t="shared" si="14"/>
        <v>West</v>
      </c>
      <c r="AI188" s="2" t="str">
        <f t="shared" si="15"/>
        <v>Late</v>
      </c>
      <c r="AJ188" s="2" t="str">
        <f t="shared" si="16"/>
        <v>#NAME?</v>
      </c>
    </row>
    <row r="189" ht="14.25" customHeight="1">
      <c r="A189" s="2" t="s">
        <v>309</v>
      </c>
      <c r="B189" s="2" t="s">
        <v>310</v>
      </c>
      <c r="C189" s="2" t="s">
        <v>311</v>
      </c>
      <c r="D189" s="2">
        <v>45.0</v>
      </c>
      <c r="E189" s="2" t="s">
        <v>22</v>
      </c>
      <c r="F189" s="2" t="s">
        <v>35</v>
      </c>
      <c r="G189" s="2" t="s">
        <v>312</v>
      </c>
      <c r="H189" s="2" t="s">
        <v>2120</v>
      </c>
      <c r="I189" s="2" t="s">
        <v>313</v>
      </c>
      <c r="J189" s="2" t="s">
        <v>1014</v>
      </c>
      <c r="K189" s="3">
        <v>45099.0</v>
      </c>
      <c r="L189" s="2" t="s">
        <v>1015</v>
      </c>
      <c r="M189" s="2" t="s">
        <v>934</v>
      </c>
      <c r="N189" s="2">
        <v>107.47</v>
      </c>
      <c r="O189" s="2">
        <v>1.0</v>
      </c>
      <c r="P189" s="2" t="s">
        <v>89</v>
      </c>
      <c r="Q189" s="2">
        <v>5.0</v>
      </c>
      <c r="R189" s="2">
        <v>56.0</v>
      </c>
      <c r="S189" s="3">
        <v>45104.0</v>
      </c>
      <c r="T189" s="2" t="s">
        <v>1016</v>
      </c>
      <c r="U189" s="2">
        <f t="shared" si="1"/>
        <v>5</v>
      </c>
      <c r="V189" s="2">
        <f t="shared" si="2"/>
        <v>13</v>
      </c>
      <c r="W189" s="2">
        <f t="shared" si="3"/>
        <v>107.47</v>
      </c>
      <c r="X189" s="2">
        <f t="shared" si="4"/>
        <v>163.47</v>
      </c>
      <c r="Y189" s="2">
        <f t="shared" si="5"/>
        <v>0</v>
      </c>
      <c r="Z189" s="2">
        <f t="shared" si="6"/>
        <v>107.47</v>
      </c>
      <c r="AA189" s="2">
        <f t="shared" si="7"/>
        <v>163.47</v>
      </c>
      <c r="AB189" s="2" t="str">
        <f t="shared" si="8"/>
        <v>Thursday</v>
      </c>
      <c r="AC189" s="2" t="str">
        <f t="shared" si="9"/>
        <v>Weekday</v>
      </c>
      <c r="AD189" s="2" t="str">
        <f t="shared" si="10"/>
        <v>jenny.estrada</v>
      </c>
      <c r="AE189" s="2" t="str">
        <f t="shared" si="11"/>
        <v>yahoo</v>
      </c>
      <c r="AF189" s="2" t="str">
        <f t="shared" si="12"/>
        <v>Jenny Estrada</v>
      </c>
      <c r="AG189" s="2" t="str">
        <f t="shared" si="13"/>
        <v>Jenny</v>
      </c>
      <c r="AH189" s="2" t="str">
        <f t="shared" si="14"/>
        <v>Estrada</v>
      </c>
      <c r="AI189" s="2" t="str">
        <f t="shared" si="15"/>
        <v>InTime</v>
      </c>
      <c r="AJ189" s="2" t="str">
        <f t="shared" si="16"/>
        <v>#NAME?</v>
      </c>
    </row>
    <row r="190" ht="14.25" customHeight="1">
      <c r="A190" s="2" t="s">
        <v>158</v>
      </c>
      <c r="B190" s="2" t="s">
        <v>159</v>
      </c>
      <c r="C190" s="2" t="s">
        <v>160</v>
      </c>
      <c r="D190" s="2">
        <v>46.0</v>
      </c>
      <c r="E190" s="2" t="s">
        <v>22</v>
      </c>
      <c r="F190" s="2" t="s">
        <v>161</v>
      </c>
      <c r="G190" s="2" t="s">
        <v>162</v>
      </c>
      <c r="H190" s="2" t="s">
        <v>2105</v>
      </c>
      <c r="I190" s="2" t="s">
        <v>163</v>
      </c>
      <c r="J190" s="2" t="s">
        <v>1017</v>
      </c>
      <c r="K190" s="3">
        <v>45586.0</v>
      </c>
      <c r="L190" s="2" t="s">
        <v>1018</v>
      </c>
      <c r="M190" s="2" t="s">
        <v>235</v>
      </c>
      <c r="N190" s="2">
        <v>126.19</v>
      </c>
      <c r="O190" s="2">
        <v>1.0</v>
      </c>
      <c r="P190" s="2" t="s">
        <v>78</v>
      </c>
      <c r="Q190" s="2">
        <v>5.0</v>
      </c>
      <c r="R190" s="2">
        <v>68.0</v>
      </c>
      <c r="S190" s="3">
        <v>45588.0</v>
      </c>
      <c r="T190" s="2" t="s">
        <v>1019</v>
      </c>
      <c r="U190" s="2">
        <f t="shared" si="1"/>
        <v>2</v>
      </c>
      <c r="V190" s="2">
        <f t="shared" si="2"/>
        <v>7</v>
      </c>
      <c r="W190" s="2">
        <f t="shared" si="3"/>
        <v>126.19</v>
      </c>
      <c r="X190" s="2">
        <f t="shared" si="4"/>
        <v>194.19</v>
      </c>
      <c r="Y190" s="2">
        <f t="shared" si="5"/>
        <v>0</v>
      </c>
      <c r="Z190" s="2">
        <f t="shared" si="6"/>
        <v>126.19</v>
      </c>
      <c r="AA190" s="2">
        <f t="shared" si="7"/>
        <v>194.19</v>
      </c>
      <c r="AB190" s="2" t="str">
        <f t="shared" si="8"/>
        <v>Monday</v>
      </c>
      <c r="AC190" s="2" t="str">
        <f t="shared" si="9"/>
        <v>Weekday</v>
      </c>
      <c r="AD190" s="2" t="str">
        <f t="shared" si="10"/>
        <v>erin.miller</v>
      </c>
      <c r="AE190" s="2" t="str">
        <f t="shared" si="11"/>
        <v>gmail</v>
      </c>
      <c r="AF190" s="2" t="str">
        <f t="shared" si="12"/>
        <v>Erin Miller</v>
      </c>
      <c r="AG190" s="2" t="str">
        <f t="shared" si="13"/>
        <v>Erin</v>
      </c>
      <c r="AH190" s="2" t="str">
        <f t="shared" si="14"/>
        <v>Miller</v>
      </c>
      <c r="AI190" s="2" t="str">
        <f t="shared" si="15"/>
        <v>Before Time</v>
      </c>
      <c r="AJ190" s="2" t="str">
        <f t="shared" si="16"/>
        <v>#NAME?</v>
      </c>
    </row>
    <row r="191" ht="14.25" customHeight="1">
      <c r="A191" s="2" t="s">
        <v>639</v>
      </c>
      <c r="B191" s="2" t="s">
        <v>640</v>
      </c>
      <c r="C191" s="2" t="s">
        <v>641</v>
      </c>
      <c r="D191" s="2">
        <v>45.0</v>
      </c>
      <c r="E191" s="2" t="s">
        <v>45</v>
      </c>
      <c r="F191" s="2" t="s">
        <v>83</v>
      </c>
      <c r="G191" s="2" t="s">
        <v>642</v>
      </c>
      <c r="H191" s="2" t="s">
        <v>2151</v>
      </c>
      <c r="I191" s="2" t="s">
        <v>643</v>
      </c>
      <c r="J191" s="2" t="s">
        <v>1020</v>
      </c>
      <c r="K191" s="3">
        <v>45060.0</v>
      </c>
      <c r="L191" s="2" t="s">
        <v>1021</v>
      </c>
      <c r="M191" s="2" t="s">
        <v>741</v>
      </c>
      <c r="N191" s="2">
        <v>381.73</v>
      </c>
      <c r="O191" s="2">
        <v>2.0</v>
      </c>
      <c r="P191" s="2" t="s">
        <v>56</v>
      </c>
      <c r="Q191" s="2">
        <v>5.0</v>
      </c>
      <c r="R191" s="2">
        <v>38.0</v>
      </c>
      <c r="S191" s="3">
        <v>45066.0</v>
      </c>
      <c r="T191" s="2" t="s">
        <v>1022</v>
      </c>
      <c r="U191" s="2">
        <f t="shared" si="1"/>
        <v>6</v>
      </c>
      <c r="V191" s="2">
        <f t="shared" si="2"/>
        <v>12</v>
      </c>
      <c r="W191" s="2">
        <f t="shared" si="3"/>
        <v>763.46</v>
      </c>
      <c r="X191" s="2">
        <f t="shared" si="4"/>
        <v>801.46</v>
      </c>
      <c r="Y191" s="2">
        <f t="shared" si="5"/>
        <v>0</v>
      </c>
      <c r="Z191" s="2">
        <f t="shared" si="6"/>
        <v>763.46</v>
      </c>
      <c r="AA191" s="2">
        <f t="shared" si="7"/>
        <v>763.46</v>
      </c>
      <c r="AB191" s="2" t="str">
        <f t="shared" si="8"/>
        <v>Sunday</v>
      </c>
      <c r="AC191" s="2" t="str">
        <f t="shared" si="9"/>
        <v>Weekend</v>
      </c>
      <c r="AD191" s="2" t="str">
        <f t="shared" si="10"/>
        <v>beth.mason</v>
      </c>
      <c r="AE191" s="2" t="str">
        <f t="shared" si="11"/>
        <v>outlook</v>
      </c>
      <c r="AF191" s="2" t="str">
        <f t="shared" si="12"/>
        <v>Beth Mason</v>
      </c>
      <c r="AG191" s="2" t="str">
        <f t="shared" si="13"/>
        <v>Beth</v>
      </c>
      <c r="AH191" s="2" t="str">
        <f t="shared" si="14"/>
        <v>Mason</v>
      </c>
      <c r="AI191" s="2" t="str">
        <f t="shared" si="15"/>
        <v>Late</v>
      </c>
      <c r="AJ191" s="2" t="str">
        <f t="shared" si="16"/>
        <v>#NAME?</v>
      </c>
    </row>
    <row r="192" ht="14.25" customHeight="1">
      <c r="A192" s="2" t="s">
        <v>468</v>
      </c>
      <c r="B192" s="2" t="s">
        <v>101</v>
      </c>
      <c r="C192" s="2" t="s">
        <v>469</v>
      </c>
      <c r="D192" s="2">
        <v>33.0</v>
      </c>
      <c r="E192" s="2" t="s">
        <v>22</v>
      </c>
      <c r="F192" s="2" t="s">
        <v>161</v>
      </c>
      <c r="G192" s="2" t="s">
        <v>470</v>
      </c>
      <c r="H192" s="2" t="s">
        <v>2137</v>
      </c>
      <c r="I192" s="2" t="s">
        <v>471</v>
      </c>
      <c r="J192" s="2" t="s">
        <v>1023</v>
      </c>
      <c r="K192" s="3">
        <v>45069.0</v>
      </c>
      <c r="L192" s="2" t="s">
        <v>1024</v>
      </c>
      <c r="M192" s="2" t="s">
        <v>864</v>
      </c>
      <c r="N192" s="2">
        <v>292.15</v>
      </c>
      <c r="O192" s="2">
        <v>5.0</v>
      </c>
      <c r="P192" s="2" t="s">
        <v>89</v>
      </c>
      <c r="Q192" s="2">
        <v>6.0</v>
      </c>
      <c r="R192" s="2">
        <v>68.0</v>
      </c>
      <c r="S192" s="3">
        <v>45071.0</v>
      </c>
      <c r="T192" s="2" t="s">
        <v>1025</v>
      </c>
      <c r="U192" s="2">
        <f t="shared" si="1"/>
        <v>2</v>
      </c>
      <c r="V192" s="2">
        <f t="shared" si="2"/>
        <v>22</v>
      </c>
      <c r="W192" s="2">
        <f t="shared" si="3"/>
        <v>1460.75</v>
      </c>
      <c r="X192" s="2">
        <f t="shared" si="4"/>
        <v>1528.75</v>
      </c>
      <c r="Y192" s="2">
        <f t="shared" si="5"/>
        <v>0</v>
      </c>
      <c r="Z192" s="2">
        <f t="shared" si="6"/>
        <v>1460.75</v>
      </c>
      <c r="AA192" s="2">
        <f t="shared" si="7"/>
        <v>1528.75</v>
      </c>
      <c r="AB192" s="2" t="str">
        <f t="shared" si="8"/>
        <v>Tuesday</v>
      </c>
      <c r="AC192" s="2" t="str">
        <f t="shared" si="9"/>
        <v>Weekday</v>
      </c>
      <c r="AD192" s="2" t="str">
        <f t="shared" si="10"/>
        <v>debra.hayes</v>
      </c>
      <c r="AE192" s="2" t="str">
        <f t="shared" si="11"/>
        <v>yahoo</v>
      </c>
      <c r="AF192" s="2" t="str">
        <f t="shared" si="12"/>
        <v>Debra Hayes</v>
      </c>
      <c r="AG192" s="2" t="str">
        <f t="shared" si="13"/>
        <v>Debra</v>
      </c>
      <c r="AH192" s="2" t="str">
        <f t="shared" si="14"/>
        <v>Hayes</v>
      </c>
      <c r="AI192" s="2" t="str">
        <f t="shared" si="15"/>
        <v>Before Time</v>
      </c>
      <c r="AJ192" s="2" t="str">
        <f t="shared" si="16"/>
        <v>#NAME?</v>
      </c>
    </row>
    <row r="193" ht="14.25" customHeight="1">
      <c r="A193" s="2" t="s">
        <v>483</v>
      </c>
      <c r="B193" s="2" t="s">
        <v>179</v>
      </c>
      <c r="C193" s="2" t="s">
        <v>320</v>
      </c>
      <c r="D193" s="2">
        <v>39.0</v>
      </c>
      <c r="E193" s="2" t="s">
        <v>45</v>
      </c>
      <c r="F193" s="2" t="s">
        <v>35</v>
      </c>
      <c r="G193" s="2" t="s">
        <v>484</v>
      </c>
      <c r="H193" s="2" t="s">
        <v>2139</v>
      </c>
      <c r="I193" s="2" t="s">
        <v>485</v>
      </c>
      <c r="J193" s="2" t="s">
        <v>1026</v>
      </c>
      <c r="K193" s="3">
        <v>45036.0</v>
      </c>
      <c r="L193" s="2" t="s">
        <v>1027</v>
      </c>
      <c r="M193" s="2" t="s">
        <v>507</v>
      </c>
      <c r="N193" s="2">
        <v>136.3</v>
      </c>
      <c r="O193" s="2">
        <v>3.0</v>
      </c>
      <c r="P193" s="2" t="s">
        <v>51</v>
      </c>
      <c r="Q193" s="2">
        <v>6.0</v>
      </c>
      <c r="R193" s="2">
        <v>42.0</v>
      </c>
      <c r="S193" s="3">
        <v>45043.0</v>
      </c>
      <c r="T193" s="2" t="s">
        <v>1028</v>
      </c>
      <c r="U193" s="2">
        <f t="shared" si="1"/>
        <v>7</v>
      </c>
      <c r="V193" s="2">
        <f t="shared" si="2"/>
        <v>1</v>
      </c>
      <c r="W193" s="2">
        <f t="shared" si="3"/>
        <v>408.9</v>
      </c>
      <c r="X193" s="2">
        <f t="shared" si="4"/>
        <v>450.9</v>
      </c>
      <c r="Y193" s="2">
        <f t="shared" si="5"/>
        <v>0</v>
      </c>
      <c r="Z193" s="2">
        <f t="shared" si="6"/>
        <v>408.9</v>
      </c>
      <c r="AA193" s="2">
        <f t="shared" si="7"/>
        <v>450.9</v>
      </c>
      <c r="AB193" s="2" t="str">
        <f t="shared" si="8"/>
        <v>Thursday</v>
      </c>
      <c r="AC193" s="2" t="str">
        <f t="shared" si="9"/>
        <v>Weekday</v>
      </c>
      <c r="AD193" s="2" t="str">
        <f t="shared" si="10"/>
        <v>mitchell.parker</v>
      </c>
      <c r="AE193" s="2" t="str">
        <f t="shared" si="11"/>
        <v>yahoo</v>
      </c>
      <c r="AF193" s="2" t="str">
        <f t="shared" si="12"/>
        <v>Mitchell Parker</v>
      </c>
      <c r="AG193" s="2" t="str">
        <f t="shared" si="13"/>
        <v>Mitchell</v>
      </c>
      <c r="AH193" s="2" t="str">
        <f t="shared" si="14"/>
        <v>Parker</v>
      </c>
      <c r="AI193" s="2" t="str">
        <f t="shared" si="15"/>
        <v>Late</v>
      </c>
      <c r="AJ193" s="2" t="str">
        <f t="shared" si="16"/>
        <v>#NAME?</v>
      </c>
    </row>
    <row r="194" ht="14.25" customHeight="1">
      <c r="A194" s="2" t="s">
        <v>632</v>
      </c>
      <c r="B194" s="2" t="s">
        <v>141</v>
      </c>
      <c r="C194" s="2" t="s">
        <v>633</v>
      </c>
      <c r="D194" s="2">
        <v>44.0</v>
      </c>
      <c r="E194" s="2" t="s">
        <v>45</v>
      </c>
      <c r="F194" s="2" t="s">
        <v>83</v>
      </c>
      <c r="G194" s="2" t="s">
        <v>634</v>
      </c>
      <c r="H194" s="2" t="s">
        <v>2150</v>
      </c>
      <c r="I194" s="2" t="s">
        <v>635</v>
      </c>
      <c r="J194" s="2" t="s">
        <v>1029</v>
      </c>
      <c r="K194" s="3">
        <v>45208.0</v>
      </c>
      <c r="L194" s="2" t="s">
        <v>1030</v>
      </c>
      <c r="M194" s="2" t="s">
        <v>583</v>
      </c>
      <c r="N194" s="2">
        <v>403.03</v>
      </c>
      <c r="O194" s="2">
        <v>3.0</v>
      </c>
      <c r="P194" s="2" t="s">
        <v>51</v>
      </c>
      <c r="Q194" s="2">
        <v>4.0</v>
      </c>
      <c r="R194" s="2">
        <v>67.0</v>
      </c>
      <c r="S194" s="3">
        <v>45213.0</v>
      </c>
      <c r="T194" s="2" t="s">
        <v>1031</v>
      </c>
      <c r="U194" s="2">
        <f t="shared" si="1"/>
        <v>5</v>
      </c>
      <c r="V194" s="2">
        <f t="shared" si="2"/>
        <v>15</v>
      </c>
      <c r="W194" s="2">
        <f t="shared" si="3"/>
        <v>1209.09</v>
      </c>
      <c r="X194" s="2">
        <f t="shared" si="4"/>
        <v>1276.09</v>
      </c>
      <c r="Y194" s="2">
        <f t="shared" si="5"/>
        <v>0</v>
      </c>
      <c r="Z194" s="2">
        <f t="shared" si="6"/>
        <v>1209.09</v>
      </c>
      <c r="AA194" s="2">
        <f t="shared" si="7"/>
        <v>1276.09</v>
      </c>
      <c r="AB194" s="2" t="str">
        <f t="shared" si="8"/>
        <v>Monday</v>
      </c>
      <c r="AC194" s="2" t="str">
        <f t="shared" si="9"/>
        <v>Weekday</v>
      </c>
      <c r="AD194" s="2" t="str">
        <f t="shared" si="10"/>
        <v>amy.ellis</v>
      </c>
      <c r="AE194" s="2" t="str">
        <f t="shared" si="11"/>
        <v>gmail</v>
      </c>
      <c r="AF194" s="2" t="str">
        <f t="shared" si="12"/>
        <v>Amy Ellis</v>
      </c>
      <c r="AG194" s="2" t="str">
        <f t="shared" si="13"/>
        <v>Amy</v>
      </c>
      <c r="AH194" s="2" t="str">
        <f t="shared" si="14"/>
        <v>Ellis</v>
      </c>
      <c r="AI194" s="2" t="str">
        <f t="shared" si="15"/>
        <v>Late</v>
      </c>
      <c r="AJ194" s="2" t="str">
        <f t="shared" si="16"/>
        <v>#NAME?</v>
      </c>
    </row>
    <row r="195" ht="14.25" customHeight="1">
      <c r="A195" s="2" t="s">
        <v>428</v>
      </c>
      <c r="B195" s="2" t="s">
        <v>429</v>
      </c>
      <c r="C195" s="2" t="s">
        <v>430</v>
      </c>
      <c r="D195" s="2">
        <v>28.0</v>
      </c>
      <c r="E195" s="2" t="s">
        <v>45</v>
      </c>
      <c r="F195" s="2" t="s">
        <v>69</v>
      </c>
      <c r="G195" s="2" t="s">
        <v>431</v>
      </c>
      <c r="H195" s="2" t="s">
        <v>2132</v>
      </c>
      <c r="I195" s="2" t="s">
        <v>432</v>
      </c>
      <c r="J195" s="2" t="s">
        <v>1032</v>
      </c>
      <c r="K195" s="3">
        <v>45241.0</v>
      </c>
      <c r="L195" s="2" t="s">
        <v>1033</v>
      </c>
      <c r="M195" s="2" t="s">
        <v>630</v>
      </c>
      <c r="N195" s="2">
        <v>445.81</v>
      </c>
      <c r="O195" s="2">
        <v>2.0</v>
      </c>
      <c r="P195" s="2" t="s">
        <v>56</v>
      </c>
      <c r="Q195" s="2">
        <v>7.0</v>
      </c>
      <c r="R195" s="2">
        <v>67.0</v>
      </c>
      <c r="S195" s="3">
        <v>45242.0</v>
      </c>
      <c r="T195" s="2" t="s">
        <v>1034</v>
      </c>
      <c r="U195" s="2">
        <f t="shared" si="1"/>
        <v>1</v>
      </c>
      <c r="V195" s="2">
        <f t="shared" si="2"/>
        <v>6</v>
      </c>
      <c r="W195" s="2">
        <f t="shared" si="3"/>
        <v>891.62</v>
      </c>
      <c r="X195" s="2">
        <f t="shared" si="4"/>
        <v>958.62</v>
      </c>
      <c r="Y195" s="2">
        <f t="shared" si="5"/>
        <v>0</v>
      </c>
      <c r="Z195" s="2">
        <f t="shared" si="6"/>
        <v>891.62</v>
      </c>
      <c r="AA195" s="2">
        <f t="shared" si="7"/>
        <v>891.62</v>
      </c>
      <c r="AB195" s="2" t="str">
        <f t="shared" si="8"/>
        <v>Saturday</v>
      </c>
      <c r="AC195" s="2" t="str">
        <f t="shared" si="9"/>
        <v>Weekend</v>
      </c>
      <c r="AD195" s="2" t="str">
        <f t="shared" si="10"/>
        <v>mary.knight</v>
      </c>
      <c r="AE195" s="2" t="str">
        <f t="shared" si="11"/>
        <v>yahoo</v>
      </c>
      <c r="AF195" s="2" t="str">
        <f t="shared" si="12"/>
        <v>Mary Knight</v>
      </c>
      <c r="AG195" s="2" t="str">
        <f t="shared" si="13"/>
        <v>Mary</v>
      </c>
      <c r="AH195" s="2" t="str">
        <f t="shared" si="14"/>
        <v>Knight</v>
      </c>
      <c r="AI195" s="2" t="str">
        <f t="shared" si="15"/>
        <v>Before Time</v>
      </c>
      <c r="AJ195" s="2" t="str">
        <f t="shared" si="16"/>
        <v>#NAME?</v>
      </c>
    </row>
    <row r="196" ht="14.25" customHeight="1">
      <c r="A196" s="2" t="s">
        <v>1035</v>
      </c>
      <c r="B196" s="2" t="s">
        <v>67</v>
      </c>
      <c r="C196" s="2" t="s">
        <v>1036</v>
      </c>
      <c r="D196" s="2">
        <v>46.0</v>
      </c>
      <c r="E196" s="2" t="s">
        <v>22</v>
      </c>
      <c r="F196" s="2" t="s">
        <v>23</v>
      </c>
      <c r="G196" s="2" t="s">
        <v>1037</v>
      </c>
      <c r="H196" s="2" t="s">
        <v>2173</v>
      </c>
      <c r="I196" s="2" t="s">
        <v>1038</v>
      </c>
      <c r="J196" s="2" t="s">
        <v>1039</v>
      </c>
      <c r="K196" s="3">
        <v>45051.0</v>
      </c>
      <c r="L196" s="2" t="s">
        <v>1040</v>
      </c>
      <c r="M196" s="2" t="s">
        <v>301</v>
      </c>
      <c r="N196" s="2">
        <v>129.75</v>
      </c>
      <c r="O196" s="2">
        <v>5.0</v>
      </c>
      <c r="P196" s="2" t="s">
        <v>78</v>
      </c>
      <c r="Q196" s="2">
        <v>6.0</v>
      </c>
      <c r="R196" s="2">
        <v>38.0</v>
      </c>
      <c r="S196" s="3">
        <v>45057.0</v>
      </c>
      <c r="T196" s="2" t="s">
        <v>1041</v>
      </c>
      <c r="U196" s="2">
        <f t="shared" si="1"/>
        <v>6</v>
      </c>
      <c r="V196" s="2">
        <f t="shared" si="2"/>
        <v>8</v>
      </c>
      <c r="W196" s="2">
        <f t="shared" si="3"/>
        <v>648.75</v>
      </c>
      <c r="X196" s="2">
        <f t="shared" si="4"/>
        <v>686.75</v>
      </c>
      <c r="Y196" s="2">
        <f t="shared" si="5"/>
        <v>0</v>
      </c>
      <c r="Z196" s="2">
        <f t="shared" si="6"/>
        <v>648.75</v>
      </c>
      <c r="AA196" s="2">
        <f t="shared" si="7"/>
        <v>686.75</v>
      </c>
      <c r="AB196" s="2" t="str">
        <f t="shared" si="8"/>
        <v>Friday</v>
      </c>
      <c r="AC196" s="2" t="str">
        <f t="shared" si="9"/>
        <v>Weekday</v>
      </c>
      <c r="AD196" s="2" t="str">
        <f t="shared" si="10"/>
        <v>christine.aguilar</v>
      </c>
      <c r="AE196" s="2" t="str">
        <f t="shared" si="11"/>
        <v>gmail</v>
      </c>
      <c r="AF196" s="2" t="str">
        <f t="shared" si="12"/>
        <v>Christine Aguilar</v>
      </c>
      <c r="AG196" s="2" t="str">
        <f t="shared" si="13"/>
        <v>Christine</v>
      </c>
      <c r="AH196" s="2" t="str">
        <f t="shared" si="14"/>
        <v>Aguilar</v>
      </c>
      <c r="AI196" s="2" t="str">
        <f t="shared" si="15"/>
        <v>InTime</v>
      </c>
      <c r="AJ196" s="2" t="str">
        <f t="shared" si="16"/>
        <v>#NAME?</v>
      </c>
    </row>
    <row r="197" ht="14.25" customHeight="1">
      <c r="A197" s="2" t="s">
        <v>500</v>
      </c>
      <c r="B197" s="2" t="s">
        <v>501</v>
      </c>
      <c r="C197" s="2" t="s">
        <v>502</v>
      </c>
      <c r="D197" s="2">
        <v>64.0</v>
      </c>
      <c r="E197" s="2" t="s">
        <v>22</v>
      </c>
      <c r="F197" s="2" t="s">
        <v>23</v>
      </c>
      <c r="G197" s="2" t="s">
        <v>503</v>
      </c>
      <c r="H197" s="2" t="s">
        <v>2141</v>
      </c>
      <c r="I197" s="2" t="s">
        <v>504</v>
      </c>
      <c r="J197" s="2" t="s">
        <v>1042</v>
      </c>
      <c r="K197" s="3">
        <v>45282.0</v>
      </c>
      <c r="L197" s="2" t="s">
        <v>1043</v>
      </c>
      <c r="M197" s="2" t="s">
        <v>977</v>
      </c>
      <c r="N197" s="2">
        <v>33.49</v>
      </c>
      <c r="O197" s="2">
        <v>3.0</v>
      </c>
      <c r="P197" s="2" t="s">
        <v>51</v>
      </c>
      <c r="Q197" s="2">
        <v>2.0</v>
      </c>
      <c r="R197" s="2">
        <v>62.0</v>
      </c>
      <c r="S197" s="3">
        <v>45284.0</v>
      </c>
      <c r="T197" s="2" t="s">
        <v>1044</v>
      </c>
      <c r="U197" s="2">
        <f t="shared" si="1"/>
        <v>2</v>
      </c>
      <c r="V197" s="2">
        <f t="shared" si="2"/>
        <v>14</v>
      </c>
      <c r="W197" s="2">
        <f t="shared" si="3"/>
        <v>100.47</v>
      </c>
      <c r="X197" s="2">
        <f t="shared" si="4"/>
        <v>162.47</v>
      </c>
      <c r="Y197" s="2">
        <f t="shared" si="5"/>
        <v>0</v>
      </c>
      <c r="Z197" s="2">
        <f t="shared" si="6"/>
        <v>100.47</v>
      </c>
      <c r="AA197" s="2">
        <f t="shared" si="7"/>
        <v>162.47</v>
      </c>
      <c r="AB197" s="2" t="str">
        <f t="shared" si="8"/>
        <v>Friday</v>
      </c>
      <c r="AC197" s="2" t="str">
        <f t="shared" si="9"/>
        <v>Weekday</v>
      </c>
      <c r="AD197" s="2" t="str">
        <f t="shared" si="10"/>
        <v>sarah.butler</v>
      </c>
      <c r="AE197" s="2" t="str">
        <f t="shared" si="11"/>
        <v>rediffmail</v>
      </c>
      <c r="AF197" s="2" t="str">
        <f t="shared" si="12"/>
        <v>Sarah Butler</v>
      </c>
      <c r="AG197" s="2" t="str">
        <f t="shared" si="13"/>
        <v>Sarah</v>
      </c>
      <c r="AH197" s="2" t="str">
        <f t="shared" si="14"/>
        <v>Butler</v>
      </c>
      <c r="AI197" s="2" t="str">
        <f t="shared" si="15"/>
        <v>InTime</v>
      </c>
      <c r="AJ197" s="2" t="str">
        <f t="shared" si="16"/>
        <v>#NAME?</v>
      </c>
    </row>
    <row r="198" ht="14.25" customHeight="1">
      <c r="A198" s="2" t="s">
        <v>528</v>
      </c>
      <c r="B198" s="2" t="s">
        <v>529</v>
      </c>
      <c r="C198" s="2" t="s">
        <v>530</v>
      </c>
      <c r="D198" s="2">
        <v>32.0</v>
      </c>
      <c r="E198" s="2" t="s">
        <v>45</v>
      </c>
      <c r="F198" s="2" t="s">
        <v>83</v>
      </c>
      <c r="G198" s="2" t="s">
        <v>531</v>
      </c>
      <c r="H198" s="2" t="s">
        <v>2144</v>
      </c>
      <c r="I198" s="2" t="s">
        <v>532</v>
      </c>
      <c r="J198" s="2" t="s">
        <v>1045</v>
      </c>
      <c r="K198" s="3">
        <v>45689.0</v>
      </c>
      <c r="L198" s="2" t="s">
        <v>1046</v>
      </c>
      <c r="M198" s="2" t="s">
        <v>74</v>
      </c>
      <c r="N198" s="2">
        <v>330.11</v>
      </c>
      <c r="O198" s="2">
        <v>4.0</v>
      </c>
      <c r="P198" s="2" t="s">
        <v>78</v>
      </c>
      <c r="Q198" s="2">
        <v>2.0</v>
      </c>
      <c r="R198" s="2">
        <v>69.0</v>
      </c>
      <c r="S198" s="3">
        <v>45695.0</v>
      </c>
      <c r="T198" s="2" t="s">
        <v>1047</v>
      </c>
      <c r="U198" s="2">
        <f t="shared" si="1"/>
        <v>6</v>
      </c>
      <c r="V198" s="2">
        <f t="shared" si="2"/>
        <v>15</v>
      </c>
      <c r="W198" s="2">
        <f t="shared" si="3"/>
        <v>1320.44</v>
      </c>
      <c r="X198" s="2">
        <f t="shared" si="4"/>
        <v>1389.44</v>
      </c>
      <c r="Y198" s="2">
        <f t="shared" si="5"/>
        <v>0</v>
      </c>
      <c r="Z198" s="2">
        <f t="shared" si="6"/>
        <v>1320.44</v>
      </c>
      <c r="AA198" s="2">
        <f t="shared" si="7"/>
        <v>1389.44</v>
      </c>
      <c r="AB198" s="2" t="str">
        <f t="shared" si="8"/>
        <v>Saturday</v>
      </c>
      <c r="AC198" s="2" t="str">
        <f t="shared" si="9"/>
        <v>Weekend</v>
      </c>
      <c r="AD198" s="2" t="str">
        <f t="shared" si="10"/>
        <v>brandon.cruz</v>
      </c>
      <c r="AE198" s="2" t="str">
        <f t="shared" si="11"/>
        <v>gmail</v>
      </c>
      <c r="AF198" s="2" t="str">
        <f t="shared" si="12"/>
        <v>Brandon Cruz</v>
      </c>
      <c r="AG198" s="2" t="str">
        <f t="shared" si="13"/>
        <v>Brandon</v>
      </c>
      <c r="AH198" s="2" t="str">
        <f t="shared" si="14"/>
        <v>Cruz</v>
      </c>
      <c r="AI198" s="2" t="str">
        <f t="shared" si="15"/>
        <v>Late</v>
      </c>
      <c r="AJ198" s="2" t="str">
        <f t="shared" si="16"/>
        <v>#NAME?</v>
      </c>
    </row>
    <row r="199" ht="14.25" customHeight="1">
      <c r="A199" s="2" t="s">
        <v>394</v>
      </c>
      <c r="B199" s="2" t="s">
        <v>395</v>
      </c>
      <c r="C199" s="2" t="s">
        <v>396</v>
      </c>
      <c r="D199" s="2">
        <v>70.0</v>
      </c>
      <c r="E199" s="2" t="s">
        <v>22</v>
      </c>
      <c r="F199" s="2" t="s">
        <v>23</v>
      </c>
      <c r="G199" s="2" t="s">
        <v>397</v>
      </c>
      <c r="H199" s="2" t="s">
        <v>2129</v>
      </c>
      <c r="I199" s="2" t="s">
        <v>398</v>
      </c>
      <c r="J199" s="2" t="s">
        <v>1048</v>
      </c>
      <c r="K199" s="3">
        <v>45045.0</v>
      </c>
      <c r="L199" s="2" t="s">
        <v>1049</v>
      </c>
      <c r="M199" s="2" t="s">
        <v>50</v>
      </c>
      <c r="N199" s="2">
        <v>202.54</v>
      </c>
      <c r="O199" s="2">
        <v>5.0</v>
      </c>
      <c r="P199" s="2" t="s">
        <v>51</v>
      </c>
      <c r="Q199" s="2">
        <v>1.0</v>
      </c>
      <c r="R199" s="2">
        <v>47.0</v>
      </c>
      <c r="S199" s="3">
        <v>45051.0</v>
      </c>
      <c r="T199" s="2" t="s">
        <v>1050</v>
      </c>
      <c r="U199" s="2">
        <f t="shared" si="1"/>
        <v>6</v>
      </c>
      <c r="V199" s="2">
        <f t="shared" si="2"/>
        <v>22</v>
      </c>
      <c r="W199" s="2">
        <f t="shared" si="3"/>
        <v>1012.7</v>
      </c>
      <c r="X199" s="2">
        <f t="shared" si="4"/>
        <v>1059.7</v>
      </c>
      <c r="Y199" s="2">
        <f t="shared" si="5"/>
        <v>0</v>
      </c>
      <c r="Z199" s="2">
        <f t="shared" si="6"/>
        <v>1012.7</v>
      </c>
      <c r="AA199" s="2">
        <f t="shared" si="7"/>
        <v>1059.7</v>
      </c>
      <c r="AB199" s="2" t="str">
        <f t="shared" si="8"/>
        <v>Saturday</v>
      </c>
      <c r="AC199" s="2" t="str">
        <f t="shared" si="9"/>
        <v>Weekend</v>
      </c>
      <c r="AD199" s="2" t="str">
        <f t="shared" si="10"/>
        <v>alexandra.smith</v>
      </c>
      <c r="AE199" s="2" t="str">
        <f t="shared" si="11"/>
        <v>rediffmail</v>
      </c>
      <c r="AF199" s="2" t="str">
        <f t="shared" si="12"/>
        <v>Alexandra Smith</v>
      </c>
      <c r="AG199" s="2" t="str">
        <f t="shared" si="13"/>
        <v>Alexandra</v>
      </c>
      <c r="AH199" s="2" t="str">
        <f t="shared" si="14"/>
        <v>Smith</v>
      </c>
      <c r="AI199" s="2" t="str">
        <f t="shared" si="15"/>
        <v>Late</v>
      </c>
      <c r="AJ199" s="2" t="str">
        <f t="shared" si="16"/>
        <v>#NAME?</v>
      </c>
    </row>
    <row r="200" ht="14.25" customHeight="1">
      <c r="A200" s="2" t="s">
        <v>568</v>
      </c>
      <c r="B200" s="2" t="s">
        <v>249</v>
      </c>
      <c r="C200" s="2" t="s">
        <v>569</v>
      </c>
      <c r="D200" s="2">
        <v>35.0</v>
      </c>
      <c r="E200" s="2" t="s">
        <v>22</v>
      </c>
      <c r="F200" s="2" t="s">
        <v>23</v>
      </c>
      <c r="G200" s="2" t="s">
        <v>570</v>
      </c>
      <c r="H200" s="2" t="s">
        <v>2146</v>
      </c>
      <c r="I200" s="2" t="s">
        <v>571</v>
      </c>
      <c r="J200" s="2" t="s">
        <v>1051</v>
      </c>
      <c r="K200" s="3">
        <v>45253.0</v>
      </c>
      <c r="L200" s="2" t="s">
        <v>1052</v>
      </c>
      <c r="M200" s="2" t="s">
        <v>40</v>
      </c>
      <c r="N200" s="2">
        <v>166.28</v>
      </c>
      <c r="O200" s="2">
        <v>4.0</v>
      </c>
      <c r="P200" s="2" t="s">
        <v>89</v>
      </c>
      <c r="Q200" s="2">
        <v>4.0</v>
      </c>
      <c r="R200" s="2">
        <v>44.0</v>
      </c>
      <c r="S200" s="3">
        <v>45257.0</v>
      </c>
      <c r="T200" s="2" t="s">
        <v>1053</v>
      </c>
      <c r="U200" s="2">
        <f t="shared" si="1"/>
        <v>4</v>
      </c>
      <c r="V200" s="2">
        <f t="shared" si="2"/>
        <v>0</v>
      </c>
      <c r="W200" s="2">
        <f t="shared" si="3"/>
        <v>665.12</v>
      </c>
      <c r="X200" s="2">
        <f t="shared" si="4"/>
        <v>709.12</v>
      </c>
      <c r="Y200" s="2">
        <f t="shared" si="5"/>
        <v>0</v>
      </c>
      <c r="Z200" s="2">
        <f t="shared" si="6"/>
        <v>665.12</v>
      </c>
      <c r="AA200" s="2">
        <f t="shared" si="7"/>
        <v>709.12</v>
      </c>
      <c r="AB200" s="2" t="str">
        <f t="shared" si="8"/>
        <v>Thursday</v>
      </c>
      <c r="AC200" s="2" t="str">
        <f t="shared" si="9"/>
        <v>Weekday</v>
      </c>
      <c r="AD200" s="2" t="str">
        <f t="shared" si="10"/>
        <v>ashley.romero</v>
      </c>
      <c r="AE200" s="2" t="str">
        <f t="shared" si="11"/>
        <v>yahoo</v>
      </c>
      <c r="AF200" s="2" t="str">
        <f t="shared" si="12"/>
        <v>Ashley Romero</v>
      </c>
      <c r="AG200" s="2" t="str">
        <f t="shared" si="13"/>
        <v>Ashley</v>
      </c>
      <c r="AH200" s="2" t="str">
        <f t="shared" si="14"/>
        <v>Romero</v>
      </c>
      <c r="AI200" s="2" t="str">
        <f t="shared" si="15"/>
        <v>InTime</v>
      </c>
      <c r="AJ200" s="2" t="str">
        <f t="shared" si="16"/>
        <v>#NAME?</v>
      </c>
    </row>
    <row r="201" ht="14.25" customHeight="1">
      <c r="A201" s="2" t="s">
        <v>428</v>
      </c>
      <c r="B201" s="2" t="s">
        <v>429</v>
      </c>
      <c r="C201" s="2" t="s">
        <v>430</v>
      </c>
      <c r="D201" s="2">
        <v>28.0</v>
      </c>
      <c r="E201" s="2" t="s">
        <v>45</v>
      </c>
      <c r="F201" s="2" t="s">
        <v>69</v>
      </c>
      <c r="G201" s="2" t="s">
        <v>431</v>
      </c>
      <c r="H201" s="2" t="s">
        <v>2132</v>
      </c>
      <c r="I201" s="2" t="s">
        <v>432</v>
      </c>
      <c r="J201" s="2" t="s">
        <v>1054</v>
      </c>
      <c r="K201" s="3">
        <v>45523.0</v>
      </c>
      <c r="L201" s="2" t="s">
        <v>1055</v>
      </c>
      <c r="M201" s="2" t="s">
        <v>864</v>
      </c>
      <c r="N201" s="2">
        <v>292.15</v>
      </c>
      <c r="O201" s="2">
        <v>2.0</v>
      </c>
      <c r="P201" s="2" t="s">
        <v>51</v>
      </c>
      <c r="Q201" s="2">
        <v>4.0</v>
      </c>
      <c r="R201" s="2">
        <v>58.0</v>
      </c>
      <c r="S201" s="3">
        <v>45526.0</v>
      </c>
      <c r="T201" s="2" t="s">
        <v>1056</v>
      </c>
      <c r="U201" s="2">
        <f t="shared" si="1"/>
        <v>3</v>
      </c>
      <c r="V201" s="2">
        <f t="shared" si="2"/>
        <v>22</v>
      </c>
      <c r="W201" s="2">
        <f t="shared" si="3"/>
        <v>584.3</v>
      </c>
      <c r="X201" s="2">
        <f t="shared" si="4"/>
        <v>642.3</v>
      </c>
      <c r="Y201" s="2">
        <f t="shared" si="5"/>
        <v>0</v>
      </c>
      <c r="Z201" s="2">
        <f t="shared" si="6"/>
        <v>584.3</v>
      </c>
      <c r="AA201" s="2">
        <f t="shared" si="7"/>
        <v>642.3</v>
      </c>
      <c r="AB201" s="2" t="str">
        <f t="shared" si="8"/>
        <v>Monday</v>
      </c>
      <c r="AC201" s="2" t="str">
        <f t="shared" si="9"/>
        <v>Weekday</v>
      </c>
      <c r="AD201" s="2" t="str">
        <f t="shared" si="10"/>
        <v>mary.knight</v>
      </c>
      <c r="AE201" s="2" t="str">
        <f t="shared" si="11"/>
        <v>yahoo</v>
      </c>
      <c r="AF201" s="2" t="str">
        <f t="shared" si="12"/>
        <v>Mary Knight</v>
      </c>
      <c r="AG201" s="2" t="str">
        <f t="shared" si="13"/>
        <v>Mary</v>
      </c>
      <c r="AH201" s="2" t="str">
        <f t="shared" si="14"/>
        <v>Knight</v>
      </c>
      <c r="AI201" s="2" t="str">
        <f t="shared" si="15"/>
        <v>Before Time</v>
      </c>
      <c r="AJ201" s="2" t="str">
        <f t="shared" si="16"/>
        <v>#NAME?</v>
      </c>
    </row>
    <row r="202" ht="14.25" customHeight="1">
      <c r="A202" s="2" t="s">
        <v>1035</v>
      </c>
      <c r="B202" s="2" t="s">
        <v>67</v>
      </c>
      <c r="C202" s="2" t="s">
        <v>1036</v>
      </c>
      <c r="D202" s="2">
        <v>46.0</v>
      </c>
      <c r="E202" s="2" t="s">
        <v>22</v>
      </c>
      <c r="F202" s="2" t="s">
        <v>23</v>
      </c>
      <c r="G202" s="2" t="s">
        <v>1037</v>
      </c>
      <c r="H202" s="2" t="s">
        <v>2173</v>
      </c>
      <c r="I202" s="2" t="s">
        <v>1038</v>
      </c>
      <c r="J202" s="2" t="s">
        <v>1057</v>
      </c>
      <c r="K202" s="3">
        <v>45481.0</v>
      </c>
      <c r="L202" s="2" t="s">
        <v>1058</v>
      </c>
      <c r="M202" s="2" t="s">
        <v>166</v>
      </c>
      <c r="N202" s="2">
        <v>272.51</v>
      </c>
      <c r="O202" s="2">
        <v>4.0</v>
      </c>
      <c r="P202" s="2" t="s">
        <v>56</v>
      </c>
      <c r="Q202" s="2">
        <v>7.0</v>
      </c>
      <c r="R202" s="2">
        <v>38.0</v>
      </c>
      <c r="S202" s="3">
        <v>45482.0</v>
      </c>
      <c r="T202" s="2" t="s">
        <v>1059</v>
      </c>
      <c r="U202" s="2">
        <f t="shared" si="1"/>
        <v>1</v>
      </c>
      <c r="V202" s="2">
        <f t="shared" si="2"/>
        <v>8</v>
      </c>
      <c r="W202" s="2">
        <f t="shared" si="3"/>
        <v>1090.04</v>
      </c>
      <c r="X202" s="2">
        <f t="shared" si="4"/>
        <v>1128.04</v>
      </c>
      <c r="Y202" s="2">
        <f t="shared" si="5"/>
        <v>0</v>
      </c>
      <c r="Z202" s="2">
        <f t="shared" si="6"/>
        <v>1090.04</v>
      </c>
      <c r="AA202" s="2">
        <f t="shared" si="7"/>
        <v>1090.04</v>
      </c>
      <c r="AB202" s="2" t="str">
        <f t="shared" si="8"/>
        <v>Monday</v>
      </c>
      <c r="AC202" s="2" t="str">
        <f t="shared" si="9"/>
        <v>Weekday</v>
      </c>
      <c r="AD202" s="2" t="str">
        <f t="shared" si="10"/>
        <v>christine.aguilar</v>
      </c>
      <c r="AE202" s="2" t="str">
        <f t="shared" si="11"/>
        <v>gmail</v>
      </c>
      <c r="AF202" s="2" t="str">
        <f t="shared" si="12"/>
        <v>Christine Aguilar</v>
      </c>
      <c r="AG202" s="2" t="str">
        <f t="shared" si="13"/>
        <v>Christine</v>
      </c>
      <c r="AH202" s="2" t="str">
        <f t="shared" si="14"/>
        <v>Aguilar</v>
      </c>
      <c r="AI202" s="2" t="str">
        <f t="shared" si="15"/>
        <v>Before Time</v>
      </c>
      <c r="AJ202" s="2" t="str">
        <f t="shared" si="16"/>
        <v>#NAME?</v>
      </c>
    </row>
    <row r="203" ht="14.25" customHeight="1">
      <c r="A203" s="2" t="s">
        <v>309</v>
      </c>
      <c r="B203" s="2" t="s">
        <v>310</v>
      </c>
      <c r="C203" s="2" t="s">
        <v>311</v>
      </c>
      <c r="D203" s="2">
        <v>45.0</v>
      </c>
      <c r="E203" s="2" t="s">
        <v>22</v>
      </c>
      <c r="F203" s="2" t="s">
        <v>35</v>
      </c>
      <c r="G203" s="2" t="s">
        <v>312</v>
      </c>
      <c r="H203" s="2" t="s">
        <v>2120</v>
      </c>
      <c r="I203" s="2" t="s">
        <v>313</v>
      </c>
      <c r="J203" s="2" t="s">
        <v>1060</v>
      </c>
      <c r="K203" s="3">
        <v>45079.0</v>
      </c>
      <c r="L203" s="2" t="s">
        <v>1061</v>
      </c>
      <c r="M203" s="2" t="s">
        <v>280</v>
      </c>
      <c r="N203" s="2">
        <v>157.64</v>
      </c>
      <c r="O203" s="2">
        <v>3.0</v>
      </c>
      <c r="P203" s="2" t="s">
        <v>78</v>
      </c>
      <c r="Q203" s="2">
        <v>2.0</v>
      </c>
      <c r="R203" s="2">
        <v>47.0</v>
      </c>
      <c r="S203" s="3">
        <v>45085.0</v>
      </c>
      <c r="T203" s="2" t="s">
        <v>1062</v>
      </c>
      <c r="U203" s="2">
        <f t="shared" si="1"/>
        <v>6</v>
      </c>
      <c r="V203" s="2">
        <f t="shared" si="2"/>
        <v>9</v>
      </c>
      <c r="W203" s="2">
        <f t="shared" si="3"/>
        <v>472.92</v>
      </c>
      <c r="X203" s="2">
        <f t="shared" si="4"/>
        <v>519.92</v>
      </c>
      <c r="Y203" s="2">
        <f t="shared" si="5"/>
        <v>0</v>
      </c>
      <c r="Z203" s="2">
        <f t="shared" si="6"/>
        <v>472.92</v>
      </c>
      <c r="AA203" s="2">
        <f t="shared" si="7"/>
        <v>519.92</v>
      </c>
      <c r="AB203" s="2" t="str">
        <f t="shared" si="8"/>
        <v>Friday</v>
      </c>
      <c r="AC203" s="2" t="str">
        <f t="shared" si="9"/>
        <v>Weekday</v>
      </c>
      <c r="AD203" s="2" t="str">
        <f t="shared" si="10"/>
        <v>jenny.estrada</v>
      </c>
      <c r="AE203" s="2" t="str">
        <f t="shared" si="11"/>
        <v>yahoo</v>
      </c>
      <c r="AF203" s="2" t="str">
        <f t="shared" si="12"/>
        <v>Jenny Estrada</v>
      </c>
      <c r="AG203" s="2" t="str">
        <f t="shared" si="13"/>
        <v>Jenny</v>
      </c>
      <c r="AH203" s="2" t="str">
        <f t="shared" si="14"/>
        <v>Estrada</v>
      </c>
      <c r="AI203" s="2" t="str">
        <f t="shared" si="15"/>
        <v>Late</v>
      </c>
      <c r="AJ203" s="2" t="str">
        <f t="shared" si="16"/>
        <v>#NAME?</v>
      </c>
    </row>
    <row r="204" ht="14.25" customHeight="1">
      <c r="A204" s="2" t="s">
        <v>294</v>
      </c>
      <c r="B204" s="2" t="s">
        <v>295</v>
      </c>
      <c r="C204" s="2" t="s">
        <v>296</v>
      </c>
      <c r="D204" s="2">
        <v>26.0</v>
      </c>
      <c r="E204" s="2" t="s">
        <v>45</v>
      </c>
      <c r="F204" s="2" t="s">
        <v>161</v>
      </c>
      <c r="G204" s="2" t="s">
        <v>297</v>
      </c>
      <c r="H204" s="2" t="s">
        <v>2119</v>
      </c>
      <c r="I204" s="2" t="s">
        <v>298</v>
      </c>
      <c r="J204" s="2" t="s">
        <v>1063</v>
      </c>
      <c r="K204" s="3">
        <v>45053.0</v>
      </c>
      <c r="L204" s="2" t="s">
        <v>1064</v>
      </c>
      <c r="M204" s="2" t="s">
        <v>263</v>
      </c>
      <c r="N204" s="2">
        <v>62.42</v>
      </c>
      <c r="O204" s="2">
        <v>3.0</v>
      </c>
      <c r="P204" s="2" t="s">
        <v>51</v>
      </c>
      <c r="Q204" s="2">
        <v>5.0</v>
      </c>
      <c r="R204" s="2">
        <v>62.0</v>
      </c>
      <c r="S204" s="3">
        <v>45058.0</v>
      </c>
      <c r="T204" s="2" t="s">
        <v>1065</v>
      </c>
      <c r="U204" s="2">
        <f t="shared" si="1"/>
        <v>5</v>
      </c>
      <c r="V204" s="2">
        <f t="shared" si="2"/>
        <v>0</v>
      </c>
      <c r="W204" s="2">
        <f t="shared" si="3"/>
        <v>187.26</v>
      </c>
      <c r="X204" s="2">
        <f t="shared" si="4"/>
        <v>249.26</v>
      </c>
      <c r="Y204" s="2">
        <f t="shared" si="5"/>
        <v>0</v>
      </c>
      <c r="Z204" s="2">
        <f t="shared" si="6"/>
        <v>187.26</v>
      </c>
      <c r="AA204" s="2">
        <f t="shared" si="7"/>
        <v>249.26</v>
      </c>
      <c r="AB204" s="2" t="str">
        <f t="shared" si="8"/>
        <v>Sunday</v>
      </c>
      <c r="AC204" s="2" t="str">
        <f t="shared" si="9"/>
        <v>Weekend</v>
      </c>
      <c r="AD204" s="2" t="str">
        <f t="shared" si="10"/>
        <v>valerie.carr</v>
      </c>
      <c r="AE204" s="2" t="str">
        <f t="shared" si="11"/>
        <v>rediffmail</v>
      </c>
      <c r="AF204" s="2" t="str">
        <f t="shared" si="12"/>
        <v>Valerie Carr</v>
      </c>
      <c r="AG204" s="2" t="str">
        <f t="shared" si="13"/>
        <v>Valerie</v>
      </c>
      <c r="AH204" s="2" t="str">
        <f t="shared" si="14"/>
        <v>Carr</v>
      </c>
      <c r="AI204" s="2" t="str">
        <f t="shared" si="15"/>
        <v>InTime</v>
      </c>
      <c r="AJ204" s="2" t="str">
        <f t="shared" si="16"/>
        <v>#NAME?</v>
      </c>
    </row>
    <row r="205" ht="14.25" customHeight="1">
      <c r="A205" s="2" t="s">
        <v>513</v>
      </c>
      <c r="B205" s="2" t="s">
        <v>514</v>
      </c>
      <c r="C205" s="2" t="s">
        <v>515</v>
      </c>
      <c r="D205" s="2">
        <v>42.0</v>
      </c>
      <c r="E205" s="2" t="s">
        <v>45</v>
      </c>
      <c r="F205" s="2" t="s">
        <v>69</v>
      </c>
      <c r="G205" s="2" t="s">
        <v>516</v>
      </c>
      <c r="H205" s="2" t="s">
        <v>2142</v>
      </c>
      <c r="I205" s="2" t="s">
        <v>517</v>
      </c>
      <c r="J205" s="2" t="s">
        <v>1066</v>
      </c>
      <c r="K205" s="3">
        <v>45495.0</v>
      </c>
      <c r="L205" s="2" t="s">
        <v>1067</v>
      </c>
      <c r="M205" s="2" t="s">
        <v>88</v>
      </c>
      <c r="N205" s="2">
        <v>363.64</v>
      </c>
      <c r="O205" s="2">
        <v>3.0</v>
      </c>
      <c r="P205" s="2" t="s">
        <v>29</v>
      </c>
      <c r="Q205" s="2">
        <v>5.0</v>
      </c>
      <c r="R205" s="2">
        <v>53.0</v>
      </c>
      <c r="S205" s="3">
        <v>45502.0</v>
      </c>
      <c r="T205" s="2" t="s">
        <v>1068</v>
      </c>
      <c r="U205" s="2">
        <f t="shared" si="1"/>
        <v>7</v>
      </c>
      <c r="V205" s="2">
        <f t="shared" si="2"/>
        <v>20</v>
      </c>
      <c r="W205" s="2">
        <f t="shared" si="3"/>
        <v>1090.92</v>
      </c>
      <c r="X205" s="2">
        <f t="shared" si="4"/>
        <v>1143.92</v>
      </c>
      <c r="Y205" s="2">
        <f t="shared" si="5"/>
        <v>0</v>
      </c>
      <c r="Z205" s="2">
        <f t="shared" si="6"/>
        <v>1090.92</v>
      </c>
      <c r="AA205" s="2">
        <f t="shared" si="7"/>
        <v>1143.92</v>
      </c>
      <c r="AB205" s="2" t="str">
        <f t="shared" si="8"/>
        <v>Monday</v>
      </c>
      <c r="AC205" s="2" t="str">
        <f t="shared" si="9"/>
        <v>Weekday</v>
      </c>
      <c r="AD205" s="2" t="str">
        <f t="shared" si="10"/>
        <v>katherine.weber</v>
      </c>
      <c r="AE205" s="2" t="str">
        <f t="shared" si="11"/>
        <v>outlook</v>
      </c>
      <c r="AF205" s="2" t="str">
        <f t="shared" si="12"/>
        <v>Katherine Weber</v>
      </c>
      <c r="AG205" s="2" t="str">
        <f t="shared" si="13"/>
        <v>Katherine</v>
      </c>
      <c r="AH205" s="2" t="str">
        <f t="shared" si="14"/>
        <v>Weber</v>
      </c>
      <c r="AI205" s="2" t="str">
        <f t="shared" si="15"/>
        <v>Late</v>
      </c>
      <c r="AJ205" s="2" t="str">
        <f t="shared" si="16"/>
        <v>#NAME?</v>
      </c>
    </row>
    <row r="206" ht="14.25" customHeight="1">
      <c r="A206" s="2" t="s">
        <v>539</v>
      </c>
      <c r="B206" s="2" t="s">
        <v>540</v>
      </c>
      <c r="C206" s="2" t="s">
        <v>541</v>
      </c>
      <c r="D206" s="2">
        <v>33.0</v>
      </c>
      <c r="E206" s="2" t="s">
        <v>45</v>
      </c>
      <c r="F206" s="2" t="s">
        <v>161</v>
      </c>
      <c r="G206" s="2" t="s">
        <v>542</v>
      </c>
      <c r="H206" s="2" t="s">
        <v>2145</v>
      </c>
      <c r="I206" s="2" t="s">
        <v>543</v>
      </c>
      <c r="J206" s="2" t="s">
        <v>1069</v>
      </c>
      <c r="K206" s="3">
        <v>45125.0</v>
      </c>
      <c r="L206" s="2" t="s">
        <v>1070</v>
      </c>
      <c r="M206" s="2" t="s">
        <v>566</v>
      </c>
      <c r="N206" s="2">
        <v>477.52</v>
      </c>
      <c r="O206" s="2">
        <v>4.0</v>
      </c>
      <c r="P206" s="2" t="s">
        <v>78</v>
      </c>
      <c r="Q206" s="2">
        <v>5.0</v>
      </c>
      <c r="R206" s="2">
        <v>55.0</v>
      </c>
      <c r="S206" s="3">
        <v>45127.0</v>
      </c>
      <c r="T206" s="2" t="s">
        <v>1071</v>
      </c>
      <c r="U206" s="2">
        <f t="shared" si="1"/>
        <v>2</v>
      </c>
      <c r="V206" s="2">
        <f t="shared" si="2"/>
        <v>6</v>
      </c>
      <c r="W206" s="2">
        <f t="shared" si="3"/>
        <v>1910.08</v>
      </c>
      <c r="X206" s="2">
        <f t="shared" si="4"/>
        <v>1965.08</v>
      </c>
      <c r="Y206" s="2">
        <f t="shared" si="5"/>
        <v>0</v>
      </c>
      <c r="Z206" s="2">
        <f t="shared" si="6"/>
        <v>1910.08</v>
      </c>
      <c r="AA206" s="2">
        <f t="shared" si="7"/>
        <v>1965.08</v>
      </c>
      <c r="AB206" s="2" t="str">
        <f t="shared" si="8"/>
        <v>Tuesday</v>
      </c>
      <c r="AC206" s="2" t="str">
        <f t="shared" si="9"/>
        <v>Weekday</v>
      </c>
      <c r="AD206" s="2" t="str">
        <f t="shared" si="10"/>
        <v>jodi.whitney</v>
      </c>
      <c r="AE206" s="2" t="str">
        <f t="shared" si="11"/>
        <v>yahoo</v>
      </c>
      <c r="AF206" s="2" t="str">
        <f t="shared" si="12"/>
        <v>Jodi Whitney</v>
      </c>
      <c r="AG206" s="2" t="str">
        <f t="shared" si="13"/>
        <v>Jodi</v>
      </c>
      <c r="AH206" s="2" t="str">
        <f t="shared" si="14"/>
        <v>Whitney</v>
      </c>
      <c r="AI206" s="2" t="str">
        <f t="shared" si="15"/>
        <v>Before Time</v>
      </c>
      <c r="AJ206" s="2" t="str">
        <f t="shared" si="16"/>
        <v>#NAME?</v>
      </c>
    </row>
    <row r="207" ht="14.25" customHeight="1">
      <c r="A207" s="2" t="s">
        <v>1072</v>
      </c>
      <c r="B207" s="2" t="s">
        <v>211</v>
      </c>
      <c r="C207" s="2" t="s">
        <v>1073</v>
      </c>
      <c r="D207" s="2">
        <v>55.0</v>
      </c>
      <c r="E207" s="2" t="s">
        <v>34</v>
      </c>
      <c r="F207" s="2" t="s">
        <v>152</v>
      </c>
      <c r="G207" s="2" t="s">
        <v>1074</v>
      </c>
      <c r="H207" s="2" t="s">
        <v>2159</v>
      </c>
      <c r="I207" s="2" t="s">
        <v>1075</v>
      </c>
      <c r="J207" s="2" t="s">
        <v>1076</v>
      </c>
      <c r="K207" s="3">
        <v>45168.0</v>
      </c>
      <c r="L207" s="2" t="s">
        <v>1077</v>
      </c>
      <c r="M207" s="2" t="s">
        <v>235</v>
      </c>
      <c r="N207" s="2">
        <v>126.19</v>
      </c>
      <c r="O207" s="2">
        <v>2.0</v>
      </c>
      <c r="P207" s="2" t="s">
        <v>56</v>
      </c>
      <c r="Q207" s="2">
        <v>5.0</v>
      </c>
      <c r="R207" s="2">
        <v>59.0</v>
      </c>
      <c r="S207" s="3">
        <v>45174.0</v>
      </c>
      <c r="T207" s="2" t="s">
        <v>1078</v>
      </c>
      <c r="U207" s="2">
        <f t="shared" si="1"/>
        <v>6</v>
      </c>
      <c r="V207" s="2">
        <f t="shared" si="2"/>
        <v>19</v>
      </c>
      <c r="W207" s="2">
        <f t="shared" si="3"/>
        <v>252.38</v>
      </c>
      <c r="X207" s="2">
        <f t="shared" si="4"/>
        <v>311.38</v>
      </c>
      <c r="Y207" s="2">
        <f t="shared" si="5"/>
        <v>0</v>
      </c>
      <c r="Z207" s="2">
        <f t="shared" si="6"/>
        <v>252.38</v>
      </c>
      <c r="AA207" s="2">
        <f t="shared" si="7"/>
        <v>252.38</v>
      </c>
      <c r="AB207" s="2" t="str">
        <f t="shared" si="8"/>
        <v>Wednesday</v>
      </c>
      <c r="AC207" s="2" t="str">
        <f t="shared" si="9"/>
        <v>Weekday</v>
      </c>
      <c r="AD207" s="2" t="str">
        <f t="shared" si="10"/>
        <v>mark.summers</v>
      </c>
      <c r="AE207" s="2" t="str">
        <f t="shared" si="11"/>
        <v>outlook</v>
      </c>
      <c r="AF207" s="2" t="str">
        <f t="shared" si="12"/>
        <v>Mark Summers</v>
      </c>
      <c r="AG207" s="2" t="str">
        <f t="shared" si="13"/>
        <v>Mark</v>
      </c>
      <c r="AH207" s="2" t="str">
        <f t="shared" si="14"/>
        <v>Summers</v>
      </c>
      <c r="AI207" s="2" t="str">
        <f t="shared" si="15"/>
        <v>Late</v>
      </c>
      <c r="AJ207" s="2" t="str">
        <f t="shared" si="16"/>
        <v>#NAME?</v>
      </c>
    </row>
    <row r="208" ht="14.25" customHeight="1">
      <c r="A208" s="2" t="s">
        <v>724</v>
      </c>
      <c r="B208" s="2" t="s">
        <v>725</v>
      </c>
      <c r="C208" s="2" t="s">
        <v>726</v>
      </c>
      <c r="D208" s="2">
        <v>30.0</v>
      </c>
      <c r="E208" s="2" t="s">
        <v>22</v>
      </c>
      <c r="F208" s="2" t="s">
        <v>152</v>
      </c>
      <c r="G208" s="2" t="s">
        <v>727</v>
      </c>
      <c r="H208" s="2" t="s">
        <v>2158</v>
      </c>
      <c r="I208" s="2" t="s">
        <v>728</v>
      </c>
      <c r="J208" s="2" t="s">
        <v>1079</v>
      </c>
      <c r="K208" s="3">
        <v>45320.0</v>
      </c>
      <c r="L208" s="2" t="s">
        <v>1080</v>
      </c>
      <c r="M208" s="2" t="s">
        <v>474</v>
      </c>
      <c r="N208" s="2">
        <v>87.09</v>
      </c>
      <c r="O208" s="2">
        <v>1.0</v>
      </c>
      <c r="P208" s="2" t="s">
        <v>89</v>
      </c>
      <c r="Q208" s="2">
        <v>1.0</v>
      </c>
      <c r="R208" s="2">
        <v>61.0</v>
      </c>
      <c r="S208" s="3">
        <v>45321.0</v>
      </c>
      <c r="T208" s="2" t="s">
        <v>1081</v>
      </c>
      <c r="U208" s="2">
        <f t="shared" si="1"/>
        <v>1</v>
      </c>
      <c r="V208" s="2">
        <f t="shared" si="2"/>
        <v>20</v>
      </c>
      <c r="W208" s="2">
        <f t="shared" si="3"/>
        <v>87.09</v>
      </c>
      <c r="X208" s="2">
        <f t="shared" si="4"/>
        <v>148.09</v>
      </c>
      <c r="Y208" s="2">
        <f t="shared" si="5"/>
        <v>0</v>
      </c>
      <c r="Z208" s="2">
        <f t="shared" si="6"/>
        <v>87.09</v>
      </c>
      <c r="AA208" s="2">
        <f t="shared" si="7"/>
        <v>148.09</v>
      </c>
      <c r="AB208" s="2" t="str">
        <f t="shared" si="8"/>
        <v>Monday</v>
      </c>
      <c r="AC208" s="2" t="str">
        <f t="shared" si="9"/>
        <v>Weekday</v>
      </c>
      <c r="AD208" s="2" t="str">
        <f t="shared" si="10"/>
        <v>melissa.levy</v>
      </c>
      <c r="AE208" s="2" t="str">
        <f t="shared" si="11"/>
        <v>rediffmail</v>
      </c>
      <c r="AF208" s="2" t="str">
        <f t="shared" si="12"/>
        <v>Melissa Levy</v>
      </c>
      <c r="AG208" s="2" t="str">
        <f t="shared" si="13"/>
        <v>Melissa</v>
      </c>
      <c r="AH208" s="2" t="str">
        <f t="shared" si="14"/>
        <v>Levy</v>
      </c>
      <c r="AI208" s="2" t="str">
        <f t="shared" si="15"/>
        <v>InTime</v>
      </c>
      <c r="AJ208" s="2" t="str">
        <f t="shared" si="16"/>
        <v>#NAME?</v>
      </c>
    </row>
    <row r="209" ht="14.25" customHeight="1">
      <c r="A209" s="2" t="s">
        <v>386</v>
      </c>
      <c r="B209" s="2" t="s">
        <v>387</v>
      </c>
      <c r="C209" s="2" t="s">
        <v>388</v>
      </c>
      <c r="D209" s="2">
        <v>40.0</v>
      </c>
      <c r="E209" s="2" t="s">
        <v>45</v>
      </c>
      <c r="F209" s="2" t="s">
        <v>161</v>
      </c>
      <c r="G209" s="2" t="s">
        <v>389</v>
      </c>
      <c r="H209" s="2" t="s">
        <v>2128</v>
      </c>
      <c r="I209" s="2" t="s">
        <v>390</v>
      </c>
      <c r="J209" s="2" t="s">
        <v>1082</v>
      </c>
      <c r="K209" s="3">
        <v>45074.0</v>
      </c>
      <c r="L209" s="2" t="s">
        <v>1083</v>
      </c>
      <c r="M209" s="2" t="s">
        <v>731</v>
      </c>
      <c r="N209" s="2">
        <v>110.95</v>
      </c>
      <c r="O209" s="2">
        <v>3.0</v>
      </c>
      <c r="P209" s="2" t="s">
        <v>89</v>
      </c>
      <c r="Q209" s="2">
        <v>6.0</v>
      </c>
      <c r="R209" s="2">
        <v>65.0</v>
      </c>
      <c r="S209" s="3">
        <v>45079.0</v>
      </c>
      <c r="T209" s="2" t="s">
        <v>1084</v>
      </c>
      <c r="U209" s="2">
        <f t="shared" si="1"/>
        <v>5</v>
      </c>
      <c r="V209" s="2">
        <f t="shared" si="2"/>
        <v>14</v>
      </c>
      <c r="W209" s="2">
        <f t="shared" si="3"/>
        <v>332.85</v>
      </c>
      <c r="X209" s="2">
        <f t="shared" si="4"/>
        <v>397.85</v>
      </c>
      <c r="Y209" s="2">
        <f t="shared" si="5"/>
        <v>0</v>
      </c>
      <c r="Z209" s="2">
        <f t="shared" si="6"/>
        <v>332.85</v>
      </c>
      <c r="AA209" s="2">
        <f t="shared" si="7"/>
        <v>397.85</v>
      </c>
      <c r="AB209" s="2" t="str">
        <f t="shared" si="8"/>
        <v>Sunday</v>
      </c>
      <c r="AC209" s="2" t="str">
        <f t="shared" si="9"/>
        <v>Weekend</v>
      </c>
      <c r="AD209" s="2" t="str">
        <f t="shared" si="10"/>
        <v>jason.lopez</v>
      </c>
      <c r="AE209" s="2" t="str">
        <f t="shared" si="11"/>
        <v>outlook</v>
      </c>
      <c r="AF209" s="2" t="str">
        <f t="shared" si="12"/>
        <v>Jason Lopez</v>
      </c>
      <c r="AG209" s="2" t="str">
        <f t="shared" si="13"/>
        <v>Jason</v>
      </c>
      <c r="AH209" s="2" t="str">
        <f t="shared" si="14"/>
        <v>Lopez</v>
      </c>
      <c r="AI209" s="2" t="str">
        <f t="shared" si="15"/>
        <v>Before Time</v>
      </c>
      <c r="AJ209" s="2" t="str">
        <f t="shared" si="16"/>
        <v>#NAME?</v>
      </c>
    </row>
    <row r="210" ht="14.25" customHeight="1">
      <c r="A210" s="2" t="s">
        <v>632</v>
      </c>
      <c r="B210" s="2" t="s">
        <v>141</v>
      </c>
      <c r="C210" s="2" t="s">
        <v>633</v>
      </c>
      <c r="D210" s="2">
        <v>44.0</v>
      </c>
      <c r="E210" s="2" t="s">
        <v>45</v>
      </c>
      <c r="F210" s="2" t="s">
        <v>83</v>
      </c>
      <c r="G210" s="2" t="s">
        <v>634</v>
      </c>
      <c r="H210" s="2" t="s">
        <v>2150</v>
      </c>
      <c r="I210" s="2" t="s">
        <v>635</v>
      </c>
      <c r="J210" s="2" t="s">
        <v>1085</v>
      </c>
      <c r="K210" s="3">
        <v>45285.0</v>
      </c>
      <c r="L210" s="2" t="s">
        <v>1086</v>
      </c>
      <c r="M210" s="2" t="s">
        <v>977</v>
      </c>
      <c r="N210" s="2">
        <v>33.49</v>
      </c>
      <c r="O210" s="2">
        <v>1.0</v>
      </c>
      <c r="P210" s="2" t="s">
        <v>29</v>
      </c>
      <c r="Q210" s="2">
        <v>2.0</v>
      </c>
      <c r="R210" s="2">
        <v>67.0</v>
      </c>
      <c r="S210" s="3">
        <v>45286.0</v>
      </c>
      <c r="T210" s="2" t="s">
        <v>1087</v>
      </c>
      <c r="U210" s="2">
        <f t="shared" si="1"/>
        <v>1</v>
      </c>
      <c r="V210" s="2">
        <f t="shared" si="2"/>
        <v>0</v>
      </c>
      <c r="W210" s="2">
        <f t="shared" si="3"/>
        <v>33.49</v>
      </c>
      <c r="X210" s="2">
        <f t="shared" si="4"/>
        <v>100.49</v>
      </c>
      <c r="Y210" s="2">
        <f t="shared" si="5"/>
        <v>0</v>
      </c>
      <c r="Z210" s="2">
        <f t="shared" si="6"/>
        <v>33.49</v>
      </c>
      <c r="AA210" s="2">
        <f t="shared" si="7"/>
        <v>100.49</v>
      </c>
      <c r="AB210" s="2" t="str">
        <f t="shared" si="8"/>
        <v>Monday</v>
      </c>
      <c r="AC210" s="2" t="str">
        <f t="shared" si="9"/>
        <v>Weekday</v>
      </c>
      <c r="AD210" s="2" t="str">
        <f t="shared" si="10"/>
        <v>amy.ellis</v>
      </c>
      <c r="AE210" s="2" t="str">
        <f t="shared" si="11"/>
        <v>gmail</v>
      </c>
      <c r="AF210" s="2" t="str">
        <f t="shared" si="12"/>
        <v>Amy Ellis</v>
      </c>
      <c r="AG210" s="2" t="str">
        <f t="shared" si="13"/>
        <v>Amy</v>
      </c>
      <c r="AH210" s="2" t="str">
        <f t="shared" si="14"/>
        <v>Ellis</v>
      </c>
      <c r="AI210" s="2" t="str">
        <f t="shared" si="15"/>
        <v>Before Time</v>
      </c>
      <c r="AJ210" s="2" t="str">
        <f t="shared" si="16"/>
        <v>#NAME?</v>
      </c>
    </row>
    <row r="211" ht="14.25" customHeight="1">
      <c r="A211" s="2" t="s">
        <v>413</v>
      </c>
      <c r="B211" s="2" t="s">
        <v>414</v>
      </c>
      <c r="C211" s="2" t="s">
        <v>415</v>
      </c>
      <c r="D211" s="2">
        <v>52.0</v>
      </c>
      <c r="E211" s="2" t="s">
        <v>45</v>
      </c>
      <c r="F211" s="2" t="s">
        <v>213</v>
      </c>
      <c r="G211" s="2" t="s">
        <v>416</v>
      </c>
      <c r="H211" s="2" t="s">
        <v>2131</v>
      </c>
      <c r="I211" s="2" t="s">
        <v>417</v>
      </c>
      <c r="J211" s="2" t="s">
        <v>1088</v>
      </c>
      <c r="K211" s="3">
        <v>45001.0</v>
      </c>
      <c r="L211" s="2" t="s">
        <v>1089</v>
      </c>
      <c r="M211" s="2" t="s">
        <v>546</v>
      </c>
      <c r="N211" s="2">
        <v>425.59</v>
      </c>
      <c r="O211" s="2">
        <v>3.0</v>
      </c>
      <c r="P211" s="2" t="s">
        <v>29</v>
      </c>
      <c r="Q211" s="2">
        <v>7.0</v>
      </c>
      <c r="R211" s="2">
        <v>68.0</v>
      </c>
      <c r="S211" s="3">
        <v>45005.0</v>
      </c>
      <c r="T211" s="2" t="s">
        <v>802</v>
      </c>
      <c r="U211" s="2">
        <f t="shared" si="1"/>
        <v>4</v>
      </c>
      <c r="V211" s="2">
        <f t="shared" si="2"/>
        <v>9</v>
      </c>
      <c r="W211" s="2">
        <f t="shared" si="3"/>
        <v>1276.77</v>
      </c>
      <c r="X211" s="2">
        <f t="shared" si="4"/>
        <v>1344.77</v>
      </c>
      <c r="Y211" s="2">
        <f t="shared" si="5"/>
        <v>0</v>
      </c>
      <c r="Z211" s="2">
        <f t="shared" si="6"/>
        <v>1276.77</v>
      </c>
      <c r="AA211" s="2">
        <f t="shared" si="7"/>
        <v>1344.77</v>
      </c>
      <c r="AB211" s="2" t="str">
        <f t="shared" si="8"/>
        <v>Thursday</v>
      </c>
      <c r="AC211" s="2" t="str">
        <f t="shared" si="9"/>
        <v>Weekday</v>
      </c>
      <c r="AD211" s="2" t="str">
        <f t="shared" si="10"/>
        <v>amanda.howard</v>
      </c>
      <c r="AE211" s="2" t="str">
        <f t="shared" si="11"/>
        <v>outlook</v>
      </c>
      <c r="AF211" s="2" t="str">
        <f t="shared" si="12"/>
        <v>Amanda Howard</v>
      </c>
      <c r="AG211" s="2" t="str">
        <f t="shared" si="13"/>
        <v>Amanda</v>
      </c>
      <c r="AH211" s="2" t="str">
        <f t="shared" si="14"/>
        <v>Howard</v>
      </c>
      <c r="AI211" s="2" t="str">
        <f t="shared" si="15"/>
        <v>Before Time</v>
      </c>
      <c r="AJ211" s="2" t="str">
        <f t="shared" si="16"/>
        <v>#NAME?</v>
      </c>
    </row>
    <row r="212" ht="14.25" customHeight="1">
      <c r="A212" s="2" t="s">
        <v>1072</v>
      </c>
      <c r="B212" s="2" t="s">
        <v>211</v>
      </c>
      <c r="C212" s="2" t="s">
        <v>1073</v>
      </c>
      <c r="D212" s="2">
        <v>55.0</v>
      </c>
      <c r="E212" s="2" t="s">
        <v>34</v>
      </c>
      <c r="F212" s="2" t="s">
        <v>152</v>
      </c>
      <c r="G212" s="2" t="s">
        <v>1074</v>
      </c>
      <c r="H212" s="2" t="s">
        <v>2159</v>
      </c>
      <c r="I212" s="2" t="s">
        <v>1075</v>
      </c>
      <c r="J212" s="2" t="s">
        <v>1090</v>
      </c>
      <c r="K212" s="3">
        <v>45039.0</v>
      </c>
      <c r="L212" s="2" t="s">
        <v>1091</v>
      </c>
      <c r="M212" s="2" t="s">
        <v>511</v>
      </c>
      <c r="N212" s="2">
        <v>441.03</v>
      </c>
      <c r="O212" s="2">
        <v>5.0</v>
      </c>
      <c r="P212" s="2" t="s">
        <v>51</v>
      </c>
      <c r="Q212" s="2">
        <v>3.0</v>
      </c>
      <c r="R212" s="2">
        <v>37.0</v>
      </c>
      <c r="S212" s="3">
        <v>45044.0</v>
      </c>
      <c r="T212" s="2" t="s">
        <v>1092</v>
      </c>
      <c r="U212" s="2">
        <f t="shared" si="1"/>
        <v>5</v>
      </c>
      <c r="V212" s="2">
        <f t="shared" si="2"/>
        <v>9</v>
      </c>
      <c r="W212" s="2">
        <f t="shared" si="3"/>
        <v>2205.15</v>
      </c>
      <c r="X212" s="2">
        <f t="shared" si="4"/>
        <v>2242.15</v>
      </c>
      <c r="Y212" s="2">
        <f t="shared" si="5"/>
        <v>0</v>
      </c>
      <c r="Z212" s="2">
        <f t="shared" si="6"/>
        <v>2205.15</v>
      </c>
      <c r="AA212" s="2">
        <f t="shared" si="7"/>
        <v>2242.15</v>
      </c>
      <c r="AB212" s="2" t="str">
        <f t="shared" si="8"/>
        <v>Sunday</v>
      </c>
      <c r="AC212" s="2" t="str">
        <f t="shared" si="9"/>
        <v>Weekend</v>
      </c>
      <c r="AD212" s="2" t="str">
        <f t="shared" si="10"/>
        <v>mark.summers</v>
      </c>
      <c r="AE212" s="2" t="str">
        <f t="shared" si="11"/>
        <v>outlook</v>
      </c>
      <c r="AF212" s="2" t="str">
        <f t="shared" si="12"/>
        <v>Mark Summers</v>
      </c>
      <c r="AG212" s="2" t="str">
        <f t="shared" si="13"/>
        <v>Mark</v>
      </c>
      <c r="AH212" s="2" t="str">
        <f t="shared" si="14"/>
        <v>Summers</v>
      </c>
      <c r="AI212" s="2" t="str">
        <f t="shared" si="15"/>
        <v>Late</v>
      </c>
      <c r="AJ212" s="2" t="str">
        <f t="shared" si="16"/>
        <v>#NAME?</v>
      </c>
    </row>
    <row r="213" ht="14.25" customHeight="1">
      <c r="A213" s="2" t="s">
        <v>521</v>
      </c>
      <c r="B213" s="2" t="s">
        <v>387</v>
      </c>
      <c r="C213" s="2" t="s">
        <v>522</v>
      </c>
      <c r="D213" s="2">
        <v>51.0</v>
      </c>
      <c r="E213" s="2" t="s">
        <v>45</v>
      </c>
      <c r="F213" s="2" t="s">
        <v>133</v>
      </c>
      <c r="G213" s="2" t="s">
        <v>523</v>
      </c>
      <c r="H213" s="2" t="s">
        <v>2172</v>
      </c>
      <c r="I213" s="2" t="s">
        <v>524</v>
      </c>
      <c r="J213" s="2" t="s">
        <v>1093</v>
      </c>
      <c r="K213" s="3">
        <v>45339.0</v>
      </c>
      <c r="L213" s="2" t="s">
        <v>1094</v>
      </c>
      <c r="M213" s="2" t="s">
        <v>301</v>
      </c>
      <c r="N213" s="2">
        <v>129.75</v>
      </c>
      <c r="O213" s="2">
        <v>3.0</v>
      </c>
      <c r="P213" s="2" t="s">
        <v>51</v>
      </c>
      <c r="Q213" s="2">
        <v>5.0</v>
      </c>
      <c r="R213" s="2">
        <v>37.0</v>
      </c>
      <c r="S213" s="3">
        <v>45341.0</v>
      </c>
      <c r="T213" s="2" t="s">
        <v>1095</v>
      </c>
      <c r="U213" s="2">
        <f t="shared" si="1"/>
        <v>2</v>
      </c>
      <c r="V213" s="2">
        <f t="shared" si="2"/>
        <v>21</v>
      </c>
      <c r="W213" s="2">
        <f t="shared" si="3"/>
        <v>389.25</v>
      </c>
      <c r="X213" s="2">
        <f t="shared" si="4"/>
        <v>426.25</v>
      </c>
      <c r="Y213" s="2">
        <f t="shared" si="5"/>
        <v>0</v>
      </c>
      <c r="Z213" s="2">
        <f t="shared" si="6"/>
        <v>389.25</v>
      </c>
      <c r="AA213" s="2">
        <f t="shared" si="7"/>
        <v>426.25</v>
      </c>
      <c r="AB213" s="2" t="str">
        <f t="shared" si="8"/>
        <v>Saturday</v>
      </c>
      <c r="AC213" s="2" t="str">
        <f t="shared" si="9"/>
        <v>Weekend</v>
      </c>
      <c r="AD213" s="2" t="str">
        <f t="shared" si="10"/>
        <v>jason.nguyen</v>
      </c>
      <c r="AE213" s="2" t="str">
        <f t="shared" si="11"/>
        <v>yahoo</v>
      </c>
      <c r="AF213" s="2" t="str">
        <f t="shared" si="12"/>
        <v>Jason Nguyen</v>
      </c>
      <c r="AG213" s="2" t="str">
        <f t="shared" si="13"/>
        <v>Jason</v>
      </c>
      <c r="AH213" s="2" t="str">
        <f t="shared" si="14"/>
        <v>Nguyen</v>
      </c>
      <c r="AI213" s="2" t="str">
        <f t="shared" si="15"/>
        <v>Before Time</v>
      </c>
      <c r="AJ213" s="2" t="str">
        <f t="shared" si="16"/>
        <v>#NAME?</v>
      </c>
    </row>
    <row r="214" ht="14.25" customHeight="1">
      <c r="A214" s="2" t="s">
        <v>1096</v>
      </c>
      <c r="B214" s="2" t="s">
        <v>1097</v>
      </c>
      <c r="C214" s="2" t="s">
        <v>1098</v>
      </c>
      <c r="D214" s="2">
        <v>18.0</v>
      </c>
      <c r="E214" s="2" t="s">
        <v>22</v>
      </c>
      <c r="F214" s="2" t="s">
        <v>69</v>
      </c>
      <c r="G214" s="2" t="s">
        <v>1099</v>
      </c>
      <c r="H214" s="2" t="s">
        <v>2143</v>
      </c>
      <c r="I214" s="2" t="s">
        <v>1100</v>
      </c>
      <c r="J214" s="2" t="s">
        <v>1101</v>
      </c>
      <c r="K214" s="3">
        <v>45349.0</v>
      </c>
      <c r="L214" s="2" t="s">
        <v>1102</v>
      </c>
      <c r="M214" s="2" t="s">
        <v>650</v>
      </c>
      <c r="N214" s="2">
        <v>235.63</v>
      </c>
      <c r="O214" s="2">
        <v>1.0</v>
      </c>
      <c r="P214" s="2" t="s">
        <v>29</v>
      </c>
      <c r="Q214" s="2">
        <v>6.0</v>
      </c>
      <c r="R214" s="2">
        <v>58.0</v>
      </c>
      <c r="S214" s="3">
        <v>45354.0</v>
      </c>
      <c r="T214" s="2" t="s">
        <v>1103</v>
      </c>
      <c r="U214" s="2">
        <f t="shared" si="1"/>
        <v>5</v>
      </c>
      <c r="V214" s="2">
        <f t="shared" si="2"/>
        <v>12</v>
      </c>
      <c r="W214" s="2">
        <f t="shared" si="3"/>
        <v>235.63</v>
      </c>
      <c r="X214" s="2">
        <f t="shared" si="4"/>
        <v>293.63</v>
      </c>
      <c r="Y214" s="2">
        <f t="shared" si="5"/>
        <v>0</v>
      </c>
      <c r="Z214" s="2">
        <f t="shared" si="6"/>
        <v>235.63</v>
      </c>
      <c r="AA214" s="2">
        <f t="shared" si="7"/>
        <v>293.63</v>
      </c>
      <c r="AB214" s="2" t="str">
        <f t="shared" si="8"/>
        <v>Tuesday</v>
      </c>
      <c r="AC214" s="2" t="str">
        <f t="shared" si="9"/>
        <v>Weekday</v>
      </c>
      <c r="AD214" s="2" t="str">
        <f t="shared" si="10"/>
        <v>gary.huff</v>
      </c>
      <c r="AE214" s="2" t="str">
        <f t="shared" si="11"/>
        <v>gmail</v>
      </c>
      <c r="AF214" s="2" t="str">
        <f t="shared" si="12"/>
        <v>Gary Huff</v>
      </c>
      <c r="AG214" s="2" t="str">
        <f t="shared" si="13"/>
        <v>Gary</v>
      </c>
      <c r="AH214" s="2" t="str">
        <f t="shared" si="14"/>
        <v>Huff</v>
      </c>
      <c r="AI214" s="2" t="str">
        <f t="shared" si="15"/>
        <v>Before Time</v>
      </c>
      <c r="AJ214" s="2" t="str">
        <f t="shared" si="16"/>
        <v>#NAME?</v>
      </c>
    </row>
    <row r="215" ht="14.25" customHeight="1">
      <c r="A215" s="2" t="s">
        <v>168</v>
      </c>
      <c r="B215" s="2" t="s">
        <v>169</v>
      </c>
      <c r="C215" s="2" t="s">
        <v>170</v>
      </c>
      <c r="D215" s="2">
        <v>36.0</v>
      </c>
      <c r="E215" s="2" t="s">
        <v>45</v>
      </c>
      <c r="F215" s="2" t="s">
        <v>133</v>
      </c>
      <c r="G215" s="2" t="s">
        <v>171</v>
      </c>
      <c r="H215" s="2" t="s">
        <v>2106</v>
      </c>
      <c r="I215" s="2" t="s">
        <v>172</v>
      </c>
      <c r="J215" s="2" t="s">
        <v>1104</v>
      </c>
      <c r="K215" s="3">
        <v>45549.0</v>
      </c>
      <c r="L215" s="2" t="s">
        <v>1105</v>
      </c>
      <c r="M215" s="2" t="s">
        <v>507</v>
      </c>
      <c r="N215" s="2">
        <v>136.3</v>
      </c>
      <c r="O215" s="2">
        <v>2.0</v>
      </c>
      <c r="P215" s="2" t="s">
        <v>78</v>
      </c>
      <c r="Q215" s="2">
        <v>7.0</v>
      </c>
      <c r="R215" s="2">
        <v>51.0</v>
      </c>
      <c r="S215" s="3">
        <v>45550.0</v>
      </c>
      <c r="T215" s="2" t="s">
        <v>1106</v>
      </c>
      <c r="U215" s="2">
        <f t="shared" si="1"/>
        <v>1</v>
      </c>
      <c r="V215" s="2">
        <f t="shared" si="2"/>
        <v>3</v>
      </c>
      <c r="W215" s="2">
        <f t="shared" si="3"/>
        <v>272.6</v>
      </c>
      <c r="X215" s="2">
        <f t="shared" si="4"/>
        <v>323.6</v>
      </c>
      <c r="Y215" s="2">
        <f t="shared" si="5"/>
        <v>0</v>
      </c>
      <c r="Z215" s="2">
        <f t="shared" si="6"/>
        <v>272.6</v>
      </c>
      <c r="AA215" s="2">
        <f t="shared" si="7"/>
        <v>323.6</v>
      </c>
      <c r="AB215" s="2" t="str">
        <f t="shared" si="8"/>
        <v>Saturday</v>
      </c>
      <c r="AC215" s="2" t="str">
        <f t="shared" si="9"/>
        <v>Weekend</v>
      </c>
      <c r="AD215" s="2" t="str">
        <f t="shared" si="10"/>
        <v>gina.moreno</v>
      </c>
      <c r="AE215" s="2" t="str">
        <f t="shared" si="11"/>
        <v>rediffmail</v>
      </c>
      <c r="AF215" s="2" t="str">
        <f t="shared" si="12"/>
        <v>Gina Moreno</v>
      </c>
      <c r="AG215" s="2" t="str">
        <f t="shared" si="13"/>
        <v>Gina</v>
      </c>
      <c r="AH215" s="2" t="str">
        <f t="shared" si="14"/>
        <v>Moreno</v>
      </c>
      <c r="AI215" s="2" t="str">
        <f t="shared" si="15"/>
        <v>Before Time</v>
      </c>
      <c r="AJ215" s="2" t="str">
        <f t="shared" si="16"/>
        <v>#NAME?</v>
      </c>
    </row>
    <row r="216" ht="14.25" customHeight="1">
      <c r="A216" s="2" t="s">
        <v>476</v>
      </c>
      <c r="B216" s="2" t="s">
        <v>477</v>
      </c>
      <c r="C216" s="2" t="s">
        <v>123</v>
      </c>
      <c r="D216" s="2">
        <v>68.0</v>
      </c>
      <c r="E216" s="2" t="s">
        <v>45</v>
      </c>
      <c r="F216" s="2" t="s">
        <v>213</v>
      </c>
      <c r="G216" s="2" t="s">
        <v>478</v>
      </c>
      <c r="H216" s="2" t="s">
        <v>2138</v>
      </c>
      <c r="I216" s="2" t="s">
        <v>479</v>
      </c>
      <c r="J216" s="2" t="s">
        <v>1107</v>
      </c>
      <c r="K216" s="3">
        <v>45112.0</v>
      </c>
      <c r="L216" s="2" t="s">
        <v>1108</v>
      </c>
      <c r="M216" s="2" t="s">
        <v>934</v>
      </c>
      <c r="N216" s="2">
        <v>107.47</v>
      </c>
      <c r="O216" s="2">
        <v>4.0</v>
      </c>
      <c r="P216" s="2" t="s">
        <v>78</v>
      </c>
      <c r="Q216" s="2">
        <v>5.0</v>
      </c>
      <c r="R216" s="2">
        <v>51.0</v>
      </c>
      <c r="S216" s="3">
        <v>45115.0</v>
      </c>
      <c r="T216" s="2" t="s">
        <v>1109</v>
      </c>
      <c r="U216" s="2">
        <f t="shared" si="1"/>
        <v>3</v>
      </c>
      <c r="V216" s="2">
        <f t="shared" si="2"/>
        <v>18</v>
      </c>
      <c r="W216" s="2">
        <f t="shared" si="3"/>
        <v>429.88</v>
      </c>
      <c r="X216" s="2">
        <f t="shared" si="4"/>
        <v>480.88</v>
      </c>
      <c r="Y216" s="2">
        <f t="shared" si="5"/>
        <v>0</v>
      </c>
      <c r="Z216" s="2">
        <f t="shared" si="6"/>
        <v>429.88</v>
      </c>
      <c r="AA216" s="2">
        <f t="shared" si="7"/>
        <v>480.88</v>
      </c>
      <c r="AB216" s="2" t="str">
        <f t="shared" si="8"/>
        <v>Wednesday</v>
      </c>
      <c r="AC216" s="2" t="str">
        <f t="shared" si="9"/>
        <v>Weekday</v>
      </c>
      <c r="AD216" s="2" t="str">
        <f t="shared" si="10"/>
        <v>brittany.stewart</v>
      </c>
      <c r="AE216" s="2" t="str">
        <f t="shared" si="11"/>
        <v>gmail</v>
      </c>
      <c r="AF216" s="2" t="str">
        <f t="shared" si="12"/>
        <v>Brittany Stewart</v>
      </c>
      <c r="AG216" s="2" t="str">
        <f t="shared" si="13"/>
        <v>Brittany</v>
      </c>
      <c r="AH216" s="2" t="str">
        <f t="shared" si="14"/>
        <v>Stewart</v>
      </c>
      <c r="AI216" s="2" t="str">
        <f t="shared" si="15"/>
        <v>Before Time</v>
      </c>
      <c r="AJ216" s="2" t="str">
        <f t="shared" si="16"/>
        <v>#NAME?</v>
      </c>
    </row>
    <row r="217" ht="14.25" customHeight="1">
      <c r="A217" s="2" t="s">
        <v>918</v>
      </c>
      <c r="B217" s="2" t="s">
        <v>919</v>
      </c>
      <c r="C217" s="2" t="s">
        <v>920</v>
      </c>
      <c r="D217" s="2">
        <v>24.0</v>
      </c>
      <c r="E217" s="2" t="s">
        <v>45</v>
      </c>
      <c r="F217" s="2" t="s">
        <v>213</v>
      </c>
      <c r="G217" s="2" t="s">
        <v>921</v>
      </c>
      <c r="H217" s="2" t="s">
        <v>2169</v>
      </c>
      <c r="I217" s="2" t="s">
        <v>922</v>
      </c>
      <c r="J217" s="2" t="s">
        <v>1110</v>
      </c>
      <c r="K217" s="3">
        <v>45271.0</v>
      </c>
      <c r="L217" s="2" t="s">
        <v>1111</v>
      </c>
      <c r="M217" s="2" t="s">
        <v>98</v>
      </c>
      <c r="N217" s="2">
        <v>275.44</v>
      </c>
      <c r="O217" s="2">
        <v>2.0</v>
      </c>
      <c r="P217" s="2" t="s">
        <v>29</v>
      </c>
      <c r="Q217" s="2">
        <v>2.0</v>
      </c>
      <c r="R217" s="2">
        <v>36.0</v>
      </c>
      <c r="S217" s="3">
        <v>45276.0</v>
      </c>
      <c r="T217" s="2" t="s">
        <v>1112</v>
      </c>
      <c r="U217" s="2">
        <f t="shared" si="1"/>
        <v>5</v>
      </c>
      <c r="V217" s="2">
        <f t="shared" si="2"/>
        <v>14</v>
      </c>
      <c r="W217" s="2">
        <f t="shared" si="3"/>
        <v>550.88</v>
      </c>
      <c r="X217" s="2">
        <f t="shared" si="4"/>
        <v>586.88</v>
      </c>
      <c r="Y217" s="2">
        <f t="shared" si="5"/>
        <v>0</v>
      </c>
      <c r="Z217" s="2">
        <f t="shared" si="6"/>
        <v>550.88</v>
      </c>
      <c r="AA217" s="2">
        <f t="shared" si="7"/>
        <v>586.88</v>
      </c>
      <c r="AB217" s="2" t="str">
        <f t="shared" si="8"/>
        <v>Monday</v>
      </c>
      <c r="AC217" s="2" t="str">
        <f t="shared" si="9"/>
        <v>Weekday</v>
      </c>
      <c r="AD217" s="2" t="str">
        <f t="shared" si="10"/>
        <v>rachael.robinson</v>
      </c>
      <c r="AE217" s="2" t="str">
        <f t="shared" si="11"/>
        <v>rediffmail</v>
      </c>
      <c r="AF217" s="2" t="str">
        <f t="shared" si="12"/>
        <v>Rachael Robinson</v>
      </c>
      <c r="AG217" s="2" t="str">
        <f t="shared" si="13"/>
        <v>Rachael</v>
      </c>
      <c r="AH217" s="2" t="str">
        <f t="shared" si="14"/>
        <v>Robinson</v>
      </c>
      <c r="AI217" s="2" t="str">
        <f t="shared" si="15"/>
        <v>Late</v>
      </c>
      <c r="AJ217" s="2" t="str">
        <f t="shared" si="16"/>
        <v>#NAME?</v>
      </c>
    </row>
    <row r="218" ht="14.25" customHeight="1">
      <c r="A218" s="2" t="s">
        <v>769</v>
      </c>
      <c r="B218" s="2" t="s">
        <v>770</v>
      </c>
      <c r="C218" s="2" t="s">
        <v>771</v>
      </c>
      <c r="D218" s="2">
        <v>32.0</v>
      </c>
      <c r="E218" s="2" t="s">
        <v>22</v>
      </c>
      <c r="F218" s="2" t="s">
        <v>152</v>
      </c>
      <c r="G218" s="2" t="s">
        <v>772</v>
      </c>
      <c r="H218" s="2" t="s">
        <v>2162</v>
      </c>
      <c r="I218" s="2" t="s">
        <v>773</v>
      </c>
      <c r="J218" s="2" t="s">
        <v>1113</v>
      </c>
      <c r="K218" s="3">
        <v>45588.0</v>
      </c>
      <c r="L218" s="2" t="s">
        <v>1114</v>
      </c>
      <c r="M218" s="2" t="s">
        <v>934</v>
      </c>
      <c r="N218" s="2">
        <v>107.47</v>
      </c>
      <c r="O218" s="2">
        <v>2.0</v>
      </c>
      <c r="P218" s="2" t="s">
        <v>51</v>
      </c>
      <c r="Q218" s="2">
        <v>5.0</v>
      </c>
      <c r="R218" s="2">
        <v>55.0</v>
      </c>
      <c r="S218" s="3">
        <v>45592.0</v>
      </c>
      <c r="T218" s="2" t="s">
        <v>1115</v>
      </c>
      <c r="U218" s="2">
        <f t="shared" si="1"/>
        <v>4</v>
      </c>
      <c r="V218" s="2">
        <f t="shared" si="2"/>
        <v>11</v>
      </c>
      <c r="W218" s="2">
        <f t="shared" si="3"/>
        <v>214.94</v>
      </c>
      <c r="X218" s="2">
        <f t="shared" si="4"/>
        <v>269.94</v>
      </c>
      <c r="Y218" s="2">
        <f t="shared" si="5"/>
        <v>0</v>
      </c>
      <c r="Z218" s="2">
        <f t="shared" si="6"/>
        <v>214.94</v>
      </c>
      <c r="AA218" s="2">
        <f t="shared" si="7"/>
        <v>269.94</v>
      </c>
      <c r="AB218" s="2" t="str">
        <f t="shared" si="8"/>
        <v>Wednesday</v>
      </c>
      <c r="AC218" s="2" t="str">
        <f t="shared" si="9"/>
        <v>Weekday</v>
      </c>
      <c r="AD218" s="2" t="str">
        <f t="shared" si="10"/>
        <v>lindsey.byrd</v>
      </c>
      <c r="AE218" s="2" t="str">
        <f t="shared" si="11"/>
        <v>rediffmail</v>
      </c>
      <c r="AF218" s="2" t="str">
        <f t="shared" si="12"/>
        <v>Lindsey Byrd</v>
      </c>
      <c r="AG218" s="2" t="str">
        <f t="shared" si="13"/>
        <v>Lindsey</v>
      </c>
      <c r="AH218" s="2" t="str">
        <f t="shared" si="14"/>
        <v>Byrd</v>
      </c>
      <c r="AI218" s="2" t="str">
        <f t="shared" si="15"/>
        <v>Before Time</v>
      </c>
      <c r="AJ218" s="2" t="str">
        <f t="shared" si="16"/>
        <v>#NAME?</v>
      </c>
    </row>
    <row r="219" ht="14.25" customHeight="1">
      <c r="A219" s="2" t="s">
        <v>58</v>
      </c>
      <c r="B219" s="2" t="s">
        <v>59</v>
      </c>
      <c r="C219" s="2" t="s">
        <v>60</v>
      </c>
      <c r="D219" s="2">
        <v>49.0</v>
      </c>
      <c r="E219" s="2" t="s">
        <v>45</v>
      </c>
      <c r="F219" s="2" t="s">
        <v>23</v>
      </c>
      <c r="G219" s="2" t="s">
        <v>61</v>
      </c>
      <c r="H219" s="2" t="s">
        <v>2095</v>
      </c>
      <c r="I219" s="2" t="s">
        <v>62</v>
      </c>
      <c r="J219" s="2" t="s">
        <v>1116</v>
      </c>
      <c r="K219" s="3">
        <v>45578.0</v>
      </c>
      <c r="L219" s="2" t="s">
        <v>1117</v>
      </c>
      <c r="M219" s="2" t="s">
        <v>284</v>
      </c>
      <c r="N219" s="2">
        <v>158.53</v>
      </c>
      <c r="O219" s="2">
        <v>5.0</v>
      </c>
      <c r="P219" s="2" t="s">
        <v>29</v>
      </c>
      <c r="Q219" s="2">
        <v>2.0</v>
      </c>
      <c r="R219" s="2">
        <v>64.0</v>
      </c>
      <c r="S219" s="3">
        <v>45582.0</v>
      </c>
      <c r="T219" s="2" t="s">
        <v>1118</v>
      </c>
      <c r="U219" s="2">
        <f t="shared" si="1"/>
        <v>4</v>
      </c>
      <c r="V219" s="2">
        <f t="shared" si="2"/>
        <v>10</v>
      </c>
      <c r="W219" s="2">
        <f t="shared" si="3"/>
        <v>792.65</v>
      </c>
      <c r="X219" s="2">
        <f t="shared" si="4"/>
        <v>856.65</v>
      </c>
      <c r="Y219" s="2">
        <f t="shared" si="5"/>
        <v>0</v>
      </c>
      <c r="Z219" s="2">
        <f t="shared" si="6"/>
        <v>792.65</v>
      </c>
      <c r="AA219" s="2">
        <f t="shared" si="7"/>
        <v>856.65</v>
      </c>
      <c r="AB219" s="2" t="str">
        <f t="shared" si="8"/>
        <v>Sunday</v>
      </c>
      <c r="AC219" s="2" t="str">
        <f t="shared" si="9"/>
        <v>Weekend</v>
      </c>
      <c r="AD219" s="2" t="str">
        <f t="shared" si="10"/>
        <v>angela.horne</v>
      </c>
      <c r="AE219" s="2" t="str">
        <f t="shared" si="11"/>
        <v>outlook</v>
      </c>
      <c r="AF219" s="2" t="str">
        <f t="shared" si="12"/>
        <v>Angela Horne</v>
      </c>
      <c r="AG219" s="2" t="str">
        <f t="shared" si="13"/>
        <v>Angela</v>
      </c>
      <c r="AH219" s="2" t="str">
        <f t="shared" si="14"/>
        <v>Horne</v>
      </c>
      <c r="AI219" s="2" t="str">
        <f t="shared" si="15"/>
        <v>Late</v>
      </c>
      <c r="AJ219" s="2" t="str">
        <f t="shared" si="16"/>
        <v>#NAME?</v>
      </c>
    </row>
    <row r="220" ht="14.25" customHeight="1">
      <c r="A220" s="2" t="s">
        <v>202</v>
      </c>
      <c r="B220" s="2" t="s">
        <v>203</v>
      </c>
      <c r="C220" s="2" t="s">
        <v>204</v>
      </c>
      <c r="D220" s="2">
        <v>39.0</v>
      </c>
      <c r="E220" s="2" t="s">
        <v>34</v>
      </c>
      <c r="F220" s="2" t="s">
        <v>152</v>
      </c>
      <c r="G220" s="2" t="s">
        <v>205</v>
      </c>
      <c r="H220" s="2" t="s">
        <v>2110</v>
      </c>
      <c r="I220" s="2" t="s">
        <v>206</v>
      </c>
      <c r="J220" s="2" t="s">
        <v>1119</v>
      </c>
      <c r="K220" s="3">
        <v>45541.0</v>
      </c>
      <c r="L220" s="2" t="s">
        <v>1120</v>
      </c>
      <c r="M220" s="2" t="s">
        <v>88</v>
      </c>
      <c r="N220" s="2">
        <v>363.64</v>
      </c>
      <c r="O220" s="2">
        <v>2.0</v>
      </c>
      <c r="P220" s="2" t="s">
        <v>78</v>
      </c>
      <c r="Q220" s="2">
        <v>6.0</v>
      </c>
      <c r="R220" s="2">
        <v>37.0</v>
      </c>
      <c r="S220" s="3">
        <v>45544.0</v>
      </c>
      <c r="T220" s="2" t="s">
        <v>1121</v>
      </c>
      <c r="U220" s="2">
        <f t="shared" si="1"/>
        <v>3</v>
      </c>
      <c r="V220" s="2">
        <f t="shared" si="2"/>
        <v>23</v>
      </c>
      <c r="W220" s="2">
        <f t="shared" si="3"/>
        <v>727.28</v>
      </c>
      <c r="X220" s="2">
        <f t="shared" si="4"/>
        <v>764.28</v>
      </c>
      <c r="Y220" s="2">
        <f t="shared" si="5"/>
        <v>0</v>
      </c>
      <c r="Z220" s="2">
        <f t="shared" si="6"/>
        <v>727.28</v>
      </c>
      <c r="AA220" s="2">
        <f t="shared" si="7"/>
        <v>764.28</v>
      </c>
      <c r="AB220" s="2" t="str">
        <f t="shared" si="8"/>
        <v>Friday</v>
      </c>
      <c r="AC220" s="2" t="str">
        <f t="shared" si="9"/>
        <v>Weekday</v>
      </c>
      <c r="AD220" s="2" t="str">
        <f t="shared" si="10"/>
        <v>christian.clayton</v>
      </c>
      <c r="AE220" s="2" t="str">
        <f t="shared" si="11"/>
        <v>yahoo</v>
      </c>
      <c r="AF220" s="2" t="str">
        <f t="shared" si="12"/>
        <v>Christian Clayton</v>
      </c>
      <c r="AG220" s="2" t="str">
        <f t="shared" si="13"/>
        <v>Christian</v>
      </c>
      <c r="AH220" s="2" t="str">
        <f t="shared" si="14"/>
        <v>Clayton</v>
      </c>
      <c r="AI220" s="2" t="str">
        <f t="shared" si="15"/>
        <v>Before Time</v>
      </c>
      <c r="AJ220" s="2" t="str">
        <f t="shared" si="16"/>
        <v>#NAME?</v>
      </c>
    </row>
    <row r="221" ht="14.25" customHeight="1">
      <c r="A221" s="2" t="s">
        <v>326</v>
      </c>
      <c r="B221" s="2" t="s">
        <v>327</v>
      </c>
      <c r="C221" s="2" t="s">
        <v>328</v>
      </c>
      <c r="D221" s="2">
        <v>23.0</v>
      </c>
      <c r="E221" s="2" t="s">
        <v>22</v>
      </c>
      <c r="F221" s="2" t="s">
        <v>23</v>
      </c>
      <c r="G221" s="2" t="s">
        <v>329</v>
      </c>
      <c r="H221" s="2" t="s">
        <v>2122</v>
      </c>
      <c r="I221" s="2" t="s">
        <v>330</v>
      </c>
      <c r="J221" s="2" t="s">
        <v>1122</v>
      </c>
      <c r="K221" s="3">
        <v>45504.0</v>
      </c>
      <c r="L221" s="2" t="s">
        <v>1123</v>
      </c>
      <c r="M221" s="2" t="s">
        <v>507</v>
      </c>
      <c r="N221" s="2">
        <v>136.3</v>
      </c>
      <c r="O221" s="2">
        <v>2.0</v>
      </c>
      <c r="P221" s="2" t="s">
        <v>89</v>
      </c>
      <c r="Q221" s="2">
        <v>3.0</v>
      </c>
      <c r="R221" s="2">
        <v>47.0</v>
      </c>
      <c r="S221" s="3">
        <v>45511.0</v>
      </c>
      <c r="T221" s="2" t="s">
        <v>1124</v>
      </c>
      <c r="U221" s="2">
        <f t="shared" si="1"/>
        <v>7</v>
      </c>
      <c r="V221" s="2">
        <f t="shared" si="2"/>
        <v>4</v>
      </c>
      <c r="W221" s="2">
        <f t="shared" si="3"/>
        <v>272.6</v>
      </c>
      <c r="X221" s="2">
        <f t="shared" si="4"/>
        <v>319.6</v>
      </c>
      <c r="Y221" s="2">
        <f t="shared" si="5"/>
        <v>0</v>
      </c>
      <c r="Z221" s="2">
        <f t="shared" si="6"/>
        <v>272.6</v>
      </c>
      <c r="AA221" s="2">
        <f t="shared" si="7"/>
        <v>319.6</v>
      </c>
      <c r="AB221" s="2" t="str">
        <f t="shared" si="8"/>
        <v>Wednesday</v>
      </c>
      <c r="AC221" s="2" t="str">
        <f t="shared" si="9"/>
        <v>Weekday</v>
      </c>
      <c r="AD221" s="2" t="str">
        <f t="shared" si="10"/>
        <v>julie.meyer</v>
      </c>
      <c r="AE221" s="2" t="str">
        <f t="shared" si="11"/>
        <v>yahoo</v>
      </c>
      <c r="AF221" s="2" t="str">
        <f t="shared" si="12"/>
        <v>Julie Meyer</v>
      </c>
      <c r="AG221" s="2" t="str">
        <f t="shared" si="13"/>
        <v>Julie</v>
      </c>
      <c r="AH221" s="2" t="str">
        <f t="shared" si="14"/>
        <v>Meyer</v>
      </c>
      <c r="AI221" s="2" t="str">
        <f t="shared" si="15"/>
        <v>Late</v>
      </c>
      <c r="AJ221" s="2" t="str">
        <f t="shared" si="16"/>
        <v>#NAME?</v>
      </c>
    </row>
    <row r="222" ht="14.25" customHeight="1">
      <c r="A222" s="2" t="s">
        <v>1072</v>
      </c>
      <c r="B222" s="2" t="s">
        <v>211</v>
      </c>
      <c r="C222" s="2" t="s">
        <v>1073</v>
      </c>
      <c r="D222" s="2">
        <v>55.0</v>
      </c>
      <c r="E222" s="2" t="s">
        <v>34</v>
      </c>
      <c r="F222" s="2" t="s">
        <v>152</v>
      </c>
      <c r="G222" s="2" t="s">
        <v>1074</v>
      </c>
      <c r="H222" s="2" t="s">
        <v>2149</v>
      </c>
      <c r="I222" s="2" t="s">
        <v>1075</v>
      </c>
      <c r="J222" s="2" t="s">
        <v>1125</v>
      </c>
      <c r="K222" s="3">
        <v>45408.0</v>
      </c>
      <c r="L222" s="2" t="s">
        <v>1126</v>
      </c>
      <c r="M222" s="2" t="s">
        <v>423</v>
      </c>
      <c r="N222" s="2">
        <v>369.03</v>
      </c>
      <c r="O222" s="2">
        <v>3.0</v>
      </c>
      <c r="P222" s="2" t="s">
        <v>78</v>
      </c>
      <c r="Q222" s="2">
        <v>2.0</v>
      </c>
      <c r="R222" s="2">
        <v>65.0</v>
      </c>
      <c r="S222" s="3">
        <v>45412.0</v>
      </c>
      <c r="T222" s="2" t="s">
        <v>1127</v>
      </c>
      <c r="U222" s="2">
        <f t="shared" si="1"/>
        <v>4</v>
      </c>
      <c r="V222" s="2">
        <f t="shared" si="2"/>
        <v>21</v>
      </c>
      <c r="W222" s="2">
        <f t="shared" si="3"/>
        <v>1107.09</v>
      </c>
      <c r="X222" s="2">
        <f t="shared" si="4"/>
        <v>1172.09</v>
      </c>
      <c r="Y222" s="2">
        <f t="shared" si="5"/>
        <v>0</v>
      </c>
      <c r="Z222" s="2">
        <f t="shared" si="6"/>
        <v>1107.09</v>
      </c>
      <c r="AA222" s="2">
        <f t="shared" si="7"/>
        <v>1172.09</v>
      </c>
      <c r="AB222" s="2" t="str">
        <f t="shared" si="8"/>
        <v>Friday</v>
      </c>
      <c r="AC222" s="2" t="str">
        <f t="shared" si="9"/>
        <v>Weekday</v>
      </c>
      <c r="AD222" s="2" t="str">
        <f t="shared" si="10"/>
        <v>mark.summers</v>
      </c>
      <c r="AE222" s="2" t="str">
        <f t="shared" si="11"/>
        <v>outlook</v>
      </c>
      <c r="AF222" s="2" t="str">
        <f t="shared" si="12"/>
        <v>Mark Summers</v>
      </c>
      <c r="AG222" s="2" t="str">
        <f t="shared" si="13"/>
        <v>Mark</v>
      </c>
      <c r="AH222" s="2" t="str">
        <f t="shared" si="14"/>
        <v>Summers</v>
      </c>
      <c r="AI222" s="2" t="str">
        <f t="shared" si="15"/>
        <v>Late</v>
      </c>
      <c r="AJ222" s="2" t="str">
        <f t="shared" si="16"/>
        <v>#NAME?</v>
      </c>
    </row>
    <row r="223" ht="14.25" customHeight="1">
      <c r="A223" s="2" t="s">
        <v>256</v>
      </c>
      <c r="B223" s="2" t="s">
        <v>257</v>
      </c>
      <c r="C223" s="2" t="s">
        <v>258</v>
      </c>
      <c r="D223" s="2">
        <v>54.0</v>
      </c>
      <c r="E223" s="2" t="s">
        <v>34</v>
      </c>
      <c r="F223" s="2" t="s">
        <v>23</v>
      </c>
      <c r="G223" s="2" t="s">
        <v>259</v>
      </c>
      <c r="H223" s="2" t="s">
        <v>2115</v>
      </c>
      <c r="I223" s="2" t="s">
        <v>260</v>
      </c>
      <c r="J223" s="2" t="s">
        <v>1128</v>
      </c>
      <c r="K223" s="3">
        <v>45105.0</v>
      </c>
      <c r="L223" s="2" t="s">
        <v>1129</v>
      </c>
      <c r="M223" s="2" t="s">
        <v>741</v>
      </c>
      <c r="N223" s="2">
        <v>381.73</v>
      </c>
      <c r="O223" s="2">
        <v>2.0</v>
      </c>
      <c r="P223" s="2" t="s">
        <v>51</v>
      </c>
      <c r="Q223" s="2">
        <v>3.0</v>
      </c>
      <c r="R223" s="2">
        <v>70.0</v>
      </c>
      <c r="S223" s="3">
        <v>45112.0</v>
      </c>
      <c r="T223" s="2" t="s">
        <v>1130</v>
      </c>
      <c r="U223" s="2">
        <f t="shared" si="1"/>
        <v>7</v>
      </c>
      <c r="V223" s="2">
        <f t="shared" si="2"/>
        <v>18</v>
      </c>
      <c r="W223" s="2">
        <f t="shared" si="3"/>
        <v>763.46</v>
      </c>
      <c r="X223" s="2">
        <f t="shared" si="4"/>
        <v>833.46</v>
      </c>
      <c r="Y223" s="2">
        <f t="shared" si="5"/>
        <v>0</v>
      </c>
      <c r="Z223" s="2">
        <f t="shared" si="6"/>
        <v>763.46</v>
      </c>
      <c r="AA223" s="2">
        <f t="shared" si="7"/>
        <v>833.46</v>
      </c>
      <c r="AB223" s="2" t="str">
        <f t="shared" si="8"/>
        <v>Wednesday</v>
      </c>
      <c r="AC223" s="2" t="str">
        <f t="shared" si="9"/>
        <v>Weekday</v>
      </c>
      <c r="AD223" s="2" t="str">
        <f t="shared" si="10"/>
        <v>taylor.davis</v>
      </c>
      <c r="AE223" s="2" t="str">
        <f t="shared" si="11"/>
        <v>yahoo</v>
      </c>
      <c r="AF223" s="2" t="str">
        <f t="shared" si="12"/>
        <v>Taylor Davis</v>
      </c>
      <c r="AG223" s="2" t="str">
        <f t="shared" si="13"/>
        <v>Taylor</v>
      </c>
      <c r="AH223" s="2" t="str">
        <f t="shared" si="14"/>
        <v>Davis</v>
      </c>
      <c r="AI223" s="2" t="str">
        <f t="shared" si="15"/>
        <v>Late</v>
      </c>
      <c r="AJ223" s="2" t="str">
        <f t="shared" si="16"/>
        <v>#NAME?</v>
      </c>
    </row>
    <row r="224" ht="14.25" customHeight="1">
      <c r="A224" s="2" t="s">
        <v>639</v>
      </c>
      <c r="B224" s="2" t="s">
        <v>640</v>
      </c>
      <c r="C224" s="2" t="s">
        <v>641</v>
      </c>
      <c r="D224" s="2">
        <v>45.0</v>
      </c>
      <c r="E224" s="2" t="s">
        <v>45</v>
      </c>
      <c r="F224" s="2" t="s">
        <v>83</v>
      </c>
      <c r="G224" s="2" t="s">
        <v>642</v>
      </c>
      <c r="H224" s="2" t="s">
        <v>2151</v>
      </c>
      <c r="I224" s="2" t="s">
        <v>643</v>
      </c>
      <c r="J224" s="2" t="s">
        <v>1131</v>
      </c>
      <c r="K224" s="3">
        <v>45677.0</v>
      </c>
      <c r="L224" s="2" t="s">
        <v>1132</v>
      </c>
      <c r="M224" s="2" t="s">
        <v>488</v>
      </c>
      <c r="N224" s="2">
        <v>421.7</v>
      </c>
      <c r="O224" s="2">
        <v>3.0</v>
      </c>
      <c r="P224" s="2" t="s">
        <v>89</v>
      </c>
      <c r="Q224" s="2">
        <v>6.0</v>
      </c>
      <c r="R224" s="2">
        <v>38.0</v>
      </c>
      <c r="S224" s="3">
        <v>45680.0</v>
      </c>
      <c r="T224" s="2" t="s">
        <v>1133</v>
      </c>
      <c r="U224" s="2">
        <f t="shared" si="1"/>
        <v>3</v>
      </c>
      <c r="V224" s="2">
        <f t="shared" si="2"/>
        <v>2</v>
      </c>
      <c r="W224" s="2">
        <f t="shared" si="3"/>
        <v>1265.1</v>
      </c>
      <c r="X224" s="2">
        <f t="shared" si="4"/>
        <v>1303.1</v>
      </c>
      <c r="Y224" s="2">
        <f t="shared" si="5"/>
        <v>0</v>
      </c>
      <c r="Z224" s="2">
        <f t="shared" si="6"/>
        <v>1265.1</v>
      </c>
      <c r="AA224" s="2">
        <f t="shared" si="7"/>
        <v>1303.1</v>
      </c>
      <c r="AB224" s="2" t="str">
        <f t="shared" si="8"/>
        <v>Monday</v>
      </c>
      <c r="AC224" s="2" t="str">
        <f t="shared" si="9"/>
        <v>Weekday</v>
      </c>
      <c r="AD224" s="2" t="str">
        <f t="shared" si="10"/>
        <v>beth.mason</v>
      </c>
      <c r="AE224" s="2" t="str">
        <f t="shared" si="11"/>
        <v>outlook</v>
      </c>
      <c r="AF224" s="2" t="str">
        <f t="shared" si="12"/>
        <v>Beth Mason</v>
      </c>
      <c r="AG224" s="2" t="str">
        <f t="shared" si="13"/>
        <v>Beth</v>
      </c>
      <c r="AH224" s="2" t="str">
        <f t="shared" si="14"/>
        <v>Mason</v>
      </c>
      <c r="AI224" s="2" t="str">
        <f t="shared" si="15"/>
        <v>Before Time</v>
      </c>
      <c r="AJ224" s="2" t="str">
        <f t="shared" si="16"/>
        <v>#NAME?</v>
      </c>
    </row>
    <row r="225" ht="14.25" customHeight="1">
      <c r="A225" s="2" t="s">
        <v>1072</v>
      </c>
      <c r="B225" s="2" t="s">
        <v>211</v>
      </c>
      <c r="C225" s="2" t="s">
        <v>1073</v>
      </c>
      <c r="D225" s="2">
        <v>55.0</v>
      </c>
      <c r="E225" s="2" t="s">
        <v>34</v>
      </c>
      <c r="F225" s="2" t="s">
        <v>152</v>
      </c>
      <c r="G225" s="2" t="s">
        <v>1074</v>
      </c>
      <c r="H225" s="2" t="s">
        <v>2159</v>
      </c>
      <c r="I225" s="2" t="s">
        <v>1075</v>
      </c>
      <c r="J225" s="2" t="s">
        <v>1134</v>
      </c>
      <c r="K225" s="3">
        <v>45186.0</v>
      </c>
      <c r="L225" s="2" t="s">
        <v>1135</v>
      </c>
      <c r="M225" s="2" t="s">
        <v>74</v>
      </c>
      <c r="N225" s="2">
        <v>330.11</v>
      </c>
      <c r="O225" s="2">
        <v>3.0</v>
      </c>
      <c r="P225" s="2" t="s">
        <v>29</v>
      </c>
      <c r="Q225" s="2">
        <v>2.0</v>
      </c>
      <c r="R225" s="2">
        <v>40.0</v>
      </c>
      <c r="S225" s="3">
        <v>45191.0</v>
      </c>
      <c r="T225" s="2" t="s">
        <v>1136</v>
      </c>
      <c r="U225" s="2">
        <f t="shared" si="1"/>
        <v>5</v>
      </c>
      <c r="V225" s="2">
        <f t="shared" si="2"/>
        <v>23</v>
      </c>
      <c r="W225" s="2">
        <f t="shared" si="3"/>
        <v>990.33</v>
      </c>
      <c r="X225" s="2">
        <f t="shared" si="4"/>
        <v>1030.33</v>
      </c>
      <c r="Y225" s="2">
        <f t="shared" si="5"/>
        <v>0</v>
      </c>
      <c r="Z225" s="2">
        <f t="shared" si="6"/>
        <v>990.33</v>
      </c>
      <c r="AA225" s="2">
        <f t="shared" si="7"/>
        <v>1030.33</v>
      </c>
      <c r="AB225" s="2" t="str">
        <f t="shared" si="8"/>
        <v>Sunday</v>
      </c>
      <c r="AC225" s="2" t="str">
        <f t="shared" si="9"/>
        <v>Weekend</v>
      </c>
      <c r="AD225" s="2" t="str">
        <f t="shared" si="10"/>
        <v>mark.summers</v>
      </c>
      <c r="AE225" s="2" t="str">
        <f t="shared" si="11"/>
        <v>outlook</v>
      </c>
      <c r="AF225" s="2" t="str">
        <f t="shared" si="12"/>
        <v>Mark Summers</v>
      </c>
      <c r="AG225" s="2" t="str">
        <f t="shared" si="13"/>
        <v>Mark</v>
      </c>
      <c r="AH225" s="2" t="str">
        <f t="shared" si="14"/>
        <v>Summers</v>
      </c>
      <c r="AI225" s="2" t="str">
        <f t="shared" si="15"/>
        <v>Late</v>
      </c>
      <c r="AJ225" s="2" t="str">
        <f t="shared" si="16"/>
        <v>#NAME?</v>
      </c>
    </row>
    <row r="226" ht="14.25" customHeight="1">
      <c r="A226" s="2" t="s">
        <v>294</v>
      </c>
      <c r="B226" s="2" t="s">
        <v>295</v>
      </c>
      <c r="C226" s="2" t="s">
        <v>296</v>
      </c>
      <c r="D226" s="2">
        <v>26.0</v>
      </c>
      <c r="E226" s="2" t="s">
        <v>45</v>
      </c>
      <c r="F226" s="2" t="s">
        <v>161</v>
      </c>
      <c r="G226" s="2" t="s">
        <v>297</v>
      </c>
      <c r="H226" s="2" t="s">
        <v>2119</v>
      </c>
      <c r="I226" s="2" t="s">
        <v>298</v>
      </c>
      <c r="J226" s="2" t="s">
        <v>1137</v>
      </c>
      <c r="K226" s="3">
        <v>45537.0</v>
      </c>
      <c r="L226" s="2" t="s">
        <v>1138</v>
      </c>
      <c r="M226" s="2" t="s">
        <v>337</v>
      </c>
      <c r="N226" s="2">
        <v>372.62</v>
      </c>
      <c r="O226" s="2">
        <v>1.0</v>
      </c>
      <c r="P226" s="2" t="s">
        <v>89</v>
      </c>
      <c r="Q226" s="2">
        <v>4.0</v>
      </c>
      <c r="R226" s="2">
        <v>36.0</v>
      </c>
      <c r="S226" s="3">
        <v>45541.0</v>
      </c>
      <c r="T226" s="2" t="s">
        <v>1139</v>
      </c>
      <c r="U226" s="2">
        <f t="shared" si="1"/>
        <v>4</v>
      </c>
      <c r="V226" s="2">
        <f t="shared" si="2"/>
        <v>5</v>
      </c>
      <c r="W226" s="2">
        <f t="shared" si="3"/>
        <v>372.62</v>
      </c>
      <c r="X226" s="2">
        <f t="shared" si="4"/>
        <v>408.62</v>
      </c>
      <c r="Y226" s="2">
        <f t="shared" si="5"/>
        <v>0</v>
      </c>
      <c r="Z226" s="2">
        <f t="shared" si="6"/>
        <v>372.62</v>
      </c>
      <c r="AA226" s="2">
        <f t="shared" si="7"/>
        <v>408.62</v>
      </c>
      <c r="AB226" s="2" t="str">
        <f t="shared" si="8"/>
        <v>Monday</v>
      </c>
      <c r="AC226" s="2" t="str">
        <f t="shared" si="9"/>
        <v>Weekday</v>
      </c>
      <c r="AD226" s="2" t="str">
        <f t="shared" si="10"/>
        <v>valerie.carr</v>
      </c>
      <c r="AE226" s="2" t="str">
        <f t="shared" si="11"/>
        <v>rediffmail</v>
      </c>
      <c r="AF226" s="2" t="str">
        <f t="shared" si="12"/>
        <v>Valerie Carr</v>
      </c>
      <c r="AG226" s="2" t="str">
        <f t="shared" si="13"/>
        <v>Valerie</v>
      </c>
      <c r="AH226" s="2" t="str">
        <f t="shared" si="14"/>
        <v>Carr</v>
      </c>
      <c r="AI226" s="2" t="str">
        <f t="shared" si="15"/>
        <v>InTime</v>
      </c>
      <c r="AJ226" s="2" t="str">
        <f t="shared" si="16"/>
        <v>#NAME?</v>
      </c>
    </row>
    <row r="227" ht="14.25" customHeight="1">
      <c r="A227" s="2" t="s">
        <v>1096</v>
      </c>
      <c r="B227" s="2" t="s">
        <v>1097</v>
      </c>
      <c r="C227" s="2" t="s">
        <v>1098</v>
      </c>
      <c r="D227" s="2">
        <v>18.0</v>
      </c>
      <c r="E227" s="2" t="s">
        <v>22</v>
      </c>
      <c r="F227" s="2" t="s">
        <v>69</v>
      </c>
      <c r="G227" s="2" t="s">
        <v>1099</v>
      </c>
      <c r="H227" s="2" t="s">
        <v>2172</v>
      </c>
      <c r="I227" s="2" t="s">
        <v>1100</v>
      </c>
      <c r="J227" s="2" t="s">
        <v>1140</v>
      </c>
      <c r="K227" s="3">
        <v>45217.0</v>
      </c>
      <c r="L227" s="2" t="s">
        <v>1141</v>
      </c>
      <c r="M227" s="2" t="s">
        <v>316</v>
      </c>
      <c r="N227" s="2">
        <v>481.48</v>
      </c>
      <c r="O227" s="2">
        <v>3.0</v>
      </c>
      <c r="P227" s="2" t="s">
        <v>89</v>
      </c>
      <c r="Q227" s="2">
        <v>2.0</v>
      </c>
      <c r="R227" s="2">
        <v>42.0</v>
      </c>
      <c r="S227" s="3">
        <v>45221.0</v>
      </c>
      <c r="T227" s="2" t="s">
        <v>1142</v>
      </c>
      <c r="U227" s="2">
        <f t="shared" si="1"/>
        <v>4</v>
      </c>
      <c r="V227" s="2">
        <f t="shared" si="2"/>
        <v>16</v>
      </c>
      <c r="W227" s="2">
        <f t="shared" si="3"/>
        <v>1444.44</v>
      </c>
      <c r="X227" s="2">
        <f t="shared" si="4"/>
        <v>1486.44</v>
      </c>
      <c r="Y227" s="2">
        <f t="shared" si="5"/>
        <v>0</v>
      </c>
      <c r="Z227" s="2">
        <f t="shared" si="6"/>
        <v>1444.44</v>
      </c>
      <c r="AA227" s="2">
        <f t="shared" si="7"/>
        <v>1486.44</v>
      </c>
      <c r="AB227" s="2" t="str">
        <f t="shared" si="8"/>
        <v>Wednesday</v>
      </c>
      <c r="AC227" s="2" t="str">
        <f t="shared" si="9"/>
        <v>Weekday</v>
      </c>
      <c r="AD227" s="2" t="str">
        <f t="shared" si="10"/>
        <v>gary.huff</v>
      </c>
      <c r="AE227" s="2" t="str">
        <f t="shared" si="11"/>
        <v>gmail</v>
      </c>
      <c r="AF227" s="2" t="str">
        <f t="shared" si="12"/>
        <v>Gary Huff</v>
      </c>
      <c r="AG227" s="2" t="str">
        <f t="shared" si="13"/>
        <v>Gary</v>
      </c>
      <c r="AH227" s="2" t="str">
        <f t="shared" si="14"/>
        <v>Huff</v>
      </c>
      <c r="AI227" s="2" t="str">
        <f t="shared" si="15"/>
        <v>Late</v>
      </c>
      <c r="AJ227" s="2" t="str">
        <f t="shared" si="16"/>
        <v>#NAME?</v>
      </c>
    </row>
    <row r="228" ht="14.25" customHeight="1">
      <c r="A228" s="2" t="s">
        <v>177</v>
      </c>
      <c r="B228" s="2" t="s">
        <v>178</v>
      </c>
      <c r="C228" s="2" t="s">
        <v>179</v>
      </c>
      <c r="D228" s="2">
        <v>42.0</v>
      </c>
      <c r="E228" s="2" t="s">
        <v>34</v>
      </c>
      <c r="F228" s="2" t="s">
        <v>161</v>
      </c>
      <c r="G228" s="2" t="s">
        <v>180</v>
      </c>
      <c r="H228" s="2" t="s">
        <v>2107</v>
      </c>
      <c r="I228" s="2" t="s">
        <v>181</v>
      </c>
      <c r="J228" s="2" t="s">
        <v>1143</v>
      </c>
      <c r="K228" s="3">
        <v>45555.0</v>
      </c>
      <c r="L228" s="2" t="s">
        <v>1144</v>
      </c>
      <c r="M228" s="2" t="s">
        <v>28</v>
      </c>
      <c r="N228" s="2">
        <v>308.88</v>
      </c>
      <c r="O228" s="2">
        <v>1.0</v>
      </c>
      <c r="P228" s="2" t="s">
        <v>51</v>
      </c>
      <c r="Q228" s="2">
        <v>3.0</v>
      </c>
      <c r="R228" s="2">
        <v>54.0</v>
      </c>
      <c r="S228" s="3">
        <v>45556.0</v>
      </c>
      <c r="T228" s="2" t="s">
        <v>1145</v>
      </c>
      <c r="U228" s="2">
        <f t="shared" si="1"/>
        <v>1</v>
      </c>
      <c r="V228" s="2">
        <f t="shared" si="2"/>
        <v>17</v>
      </c>
      <c r="W228" s="2">
        <f t="shared" si="3"/>
        <v>308.88</v>
      </c>
      <c r="X228" s="2">
        <f t="shared" si="4"/>
        <v>362.88</v>
      </c>
      <c r="Y228" s="2">
        <f t="shared" si="5"/>
        <v>0</v>
      </c>
      <c r="Z228" s="2">
        <f t="shared" si="6"/>
        <v>308.88</v>
      </c>
      <c r="AA228" s="2">
        <f t="shared" si="7"/>
        <v>362.88</v>
      </c>
      <c r="AB228" s="2" t="str">
        <f t="shared" si="8"/>
        <v>Friday</v>
      </c>
      <c r="AC228" s="2" t="str">
        <f t="shared" si="9"/>
        <v>Weekday</v>
      </c>
      <c r="AD228" s="2" t="str">
        <f t="shared" si="10"/>
        <v>mallory.mitchell</v>
      </c>
      <c r="AE228" s="2" t="str">
        <f t="shared" si="11"/>
        <v>yahoo</v>
      </c>
      <c r="AF228" s="2" t="str">
        <f t="shared" si="12"/>
        <v>Mallory Mitchell</v>
      </c>
      <c r="AG228" s="2" t="str">
        <f t="shared" si="13"/>
        <v>Mallory</v>
      </c>
      <c r="AH228" s="2" t="str">
        <f t="shared" si="14"/>
        <v>Mitchell</v>
      </c>
      <c r="AI228" s="2" t="str">
        <f t="shared" si="15"/>
        <v>Before Time</v>
      </c>
      <c r="AJ228" s="2" t="str">
        <f t="shared" si="16"/>
        <v>#NAME?</v>
      </c>
    </row>
    <row r="229" ht="14.25" customHeight="1">
      <c r="A229" s="2" t="s">
        <v>19</v>
      </c>
      <c r="B229" s="2" t="s">
        <v>20</v>
      </c>
      <c r="C229" s="2" t="s">
        <v>21</v>
      </c>
      <c r="D229" s="2">
        <v>37.0</v>
      </c>
      <c r="E229" s="2" t="s">
        <v>22</v>
      </c>
      <c r="F229" s="2" t="s">
        <v>23</v>
      </c>
      <c r="G229" s="2" t="s">
        <v>24</v>
      </c>
      <c r="H229" s="2" t="s">
        <v>2092</v>
      </c>
      <c r="I229" s="2" t="s">
        <v>25</v>
      </c>
      <c r="J229" s="2" t="s">
        <v>1146</v>
      </c>
      <c r="K229" s="3">
        <v>45162.0</v>
      </c>
      <c r="L229" s="2" t="s">
        <v>1147</v>
      </c>
      <c r="M229" s="2" t="s">
        <v>227</v>
      </c>
      <c r="N229" s="2">
        <v>132.97</v>
      </c>
      <c r="O229" s="2">
        <v>4.0</v>
      </c>
      <c r="P229" s="2" t="s">
        <v>89</v>
      </c>
      <c r="Q229" s="2">
        <v>3.0</v>
      </c>
      <c r="R229" s="2">
        <v>43.0</v>
      </c>
      <c r="S229" s="3">
        <v>45163.0</v>
      </c>
      <c r="T229" s="2" t="s">
        <v>1148</v>
      </c>
      <c r="U229" s="2">
        <f t="shared" si="1"/>
        <v>1</v>
      </c>
      <c r="V229" s="2">
        <f t="shared" si="2"/>
        <v>22</v>
      </c>
      <c r="W229" s="2">
        <f t="shared" si="3"/>
        <v>531.88</v>
      </c>
      <c r="X229" s="2">
        <f t="shared" si="4"/>
        <v>574.88</v>
      </c>
      <c r="Y229" s="2">
        <f t="shared" si="5"/>
        <v>0</v>
      </c>
      <c r="Z229" s="2">
        <f t="shared" si="6"/>
        <v>531.88</v>
      </c>
      <c r="AA229" s="2">
        <f t="shared" si="7"/>
        <v>574.88</v>
      </c>
      <c r="AB229" s="2" t="str">
        <f t="shared" si="8"/>
        <v>Thursday</v>
      </c>
      <c r="AC229" s="2" t="str">
        <f t="shared" si="9"/>
        <v>Weekday</v>
      </c>
      <c r="AD229" s="2" t="str">
        <f t="shared" si="10"/>
        <v>anne.oconnell</v>
      </c>
      <c r="AE229" s="2" t="str">
        <f t="shared" si="11"/>
        <v>outlook</v>
      </c>
      <c r="AF229" s="2" t="str">
        <f t="shared" si="12"/>
        <v>Anne Oconnell</v>
      </c>
      <c r="AG229" s="2" t="str">
        <f t="shared" si="13"/>
        <v>Anne</v>
      </c>
      <c r="AH229" s="2" t="str">
        <f t="shared" si="14"/>
        <v>Oconnell</v>
      </c>
      <c r="AI229" s="2" t="str">
        <f t="shared" si="15"/>
        <v>Before Time</v>
      </c>
      <c r="AJ229" s="2" t="str">
        <f t="shared" si="16"/>
        <v>#NAME?</v>
      </c>
    </row>
    <row r="230" ht="14.25" customHeight="1">
      <c r="A230" s="2" t="s">
        <v>220</v>
      </c>
      <c r="B230" s="2" t="s">
        <v>221</v>
      </c>
      <c r="C230" s="2" t="s">
        <v>222</v>
      </c>
      <c r="D230" s="2">
        <v>64.0</v>
      </c>
      <c r="E230" s="2" t="s">
        <v>34</v>
      </c>
      <c r="F230" s="2" t="s">
        <v>35</v>
      </c>
      <c r="G230" s="2" t="s">
        <v>223</v>
      </c>
      <c r="H230" s="2" t="s">
        <v>2112</v>
      </c>
      <c r="I230" s="2" t="s">
        <v>224</v>
      </c>
      <c r="J230" s="2" t="s">
        <v>1149</v>
      </c>
      <c r="K230" s="3">
        <v>45488.0</v>
      </c>
      <c r="L230" s="2" t="s">
        <v>1150</v>
      </c>
      <c r="M230" s="2" t="s">
        <v>337</v>
      </c>
      <c r="N230" s="2">
        <v>372.62</v>
      </c>
      <c r="O230" s="2">
        <v>4.0</v>
      </c>
      <c r="P230" s="2" t="s">
        <v>29</v>
      </c>
      <c r="Q230" s="2">
        <v>1.0</v>
      </c>
      <c r="R230" s="2">
        <v>45.0</v>
      </c>
      <c r="S230" s="3">
        <v>45492.0</v>
      </c>
      <c r="T230" s="2" t="s">
        <v>1151</v>
      </c>
      <c r="U230" s="2">
        <f t="shared" si="1"/>
        <v>4</v>
      </c>
      <c r="V230" s="2">
        <f t="shared" si="2"/>
        <v>18</v>
      </c>
      <c r="W230" s="2">
        <f t="shared" si="3"/>
        <v>1490.48</v>
      </c>
      <c r="X230" s="2">
        <f t="shared" si="4"/>
        <v>1535.48</v>
      </c>
      <c r="Y230" s="2">
        <f t="shared" si="5"/>
        <v>0</v>
      </c>
      <c r="Z230" s="2">
        <f t="shared" si="6"/>
        <v>1490.48</v>
      </c>
      <c r="AA230" s="2">
        <f t="shared" si="7"/>
        <v>1535.48</v>
      </c>
      <c r="AB230" s="2" t="str">
        <f t="shared" si="8"/>
        <v>Monday</v>
      </c>
      <c r="AC230" s="2" t="str">
        <f t="shared" si="9"/>
        <v>Weekday</v>
      </c>
      <c r="AD230" s="2" t="str">
        <f t="shared" si="10"/>
        <v>john.herrera</v>
      </c>
      <c r="AE230" s="2" t="str">
        <f t="shared" si="11"/>
        <v>outlook</v>
      </c>
      <c r="AF230" s="2" t="str">
        <f t="shared" si="12"/>
        <v>John Herrera</v>
      </c>
      <c r="AG230" s="2" t="str">
        <f t="shared" si="13"/>
        <v>John</v>
      </c>
      <c r="AH230" s="2" t="str">
        <f t="shared" si="14"/>
        <v>Herrera</v>
      </c>
      <c r="AI230" s="2" t="str">
        <f t="shared" si="15"/>
        <v>Late</v>
      </c>
      <c r="AJ230" s="2" t="str">
        <f t="shared" si="16"/>
        <v>#NAME?</v>
      </c>
    </row>
    <row r="231" ht="14.25" customHeight="1">
      <c r="A231" s="2" t="s">
        <v>459</v>
      </c>
      <c r="B231" s="2" t="s">
        <v>460</v>
      </c>
      <c r="C231" s="2" t="s">
        <v>461</v>
      </c>
      <c r="D231" s="2">
        <v>18.0</v>
      </c>
      <c r="E231" s="2" t="s">
        <v>34</v>
      </c>
      <c r="F231" s="2" t="s">
        <v>35</v>
      </c>
      <c r="G231" s="2" t="s">
        <v>462</v>
      </c>
      <c r="H231" s="2" t="s">
        <v>2136</v>
      </c>
      <c r="I231" s="2" t="s">
        <v>463</v>
      </c>
      <c r="J231" s="2" t="s">
        <v>1152</v>
      </c>
      <c r="K231" s="3">
        <v>45273.0</v>
      </c>
      <c r="L231" s="2" t="s">
        <v>1153</v>
      </c>
      <c r="M231" s="2" t="s">
        <v>235</v>
      </c>
      <c r="N231" s="2">
        <v>126.19</v>
      </c>
      <c r="O231" s="2">
        <v>5.0</v>
      </c>
      <c r="P231" s="2" t="s">
        <v>89</v>
      </c>
      <c r="Q231" s="2">
        <v>4.0</v>
      </c>
      <c r="R231" s="2">
        <v>47.0</v>
      </c>
      <c r="S231" s="3">
        <v>45280.0</v>
      </c>
      <c r="T231" s="2" t="s">
        <v>1154</v>
      </c>
      <c r="U231" s="2">
        <f t="shared" si="1"/>
        <v>7</v>
      </c>
      <c r="V231" s="2">
        <f t="shared" si="2"/>
        <v>9</v>
      </c>
      <c r="W231" s="2">
        <f t="shared" si="3"/>
        <v>630.95</v>
      </c>
      <c r="X231" s="2">
        <f t="shared" si="4"/>
        <v>677.95</v>
      </c>
      <c r="Y231" s="2">
        <f t="shared" si="5"/>
        <v>0</v>
      </c>
      <c r="Z231" s="2">
        <f t="shared" si="6"/>
        <v>630.95</v>
      </c>
      <c r="AA231" s="2">
        <f t="shared" si="7"/>
        <v>677.95</v>
      </c>
      <c r="AB231" s="2" t="str">
        <f t="shared" si="8"/>
        <v>Wednesday</v>
      </c>
      <c r="AC231" s="2" t="str">
        <f t="shared" si="9"/>
        <v>Weekday</v>
      </c>
      <c r="AD231" s="2" t="str">
        <f t="shared" si="10"/>
        <v>lori.cook</v>
      </c>
      <c r="AE231" s="2" t="str">
        <f t="shared" si="11"/>
        <v>rediffmail</v>
      </c>
      <c r="AF231" s="2" t="str">
        <f t="shared" si="12"/>
        <v>Lori Cook</v>
      </c>
      <c r="AG231" s="2" t="str">
        <f t="shared" si="13"/>
        <v>Lori</v>
      </c>
      <c r="AH231" s="2" t="str">
        <f t="shared" si="14"/>
        <v>Cook</v>
      </c>
      <c r="AI231" s="2" t="str">
        <f t="shared" si="15"/>
        <v>Late</v>
      </c>
      <c r="AJ231" s="2" t="str">
        <f t="shared" si="16"/>
        <v>#NAME?</v>
      </c>
    </row>
    <row r="232" ht="14.25" customHeight="1">
      <c r="A232" s="2" t="s">
        <v>1096</v>
      </c>
      <c r="B232" s="2" t="s">
        <v>1097</v>
      </c>
      <c r="C232" s="2" t="s">
        <v>1098</v>
      </c>
      <c r="D232" s="2">
        <v>18.0</v>
      </c>
      <c r="E232" s="2" t="s">
        <v>22</v>
      </c>
      <c r="F232" s="2" t="s">
        <v>69</v>
      </c>
      <c r="G232" s="2" t="s">
        <v>1099</v>
      </c>
      <c r="H232" s="2" t="s">
        <v>2172</v>
      </c>
      <c r="I232" s="2" t="s">
        <v>1100</v>
      </c>
      <c r="J232" s="2" t="s">
        <v>1155</v>
      </c>
      <c r="K232" s="3">
        <v>45117.0</v>
      </c>
      <c r="L232" s="2" t="s">
        <v>1156</v>
      </c>
      <c r="M232" s="2" t="s">
        <v>583</v>
      </c>
      <c r="N232" s="2">
        <v>403.03</v>
      </c>
      <c r="O232" s="2">
        <v>2.0</v>
      </c>
      <c r="P232" s="2" t="s">
        <v>51</v>
      </c>
      <c r="Q232" s="2">
        <v>7.0</v>
      </c>
      <c r="R232" s="2">
        <v>45.0</v>
      </c>
      <c r="S232" s="3">
        <v>45118.0</v>
      </c>
      <c r="T232" s="2" t="s">
        <v>1157</v>
      </c>
      <c r="U232" s="2">
        <f t="shared" si="1"/>
        <v>1</v>
      </c>
      <c r="V232" s="2">
        <f t="shared" si="2"/>
        <v>6</v>
      </c>
      <c r="W232" s="2">
        <f t="shared" si="3"/>
        <v>806.06</v>
      </c>
      <c r="X232" s="2">
        <f t="shared" si="4"/>
        <v>851.06</v>
      </c>
      <c r="Y232" s="2">
        <f t="shared" si="5"/>
        <v>0</v>
      </c>
      <c r="Z232" s="2">
        <f t="shared" si="6"/>
        <v>806.06</v>
      </c>
      <c r="AA232" s="2">
        <f t="shared" si="7"/>
        <v>851.06</v>
      </c>
      <c r="AB232" s="2" t="str">
        <f t="shared" si="8"/>
        <v>Monday</v>
      </c>
      <c r="AC232" s="2" t="str">
        <f t="shared" si="9"/>
        <v>Weekday</v>
      </c>
      <c r="AD232" s="2" t="str">
        <f t="shared" si="10"/>
        <v>gary.huff</v>
      </c>
      <c r="AE232" s="2" t="str">
        <f t="shared" si="11"/>
        <v>gmail</v>
      </c>
      <c r="AF232" s="2" t="str">
        <f t="shared" si="12"/>
        <v>Gary Huff</v>
      </c>
      <c r="AG232" s="2" t="str">
        <f t="shared" si="13"/>
        <v>Gary</v>
      </c>
      <c r="AH232" s="2" t="str">
        <f t="shared" si="14"/>
        <v>Huff</v>
      </c>
      <c r="AI232" s="2" t="str">
        <f t="shared" si="15"/>
        <v>Before Time</v>
      </c>
      <c r="AJ232" s="2" t="str">
        <f t="shared" si="16"/>
        <v>#NAME?</v>
      </c>
    </row>
    <row r="233" ht="14.25" customHeight="1">
      <c r="A233" s="2" t="s">
        <v>1096</v>
      </c>
      <c r="B233" s="2" t="s">
        <v>1097</v>
      </c>
      <c r="C233" s="2" t="s">
        <v>1098</v>
      </c>
      <c r="D233" s="2">
        <v>18.0</v>
      </c>
      <c r="E233" s="2" t="s">
        <v>22</v>
      </c>
      <c r="F233" s="2" t="s">
        <v>69</v>
      </c>
      <c r="G233" s="2" t="s">
        <v>1099</v>
      </c>
      <c r="H233" s="2" t="s">
        <v>2163</v>
      </c>
      <c r="I233" s="2" t="s">
        <v>1100</v>
      </c>
      <c r="J233" s="2" t="s">
        <v>1158</v>
      </c>
      <c r="K233" s="3">
        <v>45392.0</v>
      </c>
      <c r="L233" s="2" t="s">
        <v>1159</v>
      </c>
      <c r="M233" s="2" t="s">
        <v>280</v>
      </c>
      <c r="N233" s="2">
        <v>157.64</v>
      </c>
      <c r="O233" s="2">
        <v>2.0</v>
      </c>
      <c r="P233" s="2" t="s">
        <v>51</v>
      </c>
      <c r="Q233" s="2">
        <v>5.0</v>
      </c>
      <c r="R233" s="2">
        <v>64.0</v>
      </c>
      <c r="S233" s="3">
        <v>45395.0</v>
      </c>
      <c r="T233" s="2" t="s">
        <v>1160</v>
      </c>
      <c r="U233" s="2">
        <f t="shared" si="1"/>
        <v>3</v>
      </c>
      <c r="V233" s="2">
        <f t="shared" si="2"/>
        <v>22</v>
      </c>
      <c r="W233" s="2">
        <f t="shared" si="3"/>
        <v>315.28</v>
      </c>
      <c r="X233" s="2">
        <f t="shared" si="4"/>
        <v>379.28</v>
      </c>
      <c r="Y233" s="2">
        <f t="shared" si="5"/>
        <v>0</v>
      </c>
      <c r="Z233" s="2">
        <f t="shared" si="6"/>
        <v>315.28</v>
      </c>
      <c r="AA233" s="2">
        <f t="shared" si="7"/>
        <v>379.28</v>
      </c>
      <c r="AB233" s="2" t="str">
        <f t="shared" si="8"/>
        <v>Wednesday</v>
      </c>
      <c r="AC233" s="2" t="str">
        <f t="shared" si="9"/>
        <v>Weekday</v>
      </c>
      <c r="AD233" s="2" t="str">
        <f t="shared" si="10"/>
        <v>gary.huff</v>
      </c>
      <c r="AE233" s="2" t="str">
        <f t="shared" si="11"/>
        <v>gmail</v>
      </c>
      <c r="AF233" s="2" t="str">
        <f t="shared" si="12"/>
        <v>Gary Huff</v>
      </c>
      <c r="AG233" s="2" t="str">
        <f t="shared" si="13"/>
        <v>Gary</v>
      </c>
      <c r="AH233" s="2" t="str">
        <f t="shared" si="14"/>
        <v>Huff</v>
      </c>
      <c r="AI233" s="2" t="str">
        <f t="shared" si="15"/>
        <v>Before Time</v>
      </c>
      <c r="AJ233" s="2" t="str">
        <f t="shared" si="16"/>
        <v>#NAME?</v>
      </c>
    </row>
    <row r="234" ht="14.25" customHeight="1">
      <c r="A234" s="2" t="s">
        <v>1161</v>
      </c>
      <c r="B234" s="2" t="s">
        <v>1162</v>
      </c>
      <c r="C234" s="2" t="s">
        <v>1163</v>
      </c>
      <c r="D234" s="2">
        <v>59.0</v>
      </c>
      <c r="E234" s="2" t="s">
        <v>45</v>
      </c>
      <c r="F234" s="2" t="s">
        <v>161</v>
      </c>
      <c r="G234" s="2" t="s">
        <v>1164</v>
      </c>
      <c r="H234" s="2" t="s">
        <v>2174</v>
      </c>
      <c r="I234" s="2" t="s">
        <v>1165</v>
      </c>
      <c r="J234" s="2" t="s">
        <v>1166</v>
      </c>
      <c r="K234" s="3">
        <v>45251.0</v>
      </c>
      <c r="L234" s="2" t="s">
        <v>1167</v>
      </c>
      <c r="M234" s="2" t="s">
        <v>243</v>
      </c>
      <c r="N234" s="2">
        <v>128.14</v>
      </c>
      <c r="O234" s="2">
        <v>1.0</v>
      </c>
      <c r="P234" s="2" t="s">
        <v>89</v>
      </c>
      <c r="Q234" s="2">
        <v>7.0</v>
      </c>
      <c r="R234" s="2">
        <v>52.0</v>
      </c>
      <c r="S234" s="3">
        <v>45254.0</v>
      </c>
      <c r="T234" s="2" t="s">
        <v>1168</v>
      </c>
      <c r="U234" s="2">
        <f t="shared" si="1"/>
        <v>3</v>
      </c>
      <c r="V234" s="2">
        <f t="shared" si="2"/>
        <v>8</v>
      </c>
      <c r="W234" s="2">
        <f t="shared" si="3"/>
        <v>128.14</v>
      </c>
      <c r="X234" s="2">
        <f t="shared" si="4"/>
        <v>180.14</v>
      </c>
      <c r="Y234" s="2">
        <f t="shared" si="5"/>
        <v>0</v>
      </c>
      <c r="Z234" s="2">
        <f t="shared" si="6"/>
        <v>128.14</v>
      </c>
      <c r="AA234" s="2">
        <f t="shared" si="7"/>
        <v>180.14</v>
      </c>
      <c r="AB234" s="2" t="str">
        <f t="shared" si="8"/>
        <v>Tuesday</v>
      </c>
      <c r="AC234" s="2" t="str">
        <f t="shared" si="9"/>
        <v>Weekday</v>
      </c>
      <c r="AD234" s="2" t="str">
        <f t="shared" si="10"/>
        <v>mike.carter</v>
      </c>
      <c r="AE234" s="2" t="str">
        <f t="shared" si="11"/>
        <v>rediffmail</v>
      </c>
      <c r="AF234" s="2" t="str">
        <f t="shared" si="12"/>
        <v>Mike Carter</v>
      </c>
      <c r="AG234" s="2" t="str">
        <f t="shared" si="13"/>
        <v>Mike</v>
      </c>
      <c r="AH234" s="2" t="str">
        <f t="shared" si="14"/>
        <v>Carter</v>
      </c>
      <c r="AI234" s="2" t="str">
        <f t="shared" si="15"/>
        <v>Before Time</v>
      </c>
      <c r="AJ234" s="2" t="str">
        <f t="shared" si="16"/>
        <v>#NAME?</v>
      </c>
    </row>
    <row r="235" ht="14.25" customHeight="1">
      <c r="A235" s="2" t="s">
        <v>265</v>
      </c>
      <c r="B235" s="2" t="s">
        <v>266</v>
      </c>
      <c r="C235" s="2" t="s">
        <v>267</v>
      </c>
      <c r="D235" s="2">
        <v>44.0</v>
      </c>
      <c r="E235" s="2" t="s">
        <v>22</v>
      </c>
      <c r="F235" s="2" t="s">
        <v>213</v>
      </c>
      <c r="G235" s="2" t="s">
        <v>268</v>
      </c>
      <c r="H235" s="2" t="s">
        <v>2116</v>
      </c>
      <c r="I235" s="2" t="s">
        <v>269</v>
      </c>
      <c r="J235" s="2" t="s">
        <v>1169</v>
      </c>
      <c r="K235" s="3">
        <v>45348.0</v>
      </c>
      <c r="L235" s="2" t="s">
        <v>1170</v>
      </c>
      <c r="M235" s="2" t="s">
        <v>119</v>
      </c>
      <c r="N235" s="2">
        <v>257.06</v>
      </c>
      <c r="O235" s="2">
        <v>3.0</v>
      </c>
      <c r="P235" s="2" t="s">
        <v>56</v>
      </c>
      <c r="Q235" s="2">
        <v>5.0</v>
      </c>
      <c r="R235" s="2">
        <v>63.0</v>
      </c>
      <c r="S235" s="3">
        <v>45354.0</v>
      </c>
      <c r="T235" s="2" t="s">
        <v>1171</v>
      </c>
      <c r="U235" s="2">
        <f t="shared" si="1"/>
        <v>6</v>
      </c>
      <c r="V235" s="2">
        <f t="shared" si="2"/>
        <v>6</v>
      </c>
      <c r="W235" s="2">
        <f t="shared" si="3"/>
        <v>771.18</v>
      </c>
      <c r="X235" s="2">
        <f t="shared" si="4"/>
        <v>834.18</v>
      </c>
      <c r="Y235" s="2">
        <f t="shared" si="5"/>
        <v>0</v>
      </c>
      <c r="Z235" s="2">
        <f t="shared" si="6"/>
        <v>771.18</v>
      </c>
      <c r="AA235" s="2">
        <f t="shared" si="7"/>
        <v>771.18</v>
      </c>
      <c r="AB235" s="2" t="str">
        <f t="shared" si="8"/>
        <v>Monday</v>
      </c>
      <c r="AC235" s="2" t="str">
        <f t="shared" si="9"/>
        <v>Weekday</v>
      </c>
      <c r="AD235" s="2" t="str">
        <f t="shared" si="10"/>
        <v>lauren.long</v>
      </c>
      <c r="AE235" s="2" t="str">
        <f t="shared" si="11"/>
        <v>gmail</v>
      </c>
      <c r="AF235" s="2" t="str">
        <f t="shared" si="12"/>
        <v>Lauren Long</v>
      </c>
      <c r="AG235" s="2" t="str">
        <f t="shared" si="13"/>
        <v>Lauren</v>
      </c>
      <c r="AH235" s="2" t="str">
        <f t="shared" si="14"/>
        <v>Long</v>
      </c>
      <c r="AI235" s="2" t="str">
        <f t="shared" si="15"/>
        <v>Late</v>
      </c>
      <c r="AJ235" s="2" t="str">
        <f t="shared" si="16"/>
        <v>#NAME?</v>
      </c>
    </row>
    <row r="236" ht="14.25" customHeight="1">
      <c r="A236" s="2" t="s">
        <v>539</v>
      </c>
      <c r="B236" s="2" t="s">
        <v>540</v>
      </c>
      <c r="C236" s="2" t="s">
        <v>541</v>
      </c>
      <c r="D236" s="2">
        <v>33.0</v>
      </c>
      <c r="E236" s="2" t="s">
        <v>45</v>
      </c>
      <c r="F236" s="2" t="s">
        <v>161</v>
      </c>
      <c r="G236" s="2" t="s">
        <v>542</v>
      </c>
      <c r="H236" s="2" t="s">
        <v>2145</v>
      </c>
      <c r="I236" s="2" t="s">
        <v>543</v>
      </c>
      <c r="J236" s="2" t="s">
        <v>1172</v>
      </c>
      <c r="K236" s="3">
        <v>45257.0</v>
      </c>
      <c r="L236" s="2" t="s">
        <v>1173</v>
      </c>
      <c r="M236" s="2" t="s">
        <v>166</v>
      </c>
      <c r="N236" s="2">
        <v>272.51</v>
      </c>
      <c r="O236" s="2">
        <v>2.0</v>
      </c>
      <c r="P236" s="2" t="s">
        <v>89</v>
      </c>
      <c r="Q236" s="2">
        <v>4.0</v>
      </c>
      <c r="R236" s="2">
        <v>48.0</v>
      </c>
      <c r="S236" s="3">
        <v>45264.0</v>
      </c>
      <c r="T236" s="2" t="s">
        <v>1174</v>
      </c>
      <c r="U236" s="2">
        <f t="shared" si="1"/>
        <v>7</v>
      </c>
      <c r="V236" s="2">
        <f t="shared" si="2"/>
        <v>9</v>
      </c>
      <c r="W236" s="2">
        <f t="shared" si="3"/>
        <v>545.02</v>
      </c>
      <c r="X236" s="2">
        <f t="shared" si="4"/>
        <v>593.02</v>
      </c>
      <c r="Y236" s="2">
        <f t="shared" si="5"/>
        <v>0</v>
      </c>
      <c r="Z236" s="2">
        <f t="shared" si="6"/>
        <v>545.02</v>
      </c>
      <c r="AA236" s="2">
        <f t="shared" si="7"/>
        <v>593.02</v>
      </c>
      <c r="AB236" s="2" t="str">
        <f t="shared" si="8"/>
        <v>Monday</v>
      </c>
      <c r="AC236" s="2" t="str">
        <f t="shared" si="9"/>
        <v>Weekday</v>
      </c>
      <c r="AD236" s="2" t="str">
        <f t="shared" si="10"/>
        <v>jodi.whitney</v>
      </c>
      <c r="AE236" s="2" t="str">
        <f t="shared" si="11"/>
        <v>yahoo</v>
      </c>
      <c r="AF236" s="2" t="str">
        <f t="shared" si="12"/>
        <v>Jodi Whitney</v>
      </c>
      <c r="AG236" s="2" t="str">
        <f t="shared" si="13"/>
        <v>Jodi</v>
      </c>
      <c r="AH236" s="2" t="str">
        <f t="shared" si="14"/>
        <v>Whitney</v>
      </c>
      <c r="AI236" s="2" t="str">
        <f t="shared" si="15"/>
        <v>Late</v>
      </c>
      <c r="AJ236" s="2" t="str">
        <f t="shared" si="16"/>
        <v>#NAME?</v>
      </c>
    </row>
    <row r="237" ht="14.25" customHeight="1">
      <c r="A237" s="2" t="s">
        <v>265</v>
      </c>
      <c r="B237" s="2" t="s">
        <v>266</v>
      </c>
      <c r="C237" s="2" t="s">
        <v>267</v>
      </c>
      <c r="D237" s="2">
        <v>44.0</v>
      </c>
      <c r="E237" s="2" t="s">
        <v>22</v>
      </c>
      <c r="F237" s="2" t="s">
        <v>213</v>
      </c>
      <c r="G237" s="2" t="s">
        <v>268</v>
      </c>
      <c r="H237" s="2" t="s">
        <v>2116</v>
      </c>
      <c r="I237" s="2" t="s">
        <v>269</v>
      </c>
      <c r="J237" s="2" t="s">
        <v>1175</v>
      </c>
      <c r="K237" s="3">
        <v>45390.0</v>
      </c>
      <c r="L237" s="2" t="s">
        <v>1176</v>
      </c>
      <c r="M237" s="2" t="s">
        <v>88</v>
      </c>
      <c r="N237" s="2">
        <v>363.64</v>
      </c>
      <c r="O237" s="2">
        <v>3.0</v>
      </c>
      <c r="P237" s="2" t="s">
        <v>51</v>
      </c>
      <c r="Q237" s="2">
        <v>1.0</v>
      </c>
      <c r="R237" s="2">
        <v>47.0</v>
      </c>
      <c r="S237" s="3">
        <v>45395.0</v>
      </c>
      <c r="T237" s="2" t="s">
        <v>1177</v>
      </c>
      <c r="U237" s="2">
        <f t="shared" si="1"/>
        <v>5</v>
      </c>
      <c r="V237" s="2">
        <f t="shared" si="2"/>
        <v>10</v>
      </c>
      <c r="W237" s="2">
        <f t="shared" si="3"/>
        <v>1090.92</v>
      </c>
      <c r="X237" s="2">
        <f t="shared" si="4"/>
        <v>1137.92</v>
      </c>
      <c r="Y237" s="2">
        <f t="shared" si="5"/>
        <v>0</v>
      </c>
      <c r="Z237" s="2">
        <f t="shared" si="6"/>
        <v>1090.92</v>
      </c>
      <c r="AA237" s="2">
        <f t="shared" si="7"/>
        <v>1137.92</v>
      </c>
      <c r="AB237" s="2" t="str">
        <f t="shared" si="8"/>
        <v>Monday</v>
      </c>
      <c r="AC237" s="2" t="str">
        <f t="shared" si="9"/>
        <v>Weekday</v>
      </c>
      <c r="AD237" s="2" t="str">
        <f t="shared" si="10"/>
        <v>lauren.long</v>
      </c>
      <c r="AE237" s="2" t="str">
        <f t="shared" si="11"/>
        <v>gmail</v>
      </c>
      <c r="AF237" s="2" t="str">
        <f t="shared" si="12"/>
        <v>Lauren Long</v>
      </c>
      <c r="AG237" s="2" t="str">
        <f t="shared" si="13"/>
        <v>Lauren</v>
      </c>
      <c r="AH237" s="2" t="str">
        <f t="shared" si="14"/>
        <v>Long</v>
      </c>
      <c r="AI237" s="2" t="str">
        <f t="shared" si="15"/>
        <v>Late</v>
      </c>
      <c r="AJ237" s="2" t="str">
        <f t="shared" si="16"/>
        <v>#NAME?</v>
      </c>
    </row>
    <row r="238" ht="14.25" customHeight="1">
      <c r="A238" s="2" t="s">
        <v>585</v>
      </c>
      <c r="B238" s="2" t="s">
        <v>586</v>
      </c>
      <c r="C238" s="2" t="s">
        <v>587</v>
      </c>
      <c r="D238" s="2">
        <v>21.0</v>
      </c>
      <c r="E238" s="2" t="s">
        <v>22</v>
      </c>
      <c r="F238" s="2" t="s">
        <v>35</v>
      </c>
      <c r="G238" s="2" t="s">
        <v>588</v>
      </c>
      <c r="H238" s="2" t="s">
        <v>2147</v>
      </c>
      <c r="I238" s="2" t="s">
        <v>589</v>
      </c>
      <c r="J238" s="2" t="s">
        <v>1178</v>
      </c>
      <c r="K238" s="3">
        <v>45578.0</v>
      </c>
      <c r="L238" s="2" t="s">
        <v>1179</v>
      </c>
      <c r="M238" s="2" t="s">
        <v>88</v>
      </c>
      <c r="N238" s="2">
        <v>363.64</v>
      </c>
      <c r="O238" s="2">
        <v>3.0</v>
      </c>
      <c r="P238" s="2" t="s">
        <v>78</v>
      </c>
      <c r="Q238" s="2">
        <v>6.0</v>
      </c>
      <c r="R238" s="2">
        <v>64.0</v>
      </c>
      <c r="S238" s="3">
        <v>45585.0</v>
      </c>
      <c r="T238" s="2" t="s">
        <v>1180</v>
      </c>
      <c r="U238" s="2">
        <f t="shared" si="1"/>
        <v>7</v>
      </c>
      <c r="V238" s="2">
        <f t="shared" si="2"/>
        <v>8</v>
      </c>
      <c r="W238" s="2">
        <f t="shared" si="3"/>
        <v>1090.92</v>
      </c>
      <c r="X238" s="2">
        <f t="shared" si="4"/>
        <v>1154.92</v>
      </c>
      <c r="Y238" s="2">
        <f t="shared" si="5"/>
        <v>0</v>
      </c>
      <c r="Z238" s="2">
        <f t="shared" si="6"/>
        <v>1090.92</v>
      </c>
      <c r="AA238" s="2">
        <f t="shared" si="7"/>
        <v>1154.92</v>
      </c>
      <c r="AB238" s="2" t="str">
        <f t="shared" si="8"/>
        <v>Sunday</v>
      </c>
      <c r="AC238" s="2" t="str">
        <f t="shared" si="9"/>
        <v>Weekend</v>
      </c>
      <c r="AD238" s="2" t="str">
        <f t="shared" si="10"/>
        <v>william.mann</v>
      </c>
      <c r="AE238" s="2" t="str">
        <f t="shared" si="11"/>
        <v>yahoo</v>
      </c>
      <c r="AF238" s="2" t="str">
        <f t="shared" si="12"/>
        <v>William Mann</v>
      </c>
      <c r="AG238" s="2" t="str">
        <f t="shared" si="13"/>
        <v>William</v>
      </c>
      <c r="AH238" s="2" t="str">
        <f t="shared" si="14"/>
        <v>Mann</v>
      </c>
      <c r="AI238" s="2" t="str">
        <f t="shared" si="15"/>
        <v>Late</v>
      </c>
      <c r="AJ238" s="2" t="str">
        <f t="shared" si="16"/>
        <v>#NAME?</v>
      </c>
    </row>
    <row r="239" ht="14.25" customHeight="1">
      <c r="A239" s="2" t="s">
        <v>632</v>
      </c>
      <c r="B239" s="2" t="s">
        <v>141</v>
      </c>
      <c r="C239" s="2" t="s">
        <v>633</v>
      </c>
      <c r="D239" s="2">
        <v>44.0</v>
      </c>
      <c r="E239" s="2" t="s">
        <v>45</v>
      </c>
      <c r="F239" s="2" t="s">
        <v>83</v>
      </c>
      <c r="G239" s="2" t="s">
        <v>634</v>
      </c>
      <c r="H239" s="2" t="s">
        <v>2150</v>
      </c>
      <c r="I239" s="2" t="s">
        <v>635</v>
      </c>
      <c r="J239" s="2" t="s">
        <v>1181</v>
      </c>
      <c r="K239" s="3">
        <v>45109.0</v>
      </c>
      <c r="L239" s="2" t="s">
        <v>1182</v>
      </c>
      <c r="M239" s="2" t="s">
        <v>650</v>
      </c>
      <c r="N239" s="2">
        <v>235.63</v>
      </c>
      <c r="O239" s="2">
        <v>5.0</v>
      </c>
      <c r="P239" s="2" t="s">
        <v>78</v>
      </c>
      <c r="Q239" s="2">
        <v>6.0</v>
      </c>
      <c r="R239" s="2">
        <v>63.0</v>
      </c>
      <c r="S239" s="3">
        <v>45114.0</v>
      </c>
      <c r="T239" s="2" t="s">
        <v>1183</v>
      </c>
      <c r="U239" s="2">
        <f t="shared" si="1"/>
        <v>5</v>
      </c>
      <c r="V239" s="2">
        <f t="shared" si="2"/>
        <v>10</v>
      </c>
      <c r="W239" s="2">
        <f t="shared" si="3"/>
        <v>1178.15</v>
      </c>
      <c r="X239" s="2">
        <f t="shared" si="4"/>
        <v>1241.15</v>
      </c>
      <c r="Y239" s="2">
        <f t="shared" si="5"/>
        <v>0</v>
      </c>
      <c r="Z239" s="2">
        <f t="shared" si="6"/>
        <v>1178.15</v>
      </c>
      <c r="AA239" s="2">
        <f t="shared" si="7"/>
        <v>1241.15</v>
      </c>
      <c r="AB239" s="2" t="str">
        <f t="shared" si="8"/>
        <v>Sunday</v>
      </c>
      <c r="AC239" s="2" t="str">
        <f t="shared" si="9"/>
        <v>Weekend</v>
      </c>
      <c r="AD239" s="2" t="str">
        <f t="shared" si="10"/>
        <v>amy.ellis</v>
      </c>
      <c r="AE239" s="2" t="str">
        <f t="shared" si="11"/>
        <v>gmail</v>
      </c>
      <c r="AF239" s="2" t="str">
        <f t="shared" si="12"/>
        <v>Amy Ellis</v>
      </c>
      <c r="AG239" s="2" t="str">
        <f t="shared" si="13"/>
        <v>Amy</v>
      </c>
      <c r="AH239" s="2" t="str">
        <f t="shared" si="14"/>
        <v>Ellis</v>
      </c>
      <c r="AI239" s="2" t="str">
        <f t="shared" si="15"/>
        <v>Before Time</v>
      </c>
      <c r="AJ239" s="2" t="str">
        <f t="shared" si="16"/>
        <v>#NAME?</v>
      </c>
    </row>
    <row r="240" ht="14.25" customHeight="1">
      <c r="A240" s="2" t="s">
        <v>1184</v>
      </c>
      <c r="B240" s="2" t="s">
        <v>33</v>
      </c>
      <c r="C240" s="2" t="s">
        <v>1185</v>
      </c>
      <c r="D240" s="2">
        <v>34.0</v>
      </c>
      <c r="E240" s="2" t="s">
        <v>45</v>
      </c>
      <c r="F240" s="2" t="s">
        <v>213</v>
      </c>
      <c r="G240" s="2" t="s">
        <v>1186</v>
      </c>
      <c r="H240" s="2" t="s">
        <v>2175</v>
      </c>
      <c r="I240" s="2" t="s">
        <v>1187</v>
      </c>
      <c r="J240" s="2" t="s">
        <v>1188</v>
      </c>
      <c r="K240" s="3">
        <v>45595.0</v>
      </c>
      <c r="L240" s="2" t="s">
        <v>1189</v>
      </c>
      <c r="M240" s="2" t="s">
        <v>556</v>
      </c>
      <c r="N240" s="2">
        <v>133.62</v>
      </c>
      <c r="O240" s="2">
        <v>1.0</v>
      </c>
      <c r="P240" s="2" t="s">
        <v>29</v>
      </c>
      <c r="Q240" s="2">
        <v>1.0</v>
      </c>
      <c r="R240" s="2">
        <v>57.0</v>
      </c>
      <c r="S240" s="3">
        <v>45602.0</v>
      </c>
      <c r="T240" s="2" t="s">
        <v>1190</v>
      </c>
      <c r="U240" s="2">
        <f t="shared" si="1"/>
        <v>7</v>
      </c>
      <c r="V240" s="2">
        <f t="shared" si="2"/>
        <v>6</v>
      </c>
      <c r="W240" s="2">
        <f t="shared" si="3"/>
        <v>133.62</v>
      </c>
      <c r="X240" s="2">
        <f t="shared" si="4"/>
        <v>190.62</v>
      </c>
      <c r="Y240" s="2">
        <f t="shared" si="5"/>
        <v>0</v>
      </c>
      <c r="Z240" s="2">
        <f t="shared" si="6"/>
        <v>133.62</v>
      </c>
      <c r="AA240" s="2">
        <f t="shared" si="7"/>
        <v>190.62</v>
      </c>
      <c r="AB240" s="2" t="str">
        <f t="shared" si="8"/>
        <v>Wednesday</v>
      </c>
      <c r="AC240" s="2" t="str">
        <f t="shared" si="9"/>
        <v>Weekday</v>
      </c>
      <c r="AD240" s="2" t="str">
        <f t="shared" si="10"/>
        <v>thomas.owens</v>
      </c>
      <c r="AE240" s="2" t="str">
        <f t="shared" si="11"/>
        <v>outlook</v>
      </c>
      <c r="AF240" s="2" t="str">
        <f t="shared" si="12"/>
        <v>Thomas Owens</v>
      </c>
      <c r="AG240" s="2" t="str">
        <f t="shared" si="13"/>
        <v>Thomas</v>
      </c>
      <c r="AH240" s="2" t="str">
        <f t="shared" si="14"/>
        <v>Owens</v>
      </c>
      <c r="AI240" s="2" t="str">
        <f t="shared" si="15"/>
        <v>Late</v>
      </c>
      <c r="AJ240" s="2" t="str">
        <f t="shared" si="16"/>
        <v>#NAME?</v>
      </c>
    </row>
    <row r="241" ht="14.25" customHeight="1">
      <c r="A241" s="2" t="s">
        <v>286</v>
      </c>
      <c r="B241" s="2" t="s">
        <v>287</v>
      </c>
      <c r="C241" s="2" t="s">
        <v>288</v>
      </c>
      <c r="D241" s="2">
        <v>48.0</v>
      </c>
      <c r="E241" s="2" t="s">
        <v>34</v>
      </c>
      <c r="F241" s="2" t="s">
        <v>83</v>
      </c>
      <c r="G241" s="2" t="s">
        <v>289</v>
      </c>
      <c r="H241" s="2" t="s">
        <v>2118</v>
      </c>
      <c r="I241" s="2" t="s">
        <v>290</v>
      </c>
      <c r="J241" s="2" t="s">
        <v>1191</v>
      </c>
      <c r="K241" s="3">
        <v>45616.0</v>
      </c>
      <c r="L241" s="2" t="s">
        <v>1192</v>
      </c>
      <c r="M241" s="2" t="s">
        <v>239</v>
      </c>
      <c r="N241" s="2">
        <v>282.63</v>
      </c>
      <c r="O241" s="2">
        <v>4.0</v>
      </c>
      <c r="P241" s="2" t="s">
        <v>89</v>
      </c>
      <c r="Q241" s="2">
        <v>1.0</v>
      </c>
      <c r="R241" s="2">
        <v>60.0</v>
      </c>
      <c r="S241" s="3">
        <v>45618.0</v>
      </c>
      <c r="T241" s="2" t="s">
        <v>1193</v>
      </c>
      <c r="U241" s="2">
        <f t="shared" si="1"/>
        <v>2</v>
      </c>
      <c r="V241" s="2">
        <f t="shared" si="2"/>
        <v>22</v>
      </c>
      <c r="W241" s="2">
        <f t="shared" si="3"/>
        <v>1130.52</v>
      </c>
      <c r="X241" s="2">
        <f t="shared" si="4"/>
        <v>1190.52</v>
      </c>
      <c r="Y241" s="2">
        <f t="shared" si="5"/>
        <v>0</v>
      </c>
      <c r="Z241" s="2">
        <f t="shared" si="6"/>
        <v>1130.52</v>
      </c>
      <c r="AA241" s="2">
        <f t="shared" si="7"/>
        <v>1190.52</v>
      </c>
      <c r="AB241" s="2" t="str">
        <f t="shared" si="8"/>
        <v>Wednesday</v>
      </c>
      <c r="AC241" s="2" t="str">
        <f t="shared" si="9"/>
        <v>Weekday</v>
      </c>
      <c r="AD241" s="2" t="str">
        <f t="shared" si="10"/>
        <v>heather.schneider</v>
      </c>
      <c r="AE241" s="2" t="str">
        <f t="shared" si="11"/>
        <v>outlook</v>
      </c>
      <c r="AF241" s="2" t="str">
        <f t="shared" si="12"/>
        <v>Heather Schneider</v>
      </c>
      <c r="AG241" s="2" t="str">
        <f t="shared" si="13"/>
        <v>Heather</v>
      </c>
      <c r="AH241" s="2" t="str">
        <f t="shared" si="14"/>
        <v>Schneider</v>
      </c>
      <c r="AI241" s="2" t="str">
        <f t="shared" si="15"/>
        <v>Late</v>
      </c>
      <c r="AJ241" s="2" t="str">
        <f t="shared" si="16"/>
        <v>#NAME?</v>
      </c>
    </row>
    <row r="242" ht="14.25" customHeight="1">
      <c r="A242" s="2" t="s">
        <v>309</v>
      </c>
      <c r="B242" s="2" t="s">
        <v>310</v>
      </c>
      <c r="C242" s="2" t="s">
        <v>311</v>
      </c>
      <c r="D242" s="2">
        <v>45.0</v>
      </c>
      <c r="E242" s="2" t="s">
        <v>22</v>
      </c>
      <c r="F242" s="2" t="s">
        <v>35</v>
      </c>
      <c r="G242" s="2" t="s">
        <v>312</v>
      </c>
      <c r="H242" s="2" t="s">
        <v>2120</v>
      </c>
      <c r="I242" s="2" t="s">
        <v>313</v>
      </c>
      <c r="J242" s="2" t="s">
        <v>1194</v>
      </c>
      <c r="K242" s="3">
        <v>45271.0</v>
      </c>
      <c r="L242" s="2" t="s">
        <v>1195</v>
      </c>
      <c r="M242" s="2" t="s">
        <v>40</v>
      </c>
      <c r="N242" s="2">
        <v>166.28</v>
      </c>
      <c r="O242" s="2">
        <v>3.0</v>
      </c>
      <c r="P242" s="2" t="s">
        <v>89</v>
      </c>
      <c r="Q242" s="2">
        <v>6.0</v>
      </c>
      <c r="R242" s="2">
        <v>59.0</v>
      </c>
      <c r="S242" s="3">
        <v>45275.0</v>
      </c>
      <c r="T242" s="2" t="s">
        <v>1196</v>
      </c>
      <c r="U242" s="2">
        <f t="shared" si="1"/>
        <v>4</v>
      </c>
      <c r="V242" s="2">
        <f t="shared" si="2"/>
        <v>18</v>
      </c>
      <c r="W242" s="2">
        <f t="shared" si="3"/>
        <v>498.84</v>
      </c>
      <c r="X242" s="2">
        <f t="shared" si="4"/>
        <v>557.84</v>
      </c>
      <c r="Y242" s="2">
        <f t="shared" si="5"/>
        <v>0</v>
      </c>
      <c r="Z242" s="2">
        <f t="shared" si="6"/>
        <v>498.84</v>
      </c>
      <c r="AA242" s="2">
        <f t="shared" si="7"/>
        <v>557.84</v>
      </c>
      <c r="AB242" s="2" t="str">
        <f t="shared" si="8"/>
        <v>Monday</v>
      </c>
      <c r="AC242" s="2" t="str">
        <f t="shared" si="9"/>
        <v>Weekday</v>
      </c>
      <c r="AD242" s="2" t="str">
        <f t="shared" si="10"/>
        <v>jenny.estrada</v>
      </c>
      <c r="AE242" s="2" t="str">
        <f t="shared" si="11"/>
        <v>yahoo</v>
      </c>
      <c r="AF242" s="2" t="str">
        <f t="shared" si="12"/>
        <v>Jenny Estrada</v>
      </c>
      <c r="AG242" s="2" t="str">
        <f t="shared" si="13"/>
        <v>Jenny</v>
      </c>
      <c r="AH242" s="2" t="str">
        <f t="shared" si="14"/>
        <v>Estrada</v>
      </c>
      <c r="AI242" s="2" t="str">
        <f t="shared" si="15"/>
        <v>Before Time</v>
      </c>
      <c r="AJ242" s="2" t="str">
        <f t="shared" si="16"/>
        <v>#NAME?</v>
      </c>
    </row>
    <row r="243" ht="14.25" customHeight="1">
      <c r="A243" s="2" t="s">
        <v>769</v>
      </c>
      <c r="B243" s="2" t="s">
        <v>770</v>
      </c>
      <c r="C243" s="2" t="s">
        <v>771</v>
      </c>
      <c r="D243" s="2">
        <v>32.0</v>
      </c>
      <c r="E243" s="2" t="s">
        <v>22</v>
      </c>
      <c r="F243" s="2" t="s">
        <v>152</v>
      </c>
      <c r="G243" s="2" t="s">
        <v>772</v>
      </c>
      <c r="H243" s="2" t="s">
        <v>2162</v>
      </c>
      <c r="I243" s="2" t="s">
        <v>773</v>
      </c>
      <c r="J243" s="2" t="s">
        <v>1197</v>
      </c>
      <c r="K243" s="3">
        <v>45117.0</v>
      </c>
      <c r="L243" s="2" t="s">
        <v>1198</v>
      </c>
      <c r="M243" s="2" t="s">
        <v>546</v>
      </c>
      <c r="N243" s="2">
        <v>425.59</v>
      </c>
      <c r="O243" s="2">
        <v>5.0</v>
      </c>
      <c r="P243" s="2" t="s">
        <v>29</v>
      </c>
      <c r="Q243" s="2">
        <v>7.0</v>
      </c>
      <c r="R243" s="2">
        <v>57.0</v>
      </c>
      <c r="S243" s="3">
        <v>45124.0</v>
      </c>
      <c r="T243" s="2" t="s">
        <v>1199</v>
      </c>
      <c r="U243" s="2">
        <f t="shared" si="1"/>
        <v>7</v>
      </c>
      <c r="V243" s="2">
        <f t="shared" si="2"/>
        <v>22</v>
      </c>
      <c r="W243" s="2">
        <f t="shared" si="3"/>
        <v>2127.95</v>
      </c>
      <c r="X243" s="2">
        <f t="shared" si="4"/>
        <v>2184.95</v>
      </c>
      <c r="Y243" s="2">
        <f t="shared" si="5"/>
        <v>0</v>
      </c>
      <c r="Z243" s="2">
        <f t="shared" si="6"/>
        <v>2127.95</v>
      </c>
      <c r="AA243" s="2">
        <f t="shared" si="7"/>
        <v>2184.95</v>
      </c>
      <c r="AB243" s="2" t="str">
        <f t="shared" si="8"/>
        <v>Monday</v>
      </c>
      <c r="AC243" s="2" t="str">
        <f t="shared" si="9"/>
        <v>Weekday</v>
      </c>
      <c r="AD243" s="2" t="str">
        <f t="shared" si="10"/>
        <v>lindsey.byrd</v>
      </c>
      <c r="AE243" s="2" t="str">
        <f t="shared" si="11"/>
        <v>rediffmail</v>
      </c>
      <c r="AF243" s="2" t="str">
        <f t="shared" si="12"/>
        <v>Lindsey Byrd</v>
      </c>
      <c r="AG243" s="2" t="str">
        <f t="shared" si="13"/>
        <v>Lindsey</v>
      </c>
      <c r="AH243" s="2" t="str">
        <f t="shared" si="14"/>
        <v>Byrd</v>
      </c>
      <c r="AI243" s="2" t="str">
        <f t="shared" si="15"/>
        <v>InTime</v>
      </c>
      <c r="AJ243" s="2" t="str">
        <f t="shared" si="16"/>
        <v>#NAME?</v>
      </c>
    </row>
    <row r="244" ht="14.25" customHeight="1">
      <c r="A244" s="2" t="s">
        <v>476</v>
      </c>
      <c r="B244" s="2" t="s">
        <v>477</v>
      </c>
      <c r="C244" s="2" t="s">
        <v>123</v>
      </c>
      <c r="D244" s="2">
        <v>68.0</v>
      </c>
      <c r="E244" s="2" t="s">
        <v>45</v>
      </c>
      <c r="F244" s="2" t="s">
        <v>213</v>
      </c>
      <c r="G244" s="2" t="s">
        <v>478</v>
      </c>
      <c r="H244" s="2" t="s">
        <v>2138</v>
      </c>
      <c r="I244" s="2" t="s">
        <v>479</v>
      </c>
      <c r="J244" s="2" t="s">
        <v>1200</v>
      </c>
      <c r="K244" s="3">
        <v>45417.0</v>
      </c>
      <c r="L244" s="2" t="s">
        <v>1201</v>
      </c>
      <c r="M244" s="2" t="s">
        <v>88</v>
      </c>
      <c r="N244" s="2">
        <v>363.64</v>
      </c>
      <c r="O244" s="2">
        <v>5.0</v>
      </c>
      <c r="P244" s="2" t="s">
        <v>89</v>
      </c>
      <c r="Q244" s="2">
        <v>7.0</v>
      </c>
      <c r="R244" s="2">
        <v>60.0</v>
      </c>
      <c r="S244" s="3">
        <v>45419.0</v>
      </c>
      <c r="T244" s="2" t="s">
        <v>1202</v>
      </c>
      <c r="U244" s="2">
        <f t="shared" si="1"/>
        <v>2</v>
      </c>
      <c r="V244" s="2">
        <f t="shared" si="2"/>
        <v>7</v>
      </c>
      <c r="W244" s="2">
        <f t="shared" si="3"/>
        <v>1818.2</v>
      </c>
      <c r="X244" s="2">
        <f t="shared" si="4"/>
        <v>1878.2</v>
      </c>
      <c r="Y244" s="2">
        <f t="shared" si="5"/>
        <v>0</v>
      </c>
      <c r="Z244" s="2">
        <f t="shared" si="6"/>
        <v>1818.2</v>
      </c>
      <c r="AA244" s="2">
        <f t="shared" si="7"/>
        <v>1878.2</v>
      </c>
      <c r="AB244" s="2" t="str">
        <f t="shared" si="8"/>
        <v>Sunday</v>
      </c>
      <c r="AC244" s="2" t="str">
        <f t="shared" si="9"/>
        <v>Weekend</v>
      </c>
      <c r="AD244" s="2" t="str">
        <f t="shared" si="10"/>
        <v>brittany.stewart</v>
      </c>
      <c r="AE244" s="2" t="str">
        <f t="shared" si="11"/>
        <v>gmail</v>
      </c>
      <c r="AF244" s="2" t="str">
        <f t="shared" si="12"/>
        <v>Brittany Stewart</v>
      </c>
      <c r="AG244" s="2" t="str">
        <f t="shared" si="13"/>
        <v>Brittany</v>
      </c>
      <c r="AH244" s="2" t="str">
        <f t="shared" si="14"/>
        <v>Stewart</v>
      </c>
      <c r="AI244" s="2" t="str">
        <f t="shared" si="15"/>
        <v>Before Time</v>
      </c>
      <c r="AJ244" s="2" t="str">
        <f t="shared" si="16"/>
        <v>#NAME?</v>
      </c>
    </row>
    <row r="245" ht="14.25" customHeight="1">
      <c r="A245" s="2" t="s">
        <v>1203</v>
      </c>
      <c r="B245" s="2" t="s">
        <v>1204</v>
      </c>
      <c r="C245" s="2" t="s">
        <v>1205</v>
      </c>
      <c r="D245" s="2">
        <v>50.0</v>
      </c>
      <c r="E245" s="2" t="s">
        <v>45</v>
      </c>
      <c r="F245" s="2" t="s">
        <v>161</v>
      </c>
      <c r="G245" s="2" t="s">
        <v>1206</v>
      </c>
      <c r="H245" s="2" t="s">
        <v>2176</v>
      </c>
      <c r="I245" s="2" t="s">
        <v>1207</v>
      </c>
      <c r="J245" s="2" t="s">
        <v>1208</v>
      </c>
      <c r="K245" s="3">
        <v>45470.0</v>
      </c>
      <c r="L245" s="2" t="s">
        <v>1209</v>
      </c>
      <c r="M245" s="2" t="s">
        <v>583</v>
      </c>
      <c r="N245" s="2">
        <v>403.03</v>
      </c>
      <c r="O245" s="2">
        <v>5.0</v>
      </c>
      <c r="P245" s="2" t="s">
        <v>78</v>
      </c>
      <c r="Q245" s="2">
        <v>2.0</v>
      </c>
      <c r="R245" s="2">
        <v>52.0</v>
      </c>
      <c r="S245" s="3">
        <v>45475.0</v>
      </c>
      <c r="T245" s="2" t="s">
        <v>1210</v>
      </c>
      <c r="U245" s="2">
        <f t="shared" si="1"/>
        <v>5</v>
      </c>
      <c r="V245" s="2">
        <f t="shared" si="2"/>
        <v>14</v>
      </c>
      <c r="W245" s="2">
        <f t="shared" si="3"/>
        <v>2015.15</v>
      </c>
      <c r="X245" s="2">
        <f t="shared" si="4"/>
        <v>2067.15</v>
      </c>
      <c r="Y245" s="2">
        <f t="shared" si="5"/>
        <v>0</v>
      </c>
      <c r="Z245" s="2">
        <f t="shared" si="6"/>
        <v>2015.15</v>
      </c>
      <c r="AA245" s="2">
        <f t="shared" si="7"/>
        <v>2067.15</v>
      </c>
      <c r="AB245" s="2" t="str">
        <f t="shared" si="8"/>
        <v>Thursday</v>
      </c>
      <c r="AC245" s="2" t="str">
        <f t="shared" si="9"/>
        <v>Weekday</v>
      </c>
      <c r="AD245" s="2" t="str">
        <f t="shared" si="10"/>
        <v>brendan.kelly</v>
      </c>
      <c r="AE245" s="2" t="str">
        <f t="shared" si="11"/>
        <v>rediffmail</v>
      </c>
      <c r="AF245" s="2" t="str">
        <f t="shared" si="12"/>
        <v>Brendan Kelly</v>
      </c>
      <c r="AG245" s="2" t="str">
        <f t="shared" si="13"/>
        <v>Brendan</v>
      </c>
      <c r="AH245" s="2" t="str">
        <f t="shared" si="14"/>
        <v>Kelly</v>
      </c>
      <c r="AI245" s="2" t="str">
        <f t="shared" si="15"/>
        <v>Late</v>
      </c>
      <c r="AJ245" s="2" t="str">
        <f t="shared" si="16"/>
        <v>#NAME?</v>
      </c>
    </row>
    <row r="246" ht="14.25" customHeight="1">
      <c r="A246" s="2" t="s">
        <v>513</v>
      </c>
      <c r="B246" s="2" t="s">
        <v>514</v>
      </c>
      <c r="C246" s="2" t="s">
        <v>515</v>
      </c>
      <c r="D246" s="2">
        <v>42.0</v>
      </c>
      <c r="E246" s="2" t="s">
        <v>45</v>
      </c>
      <c r="F246" s="2" t="s">
        <v>69</v>
      </c>
      <c r="G246" s="2" t="s">
        <v>516</v>
      </c>
      <c r="H246" s="2" t="s">
        <v>2142</v>
      </c>
      <c r="I246" s="2" t="s">
        <v>517</v>
      </c>
      <c r="J246" s="2" t="s">
        <v>1211</v>
      </c>
      <c r="K246" s="3">
        <v>44968.0</v>
      </c>
      <c r="L246" s="2" t="s">
        <v>1212</v>
      </c>
      <c r="M246" s="2" t="s">
        <v>423</v>
      </c>
      <c r="N246" s="2">
        <v>369.03</v>
      </c>
      <c r="O246" s="2">
        <v>1.0</v>
      </c>
      <c r="P246" s="2" t="s">
        <v>78</v>
      </c>
      <c r="Q246" s="2">
        <v>6.0</v>
      </c>
      <c r="R246" s="2">
        <v>38.0</v>
      </c>
      <c r="S246" s="3">
        <v>44974.0</v>
      </c>
      <c r="T246" s="2" t="s">
        <v>1213</v>
      </c>
      <c r="U246" s="2">
        <f t="shared" si="1"/>
        <v>6</v>
      </c>
      <c r="V246" s="2">
        <f t="shared" si="2"/>
        <v>20</v>
      </c>
      <c r="W246" s="2">
        <f t="shared" si="3"/>
        <v>369.03</v>
      </c>
      <c r="X246" s="2">
        <f t="shared" si="4"/>
        <v>407.03</v>
      </c>
      <c r="Y246" s="2">
        <f t="shared" si="5"/>
        <v>0</v>
      </c>
      <c r="Z246" s="2">
        <f t="shared" si="6"/>
        <v>369.03</v>
      </c>
      <c r="AA246" s="2">
        <f t="shared" si="7"/>
        <v>407.03</v>
      </c>
      <c r="AB246" s="2" t="str">
        <f t="shared" si="8"/>
        <v>Saturday</v>
      </c>
      <c r="AC246" s="2" t="str">
        <f t="shared" si="9"/>
        <v>Weekend</v>
      </c>
      <c r="AD246" s="2" t="str">
        <f t="shared" si="10"/>
        <v>katherine.weber</v>
      </c>
      <c r="AE246" s="2" t="str">
        <f t="shared" si="11"/>
        <v>outlook</v>
      </c>
      <c r="AF246" s="2" t="str">
        <f t="shared" si="12"/>
        <v>Katherine Weber</v>
      </c>
      <c r="AG246" s="2" t="str">
        <f t="shared" si="13"/>
        <v>Katherine</v>
      </c>
      <c r="AH246" s="2" t="str">
        <f t="shared" si="14"/>
        <v>Weber</v>
      </c>
      <c r="AI246" s="2" t="str">
        <f t="shared" si="15"/>
        <v>InTime</v>
      </c>
      <c r="AJ246" s="2" t="str">
        <f t="shared" si="16"/>
        <v>#NAME?</v>
      </c>
    </row>
    <row r="247" ht="14.25" customHeight="1">
      <c r="A247" s="2" t="s">
        <v>1214</v>
      </c>
      <c r="B247" s="2" t="s">
        <v>1215</v>
      </c>
      <c r="C247" s="2" t="s">
        <v>1216</v>
      </c>
      <c r="D247" s="2">
        <v>19.0</v>
      </c>
      <c r="E247" s="2" t="s">
        <v>34</v>
      </c>
      <c r="F247" s="2" t="s">
        <v>69</v>
      </c>
      <c r="G247" s="2" t="s">
        <v>1217</v>
      </c>
      <c r="H247" s="2" t="s">
        <v>2177</v>
      </c>
      <c r="I247" s="2" t="s">
        <v>1218</v>
      </c>
      <c r="J247" s="2" t="s">
        <v>1219</v>
      </c>
      <c r="K247" s="3">
        <v>45453.0</v>
      </c>
      <c r="L247" s="2" t="s">
        <v>1220</v>
      </c>
      <c r="M247" s="2" t="s">
        <v>488</v>
      </c>
      <c r="N247" s="2">
        <v>421.7</v>
      </c>
      <c r="O247" s="2">
        <v>5.0</v>
      </c>
      <c r="P247" s="2" t="s">
        <v>89</v>
      </c>
      <c r="Q247" s="2">
        <v>6.0</v>
      </c>
      <c r="R247" s="2">
        <v>61.0</v>
      </c>
      <c r="S247" s="3">
        <v>45457.0</v>
      </c>
      <c r="T247" s="2" t="s">
        <v>1221</v>
      </c>
      <c r="U247" s="2">
        <f t="shared" si="1"/>
        <v>4</v>
      </c>
      <c r="V247" s="2">
        <f t="shared" si="2"/>
        <v>8</v>
      </c>
      <c r="W247" s="2">
        <f t="shared" si="3"/>
        <v>2108.5</v>
      </c>
      <c r="X247" s="2">
        <f t="shared" si="4"/>
        <v>2169.5</v>
      </c>
      <c r="Y247" s="2">
        <f t="shared" si="5"/>
        <v>0</v>
      </c>
      <c r="Z247" s="2">
        <f t="shared" si="6"/>
        <v>2108.5</v>
      </c>
      <c r="AA247" s="2">
        <f t="shared" si="7"/>
        <v>2169.5</v>
      </c>
      <c r="AB247" s="2" t="str">
        <f t="shared" si="8"/>
        <v>Monday</v>
      </c>
      <c r="AC247" s="2" t="str">
        <f t="shared" si="9"/>
        <v>Weekday</v>
      </c>
      <c r="AD247" s="2" t="str">
        <f t="shared" si="10"/>
        <v>jessica.ruiz</v>
      </c>
      <c r="AE247" s="2" t="str">
        <f t="shared" si="11"/>
        <v>rediffmail</v>
      </c>
      <c r="AF247" s="2" t="str">
        <f t="shared" si="12"/>
        <v>Jessica Ruiz</v>
      </c>
      <c r="AG247" s="2" t="str">
        <f t="shared" si="13"/>
        <v>Jessica</v>
      </c>
      <c r="AH247" s="2" t="str">
        <f t="shared" si="14"/>
        <v>Ruiz</v>
      </c>
      <c r="AI247" s="2" t="str">
        <f t="shared" si="15"/>
        <v>Before Time</v>
      </c>
      <c r="AJ247" s="2" t="str">
        <f t="shared" si="16"/>
        <v>#NAME?</v>
      </c>
    </row>
    <row r="248" ht="14.25" customHeight="1">
      <c r="A248" s="2" t="s">
        <v>1072</v>
      </c>
      <c r="B248" s="2" t="s">
        <v>211</v>
      </c>
      <c r="C248" s="2" t="s">
        <v>1073</v>
      </c>
      <c r="D248" s="2">
        <v>55.0</v>
      </c>
      <c r="E248" s="2" t="s">
        <v>34</v>
      </c>
      <c r="F248" s="2" t="s">
        <v>152</v>
      </c>
      <c r="G248" s="2" t="s">
        <v>1074</v>
      </c>
      <c r="H248" s="2" t="s">
        <v>2170</v>
      </c>
      <c r="I248" s="2" t="s">
        <v>1075</v>
      </c>
      <c r="J248" s="2" t="s">
        <v>1222</v>
      </c>
      <c r="K248" s="3">
        <v>45608.0</v>
      </c>
      <c r="L248" s="2" t="s">
        <v>1223</v>
      </c>
      <c r="M248" s="2" t="s">
        <v>741</v>
      </c>
      <c r="N248" s="2">
        <v>381.73</v>
      </c>
      <c r="O248" s="2">
        <v>4.0</v>
      </c>
      <c r="P248" s="2" t="s">
        <v>29</v>
      </c>
      <c r="Q248" s="2">
        <v>2.0</v>
      </c>
      <c r="R248" s="2">
        <v>58.0</v>
      </c>
      <c r="S248" s="3">
        <v>45613.0</v>
      </c>
      <c r="T248" s="2" t="s">
        <v>1224</v>
      </c>
      <c r="U248" s="2">
        <f t="shared" si="1"/>
        <v>5</v>
      </c>
      <c r="V248" s="2">
        <f t="shared" si="2"/>
        <v>5</v>
      </c>
      <c r="W248" s="2">
        <f t="shared" si="3"/>
        <v>1526.92</v>
      </c>
      <c r="X248" s="2">
        <f t="shared" si="4"/>
        <v>1584.92</v>
      </c>
      <c r="Y248" s="2">
        <f t="shared" si="5"/>
        <v>0</v>
      </c>
      <c r="Z248" s="2">
        <f t="shared" si="6"/>
        <v>1526.92</v>
      </c>
      <c r="AA248" s="2">
        <f t="shared" si="7"/>
        <v>1584.92</v>
      </c>
      <c r="AB248" s="2" t="str">
        <f t="shared" si="8"/>
        <v>Tuesday</v>
      </c>
      <c r="AC248" s="2" t="str">
        <f t="shared" si="9"/>
        <v>Weekday</v>
      </c>
      <c r="AD248" s="2" t="str">
        <f t="shared" si="10"/>
        <v>mark.summers</v>
      </c>
      <c r="AE248" s="2" t="str">
        <f t="shared" si="11"/>
        <v>outlook</v>
      </c>
      <c r="AF248" s="2" t="str">
        <f t="shared" si="12"/>
        <v>Mark Summers</v>
      </c>
      <c r="AG248" s="2" t="str">
        <f t="shared" si="13"/>
        <v>Mark</v>
      </c>
      <c r="AH248" s="2" t="str">
        <f t="shared" si="14"/>
        <v>Summers</v>
      </c>
      <c r="AI248" s="2" t="str">
        <f t="shared" si="15"/>
        <v>Late</v>
      </c>
      <c r="AJ248" s="2" t="str">
        <f t="shared" si="16"/>
        <v>#NAME?</v>
      </c>
    </row>
    <row r="249" ht="14.25" customHeight="1">
      <c r="A249" s="2" t="s">
        <v>717</v>
      </c>
      <c r="B249" s="2" t="s">
        <v>718</v>
      </c>
      <c r="C249" s="2" t="s">
        <v>160</v>
      </c>
      <c r="D249" s="2">
        <v>70.0</v>
      </c>
      <c r="E249" s="2" t="s">
        <v>34</v>
      </c>
      <c r="F249" s="2" t="s">
        <v>83</v>
      </c>
      <c r="G249" s="2" t="s">
        <v>719</v>
      </c>
      <c r="H249" s="2" t="s">
        <v>2157</v>
      </c>
      <c r="I249" s="2" t="s">
        <v>720</v>
      </c>
      <c r="J249" s="2" t="s">
        <v>1225</v>
      </c>
      <c r="K249" s="3">
        <v>45386.0</v>
      </c>
      <c r="L249" s="2" t="s">
        <v>1226</v>
      </c>
      <c r="M249" s="2" t="s">
        <v>128</v>
      </c>
      <c r="N249" s="2">
        <v>175.93</v>
      </c>
      <c r="O249" s="2">
        <v>2.0</v>
      </c>
      <c r="P249" s="2" t="s">
        <v>89</v>
      </c>
      <c r="Q249" s="2">
        <v>7.0</v>
      </c>
      <c r="R249" s="2">
        <v>61.0</v>
      </c>
      <c r="S249" s="3">
        <v>45391.0</v>
      </c>
      <c r="T249" s="2" t="s">
        <v>1227</v>
      </c>
      <c r="U249" s="2">
        <f t="shared" si="1"/>
        <v>5</v>
      </c>
      <c r="V249" s="2">
        <f t="shared" si="2"/>
        <v>22</v>
      </c>
      <c r="W249" s="2">
        <f t="shared" si="3"/>
        <v>351.86</v>
      </c>
      <c r="X249" s="2">
        <f t="shared" si="4"/>
        <v>412.86</v>
      </c>
      <c r="Y249" s="2">
        <f t="shared" si="5"/>
        <v>0</v>
      </c>
      <c r="Z249" s="2">
        <f t="shared" si="6"/>
        <v>351.86</v>
      </c>
      <c r="AA249" s="2">
        <f t="shared" si="7"/>
        <v>412.86</v>
      </c>
      <c r="AB249" s="2" t="str">
        <f t="shared" si="8"/>
        <v>Thursday</v>
      </c>
      <c r="AC249" s="2" t="str">
        <f t="shared" si="9"/>
        <v>Weekday</v>
      </c>
      <c r="AD249" s="2" t="str">
        <f t="shared" si="10"/>
        <v>lisa.miller</v>
      </c>
      <c r="AE249" s="2" t="str">
        <f t="shared" si="11"/>
        <v>gmail</v>
      </c>
      <c r="AF249" s="2" t="str">
        <f t="shared" si="12"/>
        <v>Lisa Miller</v>
      </c>
      <c r="AG249" s="2" t="str">
        <f t="shared" si="13"/>
        <v>Lisa</v>
      </c>
      <c r="AH249" s="2" t="str">
        <f t="shared" si="14"/>
        <v>Miller</v>
      </c>
      <c r="AI249" s="2" t="str">
        <f t="shared" si="15"/>
        <v>Before Time</v>
      </c>
      <c r="AJ249" s="2" t="str">
        <f t="shared" si="16"/>
        <v>#NAME?</v>
      </c>
    </row>
    <row r="250" ht="14.25" customHeight="1">
      <c r="A250" s="2" t="s">
        <v>405</v>
      </c>
      <c r="B250" s="2" t="s">
        <v>221</v>
      </c>
      <c r="C250" s="2" t="s">
        <v>406</v>
      </c>
      <c r="D250" s="2">
        <v>28.0</v>
      </c>
      <c r="E250" s="2" t="s">
        <v>45</v>
      </c>
      <c r="F250" s="2" t="s">
        <v>133</v>
      </c>
      <c r="G250" s="2" t="s">
        <v>407</v>
      </c>
      <c r="H250" s="2" t="s">
        <v>2130</v>
      </c>
      <c r="I250" s="2" t="s">
        <v>408</v>
      </c>
      <c r="J250" s="2" t="s">
        <v>1228</v>
      </c>
      <c r="K250" s="3">
        <v>45322.0</v>
      </c>
      <c r="L250" s="2" t="s">
        <v>1229</v>
      </c>
      <c r="M250" s="2" t="s">
        <v>741</v>
      </c>
      <c r="N250" s="2">
        <v>381.73</v>
      </c>
      <c r="O250" s="2">
        <v>2.0</v>
      </c>
      <c r="P250" s="2" t="s">
        <v>51</v>
      </c>
      <c r="Q250" s="2">
        <v>2.0</v>
      </c>
      <c r="R250" s="2">
        <v>68.0</v>
      </c>
      <c r="S250" s="3">
        <v>45329.0</v>
      </c>
      <c r="T250" s="2" t="s">
        <v>1230</v>
      </c>
      <c r="U250" s="2">
        <f t="shared" si="1"/>
        <v>7</v>
      </c>
      <c r="V250" s="2">
        <f t="shared" si="2"/>
        <v>6</v>
      </c>
      <c r="W250" s="2">
        <f t="shared" si="3"/>
        <v>763.46</v>
      </c>
      <c r="X250" s="2">
        <f t="shared" si="4"/>
        <v>831.46</v>
      </c>
      <c r="Y250" s="2">
        <f t="shared" si="5"/>
        <v>0</v>
      </c>
      <c r="Z250" s="2">
        <f t="shared" si="6"/>
        <v>763.46</v>
      </c>
      <c r="AA250" s="2">
        <f t="shared" si="7"/>
        <v>831.46</v>
      </c>
      <c r="AB250" s="2" t="str">
        <f t="shared" si="8"/>
        <v>Wednesday</v>
      </c>
      <c r="AC250" s="2" t="str">
        <f t="shared" si="9"/>
        <v>Weekday</v>
      </c>
      <c r="AD250" s="2" t="str">
        <f t="shared" si="10"/>
        <v>john.ramirez</v>
      </c>
      <c r="AE250" s="2" t="str">
        <f t="shared" si="11"/>
        <v>outlook</v>
      </c>
      <c r="AF250" s="2" t="str">
        <f t="shared" si="12"/>
        <v>John Ramirez</v>
      </c>
      <c r="AG250" s="2" t="str">
        <f t="shared" si="13"/>
        <v>John</v>
      </c>
      <c r="AH250" s="2" t="str">
        <f t="shared" si="14"/>
        <v>Ramirez</v>
      </c>
      <c r="AI250" s="2" t="str">
        <f t="shared" si="15"/>
        <v>Late</v>
      </c>
      <c r="AJ250" s="2" t="str">
        <f t="shared" si="16"/>
        <v>#NAME?</v>
      </c>
    </row>
    <row r="251" ht="14.25" customHeight="1">
      <c r="A251" s="2" t="s">
        <v>1231</v>
      </c>
      <c r="B251" s="2" t="s">
        <v>1232</v>
      </c>
      <c r="C251" s="2" t="s">
        <v>1233</v>
      </c>
      <c r="D251" s="2">
        <v>55.0</v>
      </c>
      <c r="E251" s="2" t="s">
        <v>34</v>
      </c>
      <c r="F251" s="2" t="s">
        <v>152</v>
      </c>
      <c r="G251" s="2" t="s">
        <v>1234</v>
      </c>
      <c r="H251" s="2" t="s">
        <v>2178</v>
      </c>
      <c r="I251" s="2" t="s">
        <v>1235</v>
      </c>
      <c r="J251" s="2" t="s">
        <v>1236</v>
      </c>
      <c r="K251" s="3">
        <v>45470.0</v>
      </c>
      <c r="L251" s="2" t="s">
        <v>1237</v>
      </c>
      <c r="M251" s="2" t="s">
        <v>511</v>
      </c>
      <c r="N251" s="2">
        <v>441.03</v>
      </c>
      <c r="O251" s="2">
        <v>3.0</v>
      </c>
      <c r="P251" s="2" t="s">
        <v>56</v>
      </c>
      <c r="Q251" s="2">
        <v>4.0</v>
      </c>
      <c r="R251" s="2">
        <v>47.0</v>
      </c>
      <c r="S251" s="3">
        <v>45473.0</v>
      </c>
      <c r="T251" s="2" t="s">
        <v>1238</v>
      </c>
      <c r="U251" s="2">
        <f t="shared" si="1"/>
        <v>3</v>
      </c>
      <c r="V251" s="2">
        <f t="shared" si="2"/>
        <v>14</v>
      </c>
      <c r="W251" s="2">
        <f t="shared" si="3"/>
        <v>1323.09</v>
      </c>
      <c r="X251" s="2">
        <f t="shared" si="4"/>
        <v>1370.09</v>
      </c>
      <c r="Y251" s="2">
        <f t="shared" si="5"/>
        <v>0</v>
      </c>
      <c r="Z251" s="2">
        <f t="shared" si="6"/>
        <v>1323.09</v>
      </c>
      <c r="AA251" s="2">
        <f t="shared" si="7"/>
        <v>1323.09</v>
      </c>
      <c r="AB251" s="2" t="str">
        <f t="shared" si="8"/>
        <v>Thursday</v>
      </c>
      <c r="AC251" s="2" t="str">
        <f t="shared" si="9"/>
        <v>Weekday</v>
      </c>
      <c r="AD251" s="2" t="str">
        <f t="shared" si="10"/>
        <v>hannah.gutierrez</v>
      </c>
      <c r="AE251" s="2" t="str">
        <f t="shared" si="11"/>
        <v>yahoo</v>
      </c>
      <c r="AF251" s="2" t="str">
        <f t="shared" si="12"/>
        <v>Hannah Gutierrez</v>
      </c>
      <c r="AG251" s="2" t="str">
        <f t="shared" si="13"/>
        <v>Hannah</v>
      </c>
      <c r="AH251" s="2" t="str">
        <f t="shared" si="14"/>
        <v>Gutierrez</v>
      </c>
      <c r="AI251" s="2" t="str">
        <f t="shared" si="15"/>
        <v>Before Time</v>
      </c>
      <c r="AJ251" s="2" t="str">
        <f t="shared" si="16"/>
        <v>#NAME?</v>
      </c>
    </row>
    <row r="252" ht="14.25" customHeight="1">
      <c r="A252" s="2" t="s">
        <v>1239</v>
      </c>
      <c r="B252" s="2" t="s">
        <v>59</v>
      </c>
      <c r="C252" s="2" t="s">
        <v>1240</v>
      </c>
      <c r="D252" s="2">
        <v>40.0</v>
      </c>
      <c r="E252" s="2" t="s">
        <v>22</v>
      </c>
      <c r="F252" s="2" t="s">
        <v>69</v>
      </c>
      <c r="G252" s="2" t="s">
        <v>1241</v>
      </c>
      <c r="H252" s="2" t="s">
        <v>2179</v>
      </c>
      <c r="I252" s="2" t="s">
        <v>1242</v>
      </c>
      <c r="J252" s="2" t="s">
        <v>1243</v>
      </c>
      <c r="K252" s="3">
        <v>45531.0</v>
      </c>
      <c r="L252" s="2" t="s">
        <v>1244</v>
      </c>
      <c r="M252" s="2" t="s">
        <v>507</v>
      </c>
      <c r="N252" s="2">
        <v>136.3</v>
      </c>
      <c r="O252" s="2">
        <v>2.0</v>
      </c>
      <c r="P252" s="2" t="s">
        <v>29</v>
      </c>
      <c r="Q252" s="2">
        <v>6.0</v>
      </c>
      <c r="R252" s="2">
        <v>58.0</v>
      </c>
      <c r="S252" s="3">
        <v>45533.0</v>
      </c>
      <c r="T252" s="2" t="s">
        <v>1245</v>
      </c>
      <c r="U252" s="2">
        <f t="shared" si="1"/>
        <v>2</v>
      </c>
      <c r="V252" s="2">
        <f t="shared" si="2"/>
        <v>22</v>
      </c>
      <c r="W252" s="2">
        <f t="shared" si="3"/>
        <v>272.6</v>
      </c>
      <c r="X252" s="2">
        <f t="shared" si="4"/>
        <v>330.6</v>
      </c>
      <c r="Y252" s="2">
        <f t="shared" si="5"/>
        <v>0</v>
      </c>
      <c r="Z252" s="2">
        <f t="shared" si="6"/>
        <v>272.6</v>
      </c>
      <c r="AA252" s="2">
        <f t="shared" si="7"/>
        <v>330.6</v>
      </c>
      <c r="AB252" s="2" t="str">
        <f t="shared" si="8"/>
        <v>Tuesday</v>
      </c>
      <c r="AC252" s="2" t="str">
        <f t="shared" si="9"/>
        <v>Weekday</v>
      </c>
      <c r="AD252" s="2" t="str">
        <f t="shared" si="10"/>
        <v>angela.casey</v>
      </c>
      <c r="AE252" s="2" t="str">
        <f t="shared" si="11"/>
        <v>gmail</v>
      </c>
      <c r="AF252" s="2" t="str">
        <f t="shared" si="12"/>
        <v>Angela Casey</v>
      </c>
      <c r="AG252" s="2" t="str">
        <f t="shared" si="13"/>
        <v>Angela</v>
      </c>
      <c r="AH252" s="2" t="str">
        <f t="shared" si="14"/>
        <v>Casey</v>
      </c>
      <c r="AI252" s="2" t="str">
        <f t="shared" si="15"/>
        <v>Before Time</v>
      </c>
      <c r="AJ252" s="2" t="str">
        <f t="shared" si="16"/>
        <v>#NAME?</v>
      </c>
    </row>
    <row r="253" ht="14.25" customHeight="1">
      <c r="A253" s="2" t="s">
        <v>539</v>
      </c>
      <c r="B253" s="2" t="s">
        <v>540</v>
      </c>
      <c r="C253" s="2" t="s">
        <v>541</v>
      </c>
      <c r="D253" s="2">
        <v>33.0</v>
      </c>
      <c r="E253" s="2" t="s">
        <v>45</v>
      </c>
      <c r="F253" s="2" t="s">
        <v>161</v>
      </c>
      <c r="G253" s="2" t="s">
        <v>542</v>
      </c>
      <c r="H253" s="2" t="s">
        <v>2145</v>
      </c>
      <c r="I253" s="2" t="s">
        <v>543</v>
      </c>
      <c r="J253" s="2" t="s">
        <v>1246</v>
      </c>
      <c r="K253" s="3">
        <v>45383.0</v>
      </c>
      <c r="L253" s="2" t="s">
        <v>1247</v>
      </c>
      <c r="M253" s="2" t="s">
        <v>583</v>
      </c>
      <c r="N253" s="2">
        <v>403.03</v>
      </c>
      <c r="O253" s="2">
        <v>3.0</v>
      </c>
      <c r="P253" s="2" t="s">
        <v>51</v>
      </c>
      <c r="Q253" s="2">
        <v>5.0</v>
      </c>
      <c r="R253" s="2">
        <v>44.0</v>
      </c>
      <c r="S253" s="3">
        <v>45384.0</v>
      </c>
      <c r="T253" s="2" t="s">
        <v>1248</v>
      </c>
      <c r="U253" s="2">
        <f t="shared" si="1"/>
        <v>1</v>
      </c>
      <c r="V253" s="2">
        <f t="shared" si="2"/>
        <v>3</v>
      </c>
      <c r="W253" s="2">
        <f t="shared" si="3"/>
        <v>1209.09</v>
      </c>
      <c r="X253" s="2">
        <f t="shared" si="4"/>
        <v>1253.09</v>
      </c>
      <c r="Y253" s="2">
        <f t="shared" si="5"/>
        <v>0</v>
      </c>
      <c r="Z253" s="2">
        <f t="shared" si="6"/>
        <v>1209.09</v>
      </c>
      <c r="AA253" s="2">
        <f t="shared" si="7"/>
        <v>1253.09</v>
      </c>
      <c r="AB253" s="2" t="str">
        <f t="shared" si="8"/>
        <v>Monday</v>
      </c>
      <c r="AC253" s="2" t="str">
        <f t="shared" si="9"/>
        <v>Weekday</v>
      </c>
      <c r="AD253" s="2" t="str">
        <f t="shared" si="10"/>
        <v>jodi.whitney</v>
      </c>
      <c r="AE253" s="2" t="str">
        <f t="shared" si="11"/>
        <v>yahoo</v>
      </c>
      <c r="AF253" s="2" t="str">
        <f t="shared" si="12"/>
        <v>Jodi Whitney</v>
      </c>
      <c r="AG253" s="2" t="str">
        <f t="shared" si="13"/>
        <v>Jodi</v>
      </c>
      <c r="AH253" s="2" t="str">
        <f t="shared" si="14"/>
        <v>Whitney</v>
      </c>
      <c r="AI253" s="2" t="str">
        <f t="shared" si="15"/>
        <v>Before Time</v>
      </c>
      <c r="AJ253" s="2" t="str">
        <f t="shared" si="16"/>
        <v>#NAME?</v>
      </c>
    </row>
    <row r="254" ht="14.25" customHeight="1">
      <c r="A254" s="2" t="s">
        <v>979</v>
      </c>
      <c r="B254" s="2" t="s">
        <v>980</v>
      </c>
      <c r="C254" s="2" t="s">
        <v>981</v>
      </c>
      <c r="D254" s="2">
        <v>49.0</v>
      </c>
      <c r="E254" s="2" t="s">
        <v>22</v>
      </c>
      <c r="F254" s="2" t="s">
        <v>35</v>
      </c>
      <c r="G254" s="2" t="s">
        <v>982</v>
      </c>
      <c r="H254" s="2" t="s">
        <v>2171</v>
      </c>
      <c r="I254" s="2" t="s">
        <v>983</v>
      </c>
      <c r="J254" s="2" t="s">
        <v>1249</v>
      </c>
      <c r="K254" s="3">
        <v>45233.0</v>
      </c>
      <c r="L254" s="2" t="s">
        <v>1250</v>
      </c>
      <c r="M254" s="2" t="s">
        <v>741</v>
      </c>
      <c r="N254" s="2">
        <v>381.73</v>
      </c>
      <c r="O254" s="2">
        <v>5.0</v>
      </c>
      <c r="P254" s="2" t="s">
        <v>29</v>
      </c>
      <c r="Q254" s="2">
        <v>7.0</v>
      </c>
      <c r="R254" s="2">
        <v>45.0</v>
      </c>
      <c r="S254" s="3">
        <v>45236.0</v>
      </c>
      <c r="T254" s="2" t="s">
        <v>1251</v>
      </c>
      <c r="U254" s="2">
        <f t="shared" si="1"/>
        <v>3</v>
      </c>
      <c r="V254" s="2">
        <f t="shared" si="2"/>
        <v>7</v>
      </c>
      <c r="W254" s="2">
        <f t="shared" si="3"/>
        <v>1908.65</v>
      </c>
      <c r="X254" s="2">
        <f t="shared" si="4"/>
        <v>1953.65</v>
      </c>
      <c r="Y254" s="2">
        <f t="shared" si="5"/>
        <v>0</v>
      </c>
      <c r="Z254" s="2">
        <f t="shared" si="6"/>
        <v>1908.65</v>
      </c>
      <c r="AA254" s="2">
        <f t="shared" si="7"/>
        <v>1953.65</v>
      </c>
      <c r="AB254" s="2" t="str">
        <f t="shared" si="8"/>
        <v>Friday</v>
      </c>
      <c r="AC254" s="2" t="str">
        <f t="shared" si="9"/>
        <v>Weekday</v>
      </c>
      <c r="AD254" s="2" t="str">
        <f t="shared" si="10"/>
        <v>natasha.michael</v>
      </c>
      <c r="AE254" s="2" t="str">
        <f t="shared" si="11"/>
        <v>gmail</v>
      </c>
      <c r="AF254" s="2" t="str">
        <f t="shared" si="12"/>
        <v>Natasha Michael</v>
      </c>
      <c r="AG254" s="2" t="str">
        <f t="shared" si="13"/>
        <v>Natasha</v>
      </c>
      <c r="AH254" s="2" t="str">
        <f t="shared" si="14"/>
        <v>Michael</v>
      </c>
      <c r="AI254" s="2" t="str">
        <f t="shared" si="15"/>
        <v>Before Time</v>
      </c>
      <c r="AJ254" s="2" t="str">
        <f t="shared" si="16"/>
        <v>#NAME?</v>
      </c>
    </row>
    <row r="255" ht="14.25" customHeight="1">
      <c r="A255" s="2" t="s">
        <v>918</v>
      </c>
      <c r="B255" s="2" t="s">
        <v>919</v>
      </c>
      <c r="C255" s="2" t="s">
        <v>920</v>
      </c>
      <c r="D255" s="2">
        <v>24.0</v>
      </c>
      <c r="E255" s="2" t="s">
        <v>45</v>
      </c>
      <c r="F255" s="2" t="s">
        <v>213</v>
      </c>
      <c r="G255" s="2" t="s">
        <v>921</v>
      </c>
      <c r="H255" s="2" t="s">
        <v>2169</v>
      </c>
      <c r="I255" s="2" t="s">
        <v>922</v>
      </c>
      <c r="J255" s="2" t="s">
        <v>1252</v>
      </c>
      <c r="K255" s="3">
        <v>45668.0</v>
      </c>
      <c r="L255" s="2" t="s">
        <v>1253</v>
      </c>
      <c r="M255" s="2" t="s">
        <v>741</v>
      </c>
      <c r="N255" s="2">
        <v>381.73</v>
      </c>
      <c r="O255" s="2">
        <v>1.0</v>
      </c>
      <c r="P255" s="2" t="s">
        <v>29</v>
      </c>
      <c r="Q255" s="2">
        <v>3.0</v>
      </c>
      <c r="R255" s="2">
        <v>36.0</v>
      </c>
      <c r="S255" s="3">
        <v>45675.0</v>
      </c>
      <c r="T255" s="2" t="s">
        <v>1254</v>
      </c>
      <c r="U255" s="2">
        <f t="shared" si="1"/>
        <v>7</v>
      </c>
      <c r="V255" s="2">
        <f t="shared" si="2"/>
        <v>16</v>
      </c>
      <c r="W255" s="2">
        <f t="shared" si="3"/>
        <v>381.73</v>
      </c>
      <c r="X255" s="2">
        <f t="shared" si="4"/>
        <v>417.73</v>
      </c>
      <c r="Y255" s="2">
        <f t="shared" si="5"/>
        <v>0</v>
      </c>
      <c r="Z255" s="2">
        <f t="shared" si="6"/>
        <v>381.73</v>
      </c>
      <c r="AA255" s="2">
        <f t="shared" si="7"/>
        <v>417.73</v>
      </c>
      <c r="AB255" s="2" t="str">
        <f t="shared" si="8"/>
        <v>Saturday</v>
      </c>
      <c r="AC255" s="2" t="str">
        <f t="shared" si="9"/>
        <v>Weekend</v>
      </c>
      <c r="AD255" s="2" t="str">
        <f t="shared" si="10"/>
        <v>rachael.robinson</v>
      </c>
      <c r="AE255" s="2" t="str">
        <f t="shared" si="11"/>
        <v>rediffmail</v>
      </c>
      <c r="AF255" s="2" t="str">
        <f t="shared" si="12"/>
        <v>Rachael Robinson</v>
      </c>
      <c r="AG255" s="2" t="str">
        <f t="shared" si="13"/>
        <v>Rachael</v>
      </c>
      <c r="AH255" s="2" t="str">
        <f t="shared" si="14"/>
        <v>Robinson</v>
      </c>
      <c r="AI255" s="2" t="str">
        <f t="shared" si="15"/>
        <v>Late</v>
      </c>
      <c r="AJ255" s="2" t="str">
        <f t="shared" si="16"/>
        <v>#NAME?</v>
      </c>
    </row>
    <row r="256" ht="14.25" customHeight="1">
      <c r="A256" s="2" t="s">
        <v>451</v>
      </c>
      <c r="B256" s="2" t="s">
        <v>452</v>
      </c>
      <c r="C256" s="2" t="s">
        <v>453</v>
      </c>
      <c r="D256" s="2">
        <v>63.0</v>
      </c>
      <c r="E256" s="2" t="s">
        <v>22</v>
      </c>
      <c r="F256" s="2" t="s">
        <v>133</v>
      </c>
      <c r="G256" s="2" t="s">
        <v>454</v>
      </c>
      <c r="H256" s="2" t="s">
        <v>2135</v>
      </c>
      <c r="I256" s="2" t="s">
        <v>455</v>
      </c>
      <c r="J256" s="2" t="s">
        <v>1255</v>
      </c>
      <c r="K256" s="3">
        <v>45457.0</v>
      </c>
      <c r="L256" s="2" t="s">
        <v>1256</v>
      </c>
      <c r="M256" s="2" t="s">
        <v>546</v>
      </c>
      <c r="N256" s="2">
        <v>425.59</v>
      </c>
      <c r="O256" s="2">
        <v>1.0</v>
      </c>
      <c r="P256" s="2" t="s">
        <v>78</v>
      </c>
      <c r="Q256" s="2">
        <v>7.0</v>
      </c>
      <c r="R256" s="2">
        <v>40.0</v>
      </c>
      <c r="S256" s="3">
        <v>45460.0</v>
      </c>
      <c r="T256" s="2" t="s">
        <v>1257</v>
      </c>
      <c r="U256" s="2">
        <f t="shared" si="1"/>
        <v>3</v>
      </c>
      <c r="V256" s="2">
        <f t="shared" si="2"/>
        <v>16</v>
      </c>
      <c r="W256" s="2">
        <f t="shared" si="3"/>
        <v>425.59</v>
      </c>
      <c r="X256" s="2">
        <f t="shared" si="4"/>
        <v>465.59</v>
      </c>
      <c r="Y256" s="2">
        <f t="shared" si="5"/>
        <v>0</v>
      </c>
      <c r="Z256" s="2">
        <f t="shared" si="6"/>
        <v>425.59</v>
      </c>
      <c r="AA256" s="2">
        <f t="shared" si="7"/>
        <v>465.59</v>
      </c>
      <c r="AB256" s="2" t="str">
        <f t="shared" si="8"/>
        <v>Friday</v>
      </c>
      <c r="AC256" s="2" t="str">
        <f t="shared" si="9"/>
        <v>Weekday</v>
      </c>
      <c r="AD256" s="2" t="str">
        <f t="shared" si="10"/>
        <v>rebecca.figueroa</v>
      </c>
      <c r="AE256" s="2" t="str">
        <f t="shared" si="11"/>
        <v>outlook</v>
      </c>
      <c r="AF256" s="2" t="str">
        <f t="shared" si="12"/>
        <v>Rebecca Figueroa</v>
      </c>
      <c r="AG256" s="2" t="str">
        <f t="shared" si="13"/>
        <v>Rebecca</v>
      </c>
      <c r="AH256" s="2" t="str">
        <f t="shared" si="14"/>
        <v>Figueroa</v>
      </c>
      <c r="AI256" s="2" t="str">
        <f t="shared" si="15"/>
        <v>Before Time</v>
      </c>
      <c r="AJ256" s="2" t="str">
        <f t="shared" si="16"/>
        <v>#NAME?</v>
      </c>
    </row>
    <row r="257" ht="14.25" customHeight="1">
      <c r="A257" s="2" t="s">
        <v>265</v>
      </c>
      <c r="B257" s="2" t="s">
        <v>266</v>
      </c>
      <c r="C257" s="2" t="s">
        <v>267</v>
      </c>
      <c r="D257" s="2">
        <v>44.0</v>
      </c>
      <c r="E257" s="2" t="s">
        <v>22</v>
      </c>
      <c r="F257" s="2" t="s">
        <v>213</v>
      </c>
      <c r="G257" s="2" t="s">
        <v>268</v>
      </c>
      <c r="H257" s="2" t="s">
        <v>2116</v>
      </c>
      <c r="I257" s="2" t="s">
        <v>269</v>
      </c>
      <c r="J257" s="2" t="s">
        <v>1258</v>
      </c>
      <c r="K257" s="3">
        <v>45659.0</v>
      </c>
      <c r="L257" s="2" t="s">
        <v>1259</v>
      </c>
      <c r="M257" s="2" t="s">
        <v>316</v>
      </c>
      <c r="N257" s="2">
        <v>481.48</v>
      </c>
      <c r="O257" s="2">
        <v>4.0</v>
      </c>
      <c r="P257" s="2" t="s">
        <v>51</v>
      </c>
      <c r="Q257" s="2">
        <v>4.0</v>
      </c>
      <c r="R257" s="2">
        <v>67.0</v>
      </c>
      <c r="S257" s="3">
        <v>45665.0</v>
      </c>
      <c r="T257" s="2" t="s">
        <v>1260</v>
      </c>
      <c r="U257" s="2">
        <f t="shared" si="1"/>
        <v>6</v>
      </c>
      <c r="V257" s="2">
        <f t="shared" si="2"/>
        <v>6</v>
      </c>
      <c r="W257" s="2">
        <f t="shared" si="3"/>
        <v>1925.92</v>
      </c>
      <c r="X257" s="2">
        <f t="shared" si="4"/>
        <v>1992.92</v>
      </c>
      <c r="Y257" s="2">
        <f t="shared" si="5"/>
        <v>0</v>
      </c>
      <c r="Z257" s="2">
        <f t="shared" si="6"/>
        <v>1925.92</v>
      </c>
      <c r="AA257" s="2">
        <f t="shared" si="7"/>
        <v>1992.92</v>
      </c>
      <c r="AB257" s="2" t="str">
        <f t="shared" si="8"/>
        <v>Thursday</v>
      </c>
      <c r="AC257" s="2" t="str">
        <f t="shared" si="9"/>
        <v>Weekday</v>
      </c>
      <c r="AD257" s="2" t="str">
        <f t="shared" si="10"/>
        <v>lauren.long</v>
      </c>
      <c r="AE257" s="2" t="str">
        <f t="shared" si="11"/>
        <v>gmail</v>
      </c>
      <c r="AF257" s="2" t="str">
        <f t="shared" si="12"/>
        <v>Lauren Long</v>
      </c>
      <c r="AG257" s="2" t="str">
        <f t="shared" si="13"/>
        <v>Lauren</v>
      </c>
      <c r="AH257" s="2" t="str">
        <f t="shared" si="14"/>
        <v>Long</v>
      </c>
      <c r="AI257" s="2" t="str">
        <f t="shared" si="15"/>
        <v>Late</v>
      </c>
      <c r="AJ257" s="2" t="str">
        <f t="shared" si="16"/>
        <v>#NAME?</v>
      </c>
    </row>
    <row r="258" ht="14.25" customHeight="1">
      <c r="A258" s="2" t="s">
        <v>149</v>
      </c>
      <c r="B258" s="2" t="s">
        <v>150</v>
      </c>
      <c r="C258" s="2" t="s">
        <v>151</v>
      </c>
      <c r="D258" s="2">
        <v>24.0</v>
      </c>
      <c r="E258" s="2" t="s">
        <v>22</v>
      </c>
      <c r="F258" s="2" t="s">
        <v>152</v>
      </c>
      <c r="G258" s="2" t="s">
        <v>153</v>
      </c>
      <c r="H258" s="2" t="s">
        <v>2104</v>
      </c>
      <c r="I258" s="2" t="s">
        <v>154</v>
      </c>
      <c r="J258" s="2" t="s">
        <v>1261</v>
      </c>
      <c r="K258" s="3">
        <v>45512.0</v>
      </c>
      <c r="L258" s="2" t="s">
        <v>1262</v>
      </c>
      <c r="M258" s="2" t="s">
        <v>488</v>
      </c>
      <c r="N258" s="2">
        <v>421.7</v>
      </c>
      <c r="O258" s="2">
        <v>2.0</v>
      </c>
      <c r="P258" s="2" t="s">
        <v>89</v>
      </c>
      <c r="Q258" s="2">
        <v>2.0</v>
      </c>
      <c r="R258" s="2">
        <v>54.0</v>
      </c>
      <c r="S258" s="3">
        <v>45514.0</v>
      </c>
      <c r="T258" s="2" t="s">
        <v>1263</v>
      </c>
      <c r="U258" s="2">
        <f t="shared" si="1"/>
        <v>2</v>
      </c>
      <c r="V258" s="2">
        <f t="shared" si="2"/>
        <v>17</v>
      </c>
      <c r="W258" s="2">
        <f t="shared" si="3"/>
        <v>843.4</v>
      </c>
      <c r="X258" s="2">
        <f t="shared" si="4"/>
        <v>897.4</v>
      </c>
      <c r="Y258" s="2">
        <f t="shared" si="5"/>
        <v>0</v>
      </c>
      <c r="Z258" s="2">
        <f t="shared" si="6"/>
        <v>843.4</v>
      </c>
      <c r="AA258" s="2">
        <f t="shared" si="7"/>
        <v>897.4</v>
      </c>
      <c r="AB258" s="2" t="str">
        <f t="shared" si="8"/>
        <v>Thursday</v>
      </c>
      <c r="AC258" s="2" t="str">
        <f t="shared" si="9"/>
        <v>Weekday</v>
      </c>
      <c r="AD258" s="2" t="str">
        <f t="shared" si="10"/>
        <v>joshua.campbell</v>
      </c>
      <c r="AE258" s="2" t="str">
        <f t="shared" si="11"/>
        <v>gmail</v>
      </c>
      <c r="AF258" s="2" t="str">
        <f t="shared" si="12"/>
        <v>Joshua Campbell</v>
      </c>
      <c r="AG258" s="2" t="str">
        <f t="shared" si="13"/>
        <v>Joshua</v>
      </c>
      <c r="AH258" s="2" t="str">
        <f t="shared" si="14"/>
        <v>Campbell</v>
      </c>
      <c r="AI258" s="2" t="str">
        <f t="shared" si="15"/>
        <v>InTime</v>
      </c>
      <c r="AJ258" s="2" t="str">
        <f t="shared" si="16"/>
        <v>#NAME?</v>
      </c>
    </row>
    <row r="259" ht="14.25" customHeight="1">
      <c r="A259" s="2" t="s">
        <v>294</v>
      </c>
      <c r="B259" s="2" t="s">
        <v>295</v>
      </c>
      <c r="C259" s="2" t="s">
        <v>296</v>
      </c>
      <c r="D259" s="2">
        <v>26.0</v>
      </c>
      <c r="E259" s="2" t="s">
        <v>45</v>
      </c>
      <c r="F259" s="2" t="s">
        <v>161</v>
      </c>
      <c r="G259" s="2" t="s">
        <v>297</v>
      </c>
      <c r="H259" s="2" t="s">
        <v>2119</v>
      </c>
      <c r="I259" s="2" t="s">
        <v>298</v>
      </c>
      <c r="J259" s="2" t="s">
        <v>1264</v>
      </c>
      <c r="K259" s="3">
        <v>45393.0</v>
      </c>
      <c r="L259" s="2" t="s">
        <v>1265</v>
      </c>
      <c r="M259" s="2" t="s">
        <v>731</v>
      </c>
      <c r="N259" s="2">
        <v>110.95</v>
      </c>
      <c r="O259" s="2">
        <v>3.0</v>
      </c>
      <c r="P259" s="2" t="s">
        <v>56</v>
      </c>
      <c r="Q259" s="2">
        <v>5.0</v>
      </c>
      <c r="R259" s="2">
        <v>47.0</v>
      </c>
      <c r="S259" s="3">
        <v>45399.0</v>
      </c>
      <c r="T259" s="2" t="s">
        <v>1266</v>
      </c>
      <c r="U259" s="2">
        <f t="shared" si="1"/>
        <v>6</v>
      </c>
      <c r="V259" s="2">
        <f t="shared" si="2"/>
        <v>5</v>
      </c>
      <c r="W259" s="2">
        <f t="shared" si="3"/>
        <v>332.85</v>
      </c>
      <c r="X259" s="2">
        <f t="shared" si="4"/>
        <v>379.85</v>
      </c>
      <c r="Y259" s="2">
        <f t="shared" si="5"/>
        <v>0</v>
      </c>
      <c r="Z259" s="2">
        <f t="shared" si="6"/>
        <v>332.85</v>
      </c>
      <c r="AA259" s="2">
        <f t="shared" si="7"/>
        <v>332.85</v>
      </c>
      <c r="AB259" s="2" t="str">
        <f t="shared" si="8"/>
        <v>Thursday</v>
      </c>
      <c r="AC259" s="2" t="str">
        <f t="shared" si="9"/>
        <v>Weekday</v>
      </c>
      <c r="AD259" s="2" t="str">
        <f t="shared" si="10"/>
        <v>valerie.carr</v>
      </c>
      <c r="AE259" s="2" t="str">
        <f t="shared" si="11"/>
        <v>rediffmail</v>
      </c>
      <c r="AF259" s="2" t="str">
        <f t="shared" si="12"/>
        <v>Valerie Carr</v>
      </c>
      <c r="AG259" s="2" t="str">
        <f t="shared" si="13"/>
        <v>Valerie</v>
      </c>
      <c r="AH259" s="2" t="str">
        <f t="shared" si="14"/>
        <v>Carr</v>
      </c>
      <c r="AI259" s="2" t="str">
        <f t="shared" si="15"/>
        <v>Late</v>
      </c>
      <c r="AJ259" s="2" t="str">
        <f t="shared" si="16"/>
        <v>#NAME?</v>
      </c>
    </row>
    <row r="260" ht="14.25" customHeight="1">
      <c r="A260" s="2" t="s">
        <v>500</v>
      </c>
      <c r="B260" s="2" t="s">
        <v>501</v>
      </c>
      <c r="C260" s="2" t="s">
        <v>502</v>
      </c>
      <c r="D260" s="2">
        <v>64.0</v>
      </c>
      <c r="E260" s="2" t="s">
        <v>22</v>
      </c>
      <c r="F260" s="2" t="s">
        <v>23</v>
      </c>
      <c r="G260" s="2" t="s">
        <v>503</v>
      </c>
      <c r="H260" s="2" t="s">
        <v>2141</v>
      </c>
      <c r="I260" s="2" t="s">
        <v>504</v>
      </c>
      <c r="J260" s="2" t="s">
        <v>1267</v>
      </c>
      <c r="K260" s="3">
        <v>45188.0</v>
      </c>
      <c r="L260" s="2" t="s">
        <v>1268</v>
      </c>
      <c r="M260" s="2" t="s">
        <v>239</v>
      </c>
      <c r="N260" s="2">
        <v>282.63</v>
      </c>
      <c r="O260" s="2">
        <v>4.0</v>
      </c>
      <c r="P260" s="2" t="s">
        <v>89</v>
      </c>
      <c r="Q260" s="2">
        <v>3.0</v>
      </c>
      <c r="R260" s="2">
        <v>52.0</v>
      </c>
      <c r="S260" s="3">
        <v>45191.0</v>
      </c>
      <c r="T260" s="2" t="s">
        <v>1269</v>
      </c>
      <c r="U260" s="2">
        <f t="shared" si="1"/>
        <v>3</v>
      </c>
      <c r="V260" s="2">
        <f t="shared" si="2"/>
        <v>0</v>
      </c>
      <c r="W260" s="2">
        <f t="shared" si="3"/>
        <v>1130.52</v>
      </c>
      <c r="X260" s="2">
        <f t="shared" si="4"/>
        <v>1182.52</v>
      </c>
      <c r="Y260" s="2">
        <f t="shared" si="5"/>
        <v>0</v>
      </c>
      <c r="Z260" s="2">
        <f t="shared" si="6"/>
        <v>1130.52</v>
      </c>
      <c r="AA260" s="2">
        <f t="shared" si="7"/>
        <v>1182.52</v>
      </c>
      <c r="AB260" s="2" t="str">
        <f t="shared" si="8"/>
        <v>Tuesday</v>
      </c>
      <c r="AC260" s="2" t="str">
        <f t="shared" si="9"/>
        <v>Weekday</v>
      </c>
      <c r="AD260" s="2" t="str">
        <f t="shared" si="10"/>
        <v>sarah.butler</v>
      </c>
      <c r="AE260" s="2" t="str">
        <f t="shared" si="11"/>
        <v>rediffmail</v>
      </c>
      <c r="AF260" s="2" t="str">
        <f t="shared" si="12"/>
        <v>Sarah Butler</v>
      </c>
      <c r="AG260" s="2" t="str">
        <f t="shared" si="13"/>
        <v>Sarah</v>
      </c>
      <c r="AH260" s="2" t="str">
        <f t="shared" si="14"/>
        <v>Butler</v>
      </c>
      <c r="AI260" s="2" t="str">
        <f t="shared" si="15"/>
        <v>InTime</v>
      </c>
      <c r="AJ260" s="2" t="str">
        <f t="shared" si="16"/>
        <v>#NAME?</v>
      </c>
    </row>
    <row r="261" ht="14.25" customHeight="1">
      <c r="A261" s="2" t="s">
        <v>840</v>
      </c>
      <c r="B261" s="2" t="s">
        <v>841</v>
      </c>
      <c r="C261" s="2" t="s">
        <v>380</v>
      </c>
      <c r="D261" s="2">
        <v>37.0</v>
      </c>
      <c r="E261" s="2" t="s">
        <v>45</v>
      </c>
      <c r="F261" s="2" t="s">
        <v>213</v>
      </c>
      <c r="G261" s="2" t="s">
        <v>842</v>
      </c>
      <c r="H261" s="2" t="s">
        <v>2167</v>
      </c>
      <c r="I261" s="2" t="s">
        <v>843</v>
      </c>
      <c r="J261" s="2" t="s">
        <v>1270</v>
      </c>
      <c r="K261" s="3">
        <v>45335.0</v>
      </c>
      <c r="L261" s="2" t="s">
        <v>1271</v>
      </c>
      <c r="M261" s="2" t="s">
        <v>284</v>
      </c>
      <c r="N261" s="2">
        <v>158.53</v>
      </c>
      <c r="O261" s="2">
        <v>3.0</v>
      </c>
      <c r="P261" s="2" t="s">
        <v>89</v>
      </c>
      <c r="Q261" s="2">
        <v>3.0</v>
      </c>
      <c r="R261" s="2">
        <v>63.0</v>
      </c>
      <c r="S261" s="3">
        <v>45336.0</v>
      </c>
      <c r="T261" s="2" t="s">
        <v>1272</v>
      </c>
      <c r="U261" s="2">
        <f t="shared" si="1"/>
        <v>1</v>
      </c>
      <c r="V261" s="2">
        <f t="shared" si="2"/>
        <v>10</v>
      </c>
      <c r="W261" s="2">
        <f t="shared" si="3"/>
        <v>475.59</v>
      </c>
      <c r="X261" s="2">
        <f t="shared" si="4"/>
        <v>538.59</v>
      </c>
      <c r="Y261" s="2">
        <f t="shared" si="5"/>
        <v>0</v>
      </c>
      <c r="Z261" s="2">
        <f t="shared" si="6"/>
        <v>475.59</v>
      </c>
      <c r="AA261" s="2">
        <f t="shared" si="7"/>
        <v>538.59</v>
      </c>
      <c r="AB261" s="2" t="str">
        <f t="shared" si="8"/>
        <v>Tuesday</v>
      </c>
      <c r="AC261" s="2" t="str">
        <f t="shared" si="9"/>
        <v>Weekday</v>
      </c>
      <c r="AD261" s="2" t="str">
        <f t="shared" si="10"/>
        <v>susan.thompson</v>
      </c>
      <c r="AE261" s="2" t="str">
        <f t="shared" si="11"/>
        <v>outlook</v>
      </c>
      <c r="AF261" s="2" t="str">
        <f t="shared" si="12"/>
        <v>Susan Thompson</v>
      </c>
      <c r="AG261" s="2" t="str">
        <f t="shared" si="13"/>
        <v>Susan</v>
      </c>
      <c r="AH261" s="2" t="str">
        <f t="shared" si="14"/>
        <v>Thompson</v>
      </c>
      <c r="AI261" s="2" t="str">
        <f t="shared" si="15"/>
        <v>Before Time</v>
      </c>
      <c r="AJ261" s="2" t="str">
        <f t="shared" si="16"/>
        <v>#NAME?</v>
      </c>
    </row>
    <row r="262" ht="14.25" customHeight="1">
      <c r="A262" s="2" t="s">
        <v>1072</v>
      </c>
      <c r="B262" s="2" t="s">
        <v>211</v>
      </c>
      <c r="C262" s="2" t="s">
        <v>1073</v>
      </c>
      <c r="D262" s="2">
        <v>55.0</v>
      </c>
      <c r="E262" s="2" t="s">
        <v>34</v>
      </c>
      <c r="F262" s="2" t="s">
        <v>152</v>
      </c>
      <c r="G262" s="2" t="s">
        <v>1074</v>
      </c>
      <c r="H262" s="2" t="s">
        <v>2159</v>
      </c>
      <c r="I262" s="2" t="s">
        <v>1075</v>
      </c>
      <c r="J262" s="2" t="s">
        <v>1273</v>
      </c>
      <c r="K262" s="3">
        <v>45026.0</v>
      </c>
      <c r="L262" s="2" t="s">
        <v>1274</v>
      </c>
      <c r="M262" s="2" t="s">
        <v>263</v>
      </c>
      <c r="N262" s="2">
        <v>62.42</v>
      </c>
      <c r="O262" s="2">
        <v>3.0</v>
      </c>
      <c r="P262" s="2" t="s">
        <v>29</v>
      </c>
      <c r="Q262" s="2">
        <v>3.0</v>
      </c>
      <c r="R262" s="2">
        <v>37.0</v>
      </c>
      <c r="S262" s="3">
        <v>45031.0</v>
      </c>
      <c r="T262" s="2" t="s">
        <v>1275</v>
      </c>
      <c r="U262" s="2">
        <f t="shared" si="1"/>
        <v>5</v>
      </c>
      <c r="V262" s="2">
        <f t="shared" si="2"/>
        <v>22</v>
      </c>
      <c r="W262" s="2">
        <f t="shared" si="3"/>
        <v>187.26</v>
      </c>
      <c r="X262" s="2">
        <f t="shared" si="4"/>
        <v>224.26</v>
      </c>
      <c r="Y262" s="2">
        <f t="shared" si="5"/>
        <v>0</v>
      </c>
      <c r="Z262" s="2">
        <f t="shared" si="6"/>
        <v>187.26</v>
      </c>
      <c r="AA262" s="2">
        <f t="shared" si="7"/>
        <v>224.26</v>
      </c>
      <c r="AB262" s="2" t="str">
        <f t="shared" si="8"/>
        <v>Monday</v>
      </c>
      <c r="AC262" s="2" t="str">
        <f t="shared" si="9"/>
        <v>Weekday</v>
      </c>
      <c r="AD262" s="2" t="str">
        <f t="shared" si="10"/>
        <v>mark.summers</v>
      </c>
      <c r="AE262" s="2" t="str">
        <f t="shared" si="11"/>
        <v>outlook</v>
      </c>
      <c r="AF262" s="2" t="str">
        <f t="shared" si="12"/>
        <v>Mark Summers</v>
      </c>
      <c r="AG262" s="2" t="str">
        <f t="shared" si="13"/>
        <v>Mark</v>
      </c>
      <c r="AH262" s="2" t="str">
        <f t="shared" si="14"/>
        <v>Summers</v>
      </c>
      <c r="AI262" s="2" t="str">
        <f t="shared" si="15"/>
        <v>Late</v>
      </c>
      <c r="AJ262" s="2" t="str">
        <f t="shared" si="16"/>
        <v>#NAME?</v>
      </c>
    </row>
    <row r="263" ht="14.25" customHeight="1">
      <c r="A263" s="2" t="s">
        <v>294</v>
      </c>
      <c r="B263" s="2" t="s">
        <v>295</v>
      </c>
      <c r="C263" s="2" t="s">
        <v>296</v>
      </c>
      <c r="D263" s="2">
        <v>26.0</v>
      </c>
      <c r="E263" s="2" t="s">
        <v>45</v>
      </c>
      <c r="F263" s="2" t="s">
        <v>161</v>
      </c>
      <c r="G263" s="2" t="s">
        <v>297</v>
      </c>
      <c r="H263" s="2" t="s">
        <v>2119</v>
      </c>
      <c r="I263" s="2" t="s">
        <v>298</v>
      </c>
      <c r="J263" s="2" t="s">
        <v>1276</v>
      </c>
      <c r="K263" s="3">
        <v>45454.0</v>
      </c>
      <c r="L263" s="2" t="s">
        <v>1277</v>
      </c>
      <c r="M263" s="2" t="s">
        <v>650</v>
      </c>
      <c r="N263" s="2">
        <v>235.63</v>
      </c>
      <c r="O263" s="2">
        <v>2.0</v>
      </c>
      <c r="P263" s="2" t="s">
        <v>51</v>
      </c>
      <c r="Q263" s="2">
        <v>4.0</v>
      </c>
      <c r="R263" s="2">
        <v>44.0</v>
      </c>
      <c r="S263" s="3">
        <v>45458.0</v>
      </c>
      <c r="T263" s="2" t="s">
        <v>1278</v>
      </c>
      <c r="U263" s="2">
        <f t="shared" si="1"/>
        <v>4</v>
      </c>
      <c r="V263" s="2">
        <f t="shared" si="2"/>
        <v>3</v>
      </c>
      <c r="W263" s="2">
        <f t="shared" si="3"/>
        <v>471.26</v>
      </c>
      <c r="X263" s="2">
        <f t="shared" si="4"/>
        <v>515.26</v>
      </c>
      <c r="Y263" s="2">
        <f t="shared" si="5"/>
        <v>0</v>
      </c>
      <c r="Z263" s="2">
        <f t="shared" si="6"/>
        <v>471.26</v>
      </c>
      <c r="AA263" s="2">
        <f t="shared" si="7"/>
        <v>515.26</v>
      </c>
      <c r="AB263" s="2" t="str">
        <f t="shared" si="8"/>
        <v>Tuesday</v>
      </c>
      <c r="AC263" s="2" t="str">
        <f t="shared" si="9"/>
        <v>Weekday</v>
      </c>
      <c r="AD263" s="2" t="str">
        <f t="shared" si="10"/>
        <v>valerie.carr</v>
      </c>
      <c r="AE263" s="2" t="str">
        <f t="shared" si="11"/>
        <v>rediffmail</v>
      </c>
      <c r="AF263" s="2" t="str">
        <f t="shared" si="12"/>
        <v>Valerie Carr</v>
      </c>
      <c r="AG263" s="2" t="str">
        <f t="shared" si="13"/>
        <v>Valerie</v>
      </c>
      <c r="AH263" s="2" t="str">
        <f t="shared" si="14"/>
        <v>Carr</v>
      </c>
      <c r="AI263" s="2" t="str">
        <f t="shared" si="15"/>
        <v>InTime</v>
      </c>
      <c r="AJ263" s="2" t="str">
        <f t="shared" si="16"/>
        <v>#NAME?</v>
      </c>
    </row>
    <row r="264" ht="14.25" customHeight="1">
      <c r="A264" s="2" t="s">
        <v>265</v>
      </c>
      <c r="B264" s="2" t="s">
        <v>266</v>
      </c>
      <c r="C264" s="2" t="s">
        <v>267</v>
      </c>
      <c r="D264" s="2">
        <v>44.0</v>
      </c>
      <c r="E264" s="2" t="s">
        <v>22</v>
      </c>
      <c r="F264" s="2" t="s">
        <v>213</v>
      </c>
      <c r="G264" s="2" t="s">
        <v>268</v>
      </c>
      <c r="H264" s="2" t="s">
        <v>2116</v>
      </c>
      <c r="I264" s="2" t="s">
        <v>269</v>
      </c>
      <c r="J264" s="2" t="s">
        <v>1279</v>
      </c>
      <c r="K264" s="3">
        <v>45547.0</v>
      </c>
      <c r="L264" s="2" t="s">
        <v>1280</v>
      </c>
      <c r="M264" s="2" t="s">
        <v>280</v>
      </c>
      <c r="N264" s="2">
        <v>157.64</v>
      </c>
      <c r="O264" s="2">
        <v>2.0</v>
      </c>
      <c r="P264" s="2" t="s">
        <v>29</v>
      </c>
      <c r="Q264" s="2">
        <v>1.0</v>
      </c>
      <c r="R264" s="2">
        <v>56.0</v>
      </c>
      <c r="S264" s="3">
        <v>45552.0</v>
      </c>
      <c r="T264" s="2" t="s">
        <v>1281</v>
      </c>
      <c r="U264" s="2">
        <f t="shared" si="1"/>
        <v>5</v>
      </c>
      <c r="V264" s="2">
        <f t="shared" si="2"/>
        <v>23</v>
      </c>
      <c r="W264" s="2">
        <f t="shared" si="3"/>
        <v>315.28</v>
      </c>
      <c r="X264" s="2">
        <f t="shared" si="4"/>
        <v>371.28</v>
      </c>
      <c r="Y264" s="2">
        <f t="shared" si="5"/>
        <v>0</v>
      </c>
      <c r="Z264" s="2">
        <f t="shared" si="6"/>
        <v>315.28</v>
      </c>
      <c r="AA264" s="2">
        <f t="shared" si="7"/>
        <v>371.28</v>
      </c>
      <c r="AB264" s="2" t="str">
        <f t="shared" si="8"/>
        <v>Thursday</v>
      </c>
      <c r="AC264" s="2" t="str">
        <f t="shared" si="9"/>
        <v>Weekday</v>
      </c>
      <c r="AD264" s="2" t="str">
        <f t="shared" si="10"/>
        <v>lauren.long</v>
      </c>
      <c r="AE264" s="2" t="str">
        <f t="shared" si="11"/>
        <v>gmail</v>
      </c>
      <c r="AF264" s="2" t="str">
        <f t="shared" si="12"/>
        <v>Lauren Long</v>
      </c>
      <c r="AG264" s="2" t="str">
        <f t="shared" si="13"/>
        <v>Lauren</v>
      </c>
      <c r="AH264" s="2" t="str">
        <f t="shared" si="14"/>
        <v>Long</v>
      </c>
      <c r="AI264" s="2" t="str">
        <f t="shared" si="15"/>
        <v>Late</v>
      </c>
      <c r="AJ264" s="2" t="str">
        <f t="shared" si="16"/>
        <v>#NAME?</v>
      </c>
    </row>
    <row r="265" ht="14.25" customHeight="1">
      <c r="A265" s="2" t="s">
        <v>248</v>
      </c>
      <c r="B265" s="2" t="s">
        <v>249</v>
      </c>
      <c r="C265" s="2" t="s">
        <v>250</v>
      </c>
      <c r="D265" s="2">
        <v>60.0</v>
      </c>
      <c r="E265" s="2" t="s">
        <v>45</v>
      </c>
      <c r="F265" s="2" t="s">
        <v>23</v>
      </c>
      <c r="G265" s="2" t="s">
        <v>251</v>
      </c>
      <c r="H265" s="2" t="s">
        <v>2114</v>
      </c>
      <c r="I265" s="2" t="s">
        <v>252</v>
      </c>
      <c r="J265" s="2" t="s">
        <v>1282</v>
      </c>
      <c r="K265" s="3">
        <v>44996.0</v>
      </c>
      <c r="L265" s="2" t="s">
        <v>1283</v>
      </c>
      <c r="M265" s="2" t="s">
        <v>337</v>
      </c>
      <c r="N265" s="2">
        <v>372.62</v>
      </c>
      <c r="O265" s="2">
        <v>4.0</v>
      </c>
      <c r="P265" s="2" t="s">
        <v>51</v>
      </c>
      <c r="Q265" s="2">
        <v>2.0</v>
      </c>
      <c r="R265" s="2">
        <v>42.0</v>
      </c>
      <c r="S265" s="3">
        <v>45001.0</v>
      </c>
      <c r="T265" s="2" t="s">
        <v>1284</v>
      </c>
      <c r="U265" s="2">
        <f t="shared" si="1"/>
        <v>5</v>
      </c>
      <c r="V265" s="2">
        <f t="shared" si="2"/>
        <v>15</v>
      </c>
      <c r="W265" s="2">
        <f t="shared" si="3"/>
        <v>1490.48</v>
      </c>
      <c r="X265" s="2">
        <f t="shared" si="4"/>
        <v>1532.48</v>
      </c>
      <c r="Y265" s="2">
        <f t="shared" si="5"/>
        <v>0</v>
      </c>
      <c r="Z265" s="2">
        <f t="shared" si="6"/>
        <v>1490.48</v>
      </c>
      <c r="AA265" s="2">
        <f t="shared" si="7"/>
        <v>1532.48</v>
      </c>
      <c r="AB265" s="2" t="str">
        <f t="shared" si="8"/>
        <v>Saturday</v>
      </c>
      <c r="AC265" s="2" t="str">
        <f t="shared" si="9"/>
        <v>Weekend</v>
      </c>
      <c r="AD265" s="2" t="str">
        <f t="shared" si="10"/>
        <v>ashley.rose</v>
      </c>
      <c r="AE265" s="2" t="str">
        <f t="shared" si="11"/>
        <v>gmail</v>
      </c>
      <c r="AF265" s="2" t="str">
        <f t="shared" si="12"/>
        <v>Ashley Rose</v>
      </c>
      <c r="AG265" s="2" t="str">
        <f t="shared" si="13"/>
        <v>Ashley</v>
      </c>
      <c r="AH265" s="2" t="str">
        <f t="shared" si="14"/>
        <v>Rose</v>
      </c>
      <c r="AI265" s="2" t="str">
        <f t="shared" si="15"/>
        <v>Late</v>
      </c>
      <c r="AJ265" s="2" t="str">
        <f t="shared" si="16"/>
        <v>#NAME?</v>
      </c>
    </row>
    <row r="266" ht="14.25" customHeight="1">
      <c r="A266" s="2" t="s">
        <v>1203</v>
      </c>
      <c r="B266" s="2" t="s">
        <v>1204</v>
      </c>
      <c r="C266" s="2" t="s">
        <v>1205</v>
      </c>
      <c r="D266" s="2">
        <v>50.0</v>
      </c>
      <c r="E266" s="2" t="s">
        <v>45</v>
      </c>
      <c r="F266" s="2" t="s">
        <v>161</v>
      </c>
      <c r="G266" s="2" t="s">
        <v>1206</v>
      </c>
      <c r="H266" s="2" t="s">
        <v>2176</v>
      </c>
      <c r="I266" s="2" t="s">
        <v>1207</v>
      </c>
      <c r="J266" s="2" t="s">
        <v>1285</v>
      </c>
      <c r="K266" s="3">
        <v>45672.0</v>
      </c>
      <c r="L266" s="2" t="s">
        <v>1286</v>
      </c>
      <c r="M266" s="2" t="s">
        <v>583</v>
      </c>
      <c r="N266" s="2">
        <v>403.03</v>
      </c>
      <c r="O266" s="2">
        <v>2.0</v>
      </c>
      <c r="P266" s="2" t="s">
        <v>78</v>
      </c>
      <c r="Q266" s="2">
        <v>3.0</v>
      </c>
      <c r="R266" s="2">
        <v>61.0</v>
      </c>
      <c r="S266" s="3">
        <v>45677.0</v>
      </c>
      <c r="T266" s="2" t="s">
        <v>1287</v>
      </c>
      <c r="U266" s="2">
        <f t="shared" si="1"/>
        <v>5</v>
      </c>
      <c r="V266" s="2">
        <f t="shared" si="2"/>
        <v>21</v>
      </c>
      <c r="W266" s="2">
        <f t="shared" si="3"/>
        <v>806.06</v>
      </c>
      <c r="X266" s="2">
        <f t="shared" si="4"/>
        <v>867.06</v>
      </c>
      <c r="Y266" s="2">
        <f t="shared" si="5"/>
        <v>0</v>
      </c>
      <c r="Z266" s="2">
        <f t="shared" si="6"/>
        <v>806.06</v>
      </c>
      <c r="AA266" s="2">
        <f t="shared" si="7"/>
        <v>867.06</v>
      </c>
      <c r="AB266" s="2" t="str">
        <f t="shared" si="8"/>
        <v>Wednesday</v>
      </c>
      <c r="AC266" s="2" t="str">
        <f t="shared" si="9"/>
        <v>Weekday</v>
      </c>
      <c r="AD266" s="2" t="str">
        <f t="shared" si="10"/>
        <v>brendan.kelly</v>
      </c>
      <c r="AE266" s="2" t="str">
        <f t="shared" si="11"/>
        <v>rediffmail</v>
      </c>
      <c r="AF266" s="2" t="str">
        <f t="shared" si="12"/>
        <v>Brendan Kelly</v>
      </c>
      <c r="AG266" s="2" t="str">
        <f t="shared" si="13"/>
        <v>Brendan</v>
      </c>
      <c r="AH266" s="2" t="str">
        <f t="shared" si="14"/>
        <v>Kelly</v>
      </c>
      <c r="AI266" s="2" t="str">
        <f t="shared" si="15"/>
        <v>Late</v>
      </c>
      <c r="AJ266" s="2" t="str">
        <f t="shared" si="16"/>
        <v>#NAME?</v>
      </c>
    </row>
    <row r="267" ht="14.25" customHeight="1">
      <c r="A267" s="2" t="s">
        <v>202</v>
      </c>
      <c r="B267" s="2" t="s">
        <v>203</v>
      </c>
      <c r="C267" s="2" t="s">
        <v>204</v>
      </c>
      <c r="D267" s="2">
        <v>39.0</v>
      </c>
      <c r="E267" s="2" t="s">
        <v>34</v>
      </c>
      <c r="F267" s="2" t="s">
        <v>152</v>
      </c>
      <c r="G267" s="2" t="s">
        <v>205</v>
      </c>
      <c r="H267" s="2" t="s">
        <v>2110</v>
      </c>
      <c r="I267" s="2" t="s">
        <v>206</v>
      </c>
      <c r="J267" s="2" t="s">
        <v>1288</v>
      </c>
      <c r="K267" s="3">
        <v>45366.0</v>
      </c>
      <c r="L267" s="2" t="s">
        <v>1289</v>
      </c>
      <c r="M267" s="2" t="s">
        <v>192</v>
      </c>
      <c r="N267" s="2">
        <v>20.7</v>
      </c>
      <c r="O267" s="2">
        <v>3.0</v>
      </c>
      <c r="P267" s="2" t="s">
        <v>56</v>
      </c>
      <c r="Q267" s="2">
        <v>1.0</v>
      </c>
      <c r="R267" s="2">
        <v>67.0</v>
      </c>
      <c r="S267" s="3">
        <v>45372.0</v>
      </c>
      <c r="T267" s="2" t="s">
        <v>1290</v>
      </c>
      <c r="U267" s="2">
        <f t="shared" si="1"/>
        <v>6</v>
      </c>
      <c r="V267" s="2">
        <f t="shared" si="2"/>
        <v>17</v>
      </c>
      <c r="W267" s="2">
        <f t="shared" si="3"/>
        <v>62.1</v>
      </c>
      <c r="X267" s="2">
        <f t="shared" si="4"/>
        <v>129.1</v>
      </c>
      <c r="Y267" s="2">
        <f t="shared" si="5"/>
        <v>0</v>
      </c>
      <c r="Z267" s="2">
        <f t="shared" si="6"/>
        <v>62.1</v>
      </c>
      <c r="AA267" s="2">
        <f t="shared" si="7"/>
        <v>62.1</v>
      </c>
      <c r="AB267" s="2" t="str">
        <f t="shared" si="8"/>
        <v>Friday</v>
      </c>
      <c r="AC267" s="2" t="str">
        <f t="shared" si="9"/>
        <v>Weekday</v>
      </c>
      <c r="AD267" s="2" t="str">
        <f t="shared" si="10"/>
        <v>christian.clayton</v>
      </c>
      <c r="AE267" s="2" t="str">
        <f t="shared" si="11"/>
        <v>yahoo</v>
      </c>
      <c r="AF267" s="2" t="str">
        <f t="shared" si="12"/>
        <v>Christian Clayton</v>
      </c>
      <c r="AG267" s="2" t="str">
        <f t="shared" si="13"/>
        <v>Christian</v>
      </c>
      <c r="AH267" s="2" t="str">
        <f t="shared" si="14"/>
        <v>Clayton</v>
      </c>
      <c r="AI267" s="2" t="str">
        <f t="shared" si="15"/>
        <v>Late</v>
      </c>
      <c r="AJ267" s="2" t="str">
        <f t="shared" si="16"/>
        <v>#NAME?</v>
      </c>
    </row>
    <row r="268" ht="14.25" customHeight="1">
      <c r="A268" s="2" t="s">
        <v>177</v>
      </c>
      <c r="B268" s="2" t="s">
        <v>178</v>
      </c>
      <c r="C268" s="2" t="s">
        <v>179</v>
      </c>
      <c r="D268" s="2">
        <v>42.0</v>
      </c>
      <c r="E268" s="2" t="s">
        <v>34</v>
      </c>
      <c r="F268" s="2" t="s">
        <v>161</v>
      </c>
      <c r="G268" s="2" t="s">
        <v>180</v>
      </c>
      <c r="H268" s="2" t="s">
        <v>2107</v>
      </c>
      <c r="I268" s="2" t="s">
        <v>181</v>
      </c>
      <c r="J268" s="2" t="s">
        <v>1291</v>
      </c>
      <c r="K268" s="3">
        <v>45541.0</v>
      </c>
      <c r="L268" s="2" t="s">
        <v>1292</v>
      </c>
      <c r="M268" s="2" t="s">
        <v>507</v>
      </c>
      <c r="N268" s="2">
        <v>136.3</v>
      </c>
      <c r="O268" s="2">
        <v>2.0</v>
      </c>
      <c r="P268" s="2" t="s">
        <v>78</v>
      </c>
      <c r="Q268" s="2">
        <v>2.0</v>
      </c>
      <c r="R268" s="2">
        <v>45.0</v>
      </c>
      <c r="S268" s="3">
        <v>45546.0</v>
      </c>
      <c r="T268" s="2" t="s">
        <v>1293</v>
      </c>
      <c r="U268" s="2">
        <f t="shared" si="1"/>
        <v>5</v>
      </c>
      <c r="V268" s="2">
        <f t="shared" si="2"/>
        <v>21</v>
      </c>
      <c r="W268" s="2">
        <f t="shared" si="3"/>
        <v>272.6</v>
      </c>
      <c r="X268" s="2">
        <f t="shared" si="4"/>
        <v>317.6</v>
      </c>
      <c r="Y268" s="2">
        <f t="shared" si="5"/>
        <v>0</v>
      </c>
      <c r="Z268" s="2">
        <f t="shared" si="6"/>
        <v>272.6</v>
      </c>
      <c r="AA268" s="2">
        <f t="shared" si="7"/>
        <v>317.6</v>
      </c>
      <c r="AB268" s="2" t="str">
        <f t="shared" si="8"/>
        <v>Friday</v>
      </c>
      <c r="AC268" s="2" t="str">
        <f t="shared" si="9"/>
        <v>Weekday</v>
      </c>
      <c r="AD268" s="2" t="str">
        <f t="shared" si="10"/>
        <v>mallory.mitchell</v>
      </c>
      <c r="AE268" s="2" t="str">
        <f t="shared" si="11"/>
        <v>yahoo</v>
      </c>
      <c r="AF268" s="2" t="str">
        <f t="shared" si="12"/>
        <v>Mallory Mitchell</v>
      </c>
      <c r="AG268" s="2" t="str">
        <f t="shared" si="13"/>
        <v>Mallory</v>
      </c>
      <c r="AH268" s="2" t="str">
        <f t="shared" si="14"/>
        <v>Mitchell</v>
      </c>
      <c r="AI268" s="2" t="str">
        <f t="shared" si="15"/>
        <v>Late</v>
      </c>
      <c r="AJ268" s="2" t="str">
        <f t="shared" si="16"/>
        <v>#NAME?</v>
      </c>
    </row>
    <row r="269" ht="14.25" customHeight="1">
      <c r="A269" s="2" t="s">
        <v>698</v>
      </c>
      <c r="B269" s="2" t="s">
        <v>699</v>
      </c>
      <c r="C269" s="2" t="s">
        <v>700</v>
      </c>
      <c r="D269" s="2">
        <v>26.0</v>
      </c>
      <c r="E269" s="2" t="s">
        <v>45</v>
      </c>
      <c r="F269" s="2" t="s">
        <v>69</v>
      </c>
      <c r="G269" s="2" t="s">
        <v>701</v>
      </c>
      <c r="H269" s="2" t="s">
        <v>2155</v>
      </c>
      <c r="I269" s="2" t="s">
        <v>702</v>
      </c>
      <c r="J269" s="2" t="s">
        <v>1294</v>
      </c>
      <c r="K269" s="3">
        <v>45389.0</v>
      </c>
      <c r="L269" s="2" t="s">
        <v>1295</v>
      </c>
      <c r="M269" s="2" t="s">
        <v>731</v>
      </c>
      <c r="N269" s="2">
        <v>110.95</v>
      </c>
      <c r="O269" s="2">
        <v>2.0</v>
      </c>
      <c r="P269" s="2" t="s">
        <v>78</v>
      </c>
      <c r="Q269" s="2">
        <v>3.0</v>
      </c>
      <c r="R269" s="2">
        <v>36.0</v>
      </c>
      <c r="S269" s="3">
        <v>45394.0</v>
      </c>
      <c r="T269" s="2" t="s">
        <v>1296</v>
      </c>
      <c r="U269" s="2">
        <f t="shared" si="1"/>
        <v>5</v>
      </c>
      <c r="V269" s="2">
        <f t="shared" si="2"/>
        <v>21</v>
      </c>
      <c r="W269" s="2">
        <f t="shared" si="3"/>
        <v>221.9</v>
      </c>
      <c r="X269" s="2">
        <f t="shared" si="4"/>
        <v>257.9</v>
      </c>
      <c r="Y269" s="2">
        <f t="shared" si="5"/>
        <v>0</v>
      </c>
      <c r="Z269" s="2">
        <f t="shared" si="6"/>
        <v>221.9</v>
      </c>
      <c r="AA269" s="2">
        <f t="shared" si="7"/>
        <v>257.9</v>
      </c>
      <c r="AB269" s="2" t="str">
        <f t="shared" si="8"/>
        <v>Sunday</v>
      </c>
      <c r="AC269" s="2" t="str">
        <f t="shared" si="9"/>
        <v>Weekend</v>
      </c>
      <c r="AD269" s="2" t="str">
        <f t="shared" si="10"/>
        <v>gregory.lee</v>
      </c>
      <c r="AE269" s="2" t="str">
        <f t="shared" si="11"/>
        <v>rediffmail</v>
      </c>
      <c r="AF269" s="2" t="str">
        <f t="shared" si="12"/>
        <v>Gregory Lee</v>
      </c>
      <c r="AG269" s="2" t="str">
        <f t="shared" si="13"/>
        <v>Gregory</v>
      </c>
      <c r="AH269" s="2" t="str">
        <f t="shared" si="14"/>
        <v>Lee</v>
      </c>
      <c r="AI269" s="2" t="str">
        <f t="shared" si="15"/>
        <v>Late</v>
      </c>
      <c r="AJ269" s="2" t="str">
        <f t="shared" si="16"/>
        <v>#NAME?</v>
      </c>
    </row>
    <row r="270" ht="14.25" customHeight="1">
      <c r="A270" s="2" t="s">
        <v>220</v>
      </c>
      <c r="B270" s="2" t="s">
        <v>221</v>
      </c>
      <c r="C270" s="2" t="s">
        <v>222</v>
      </c>
      <c r="D270" s="2">
        <v>64.0</v>
      </c>
      <c r="E270" s="2" t="s">
        <v>34</v>
      </c>
      <c r="F270" s="2" t="s">
        <v>35</v>
      </c>
      <c r="G270" s="2" t="s">
        <v>223</v>
      </c>
      <c r="H270" s="2" t="s">
        <v>2112</v>
      </c>
      <c r="I270" s="2" t="s">
        <v>224</v>
      </c>
      <c r="J270" s="2" t="s">
        <v>1297</v>
      </c>
      <c r="K270" s="3">
        <v>45351.0</v>
      </c>
      <c r="L270" s="2" t="s">
        <v>1298</v>
      </c>
      <c r="M270" s="2" t="s">
        <v>337</v>
      </c>
      <c r="N270" s="2">
        <v>372.62</v>
      </c>
      <c r="O270" s="2">
        <v>3.0</v>
      </c>
      <c r="P270" s="2" t="s">
        <v>56</v>
      </c>
      <c r="Q270" s="2">
        <v>5.0</v>
      </c>
      <c r="R270" s="2">
        <v>54.0</v>
      </c>
      <c r="S270" s="3">
        <v>45352.0</v>
      </c>
      <c r="T270" s="2" t="s">
        <v>1299</v>
      </c>
      <c r="U270" s="2">
        <f t="shared" si="1"/>
        <v>1</v>
      </c>
      <c r="V270" s="2">
        <f t="shared" si="2"/>
        <v>0</v>
      </c>
      <c r="W270" s="2">
        <f t="shared" si="3"/>
        <v>1117.86</v>
      </c>
      <c r="X270" s="2">
        <f t="shared" si="4"/>
        <v>1171.86</v>
      </c>
      <c r="Y270" s="2">
        <f t="shared" si="5"/>
        <v>0</v>
      </c>
      <c r="Z270" s="2">
        <f t="shared" si="6"/>
        <v>1117.86</v>
      </c>
      <c r="AA270" s="2">
        <f t="shared" si="7"/>
        <v>1117.86</v>
      </c>
      <c r="AB270" s="2" t="str">
        <f t="shared" si="8"/>
        <v>Thursday</v>
      </c>
      <c r="AC270" s="2" t="str">
        <f t="shared" si="9"/>
        <v>Weekday</v>
      </c>
      <c r="AD270" s="2" t="str">
        <f t="shared" si="10"/>
        <v>john.herrera</v>
      </c>
      <c r="AE270" s="2" t="str">
        <f t="shared" si="11"/>
        <v>outlook</v>
      </c>
      <c r="AF270" s="2" t="str">
        <f t="shared" si="12"/>
        <v>John Herrera</v>
      </c>
      <c r="AG270" s="2" t="str">
        <f t="shared" si="13"/>
        <v>John</v>
      </c>
      <c r="AH270" s="2" t="str">
        <f t="shared" si="14"/>
        <v>Herrera</v>
      </c>
      <c r="AI270" s="2" t="str">
        <f t="shared" si="15"/>
        <v>Before Time</v>
      </c>
      <c r="AJ270" s="2" t="str">
        <f t="shared" si="16"/>
        <v>#NAME?</v>
      </c>
    </row>
    <row r="271" ht="14.25" customHeight="1">
      <c r="A271" s="2" t="s">
        <v>1300</v>
      </c>
      <c r="B271" s="2" t="s">
        <v>1301</v>
      </c>
      <c r="C271" s="2" t="s">
        <v>1302</v>
      </c>
      <c r="D271" s="2">
        <v>63.0</v>
      </c>
      <c r="E271" s="2" t="s">
        <v>22</v>
      </c>
      <c r="F271" s="2" t="s">
        <v>161</v>
      </c>
      <c r="G271" s="2" t="s">
        <v>1303</v>
      </c>
      <c r="H271" s="2" t="s">
        <v>2180</v>
      </c>
      <c r="I271" s="2" t="s">
        <v>1304</v>
      </c>
      <c r="J271" s="2" t="s">
        <v>1305</v>
      </c>
      <c r="K271" s="3">
        <v>45083.0</v>
      </c>
      <c r="L271" s="2" t="s">
        <v>1306</v>
      </c>
      <c r="M271" s="2" t="s">
        <v>280</v>
      </c>
      <c r="N271" s="2">
        <v>157.64</v>
      </c>
      <c r="O271" s="2">
        <v>2.0</v>
      </c>
      <c r="P271" s="2" t="s">
        <v>29</v>
      </c>
      <c r="Q271" s="2">
        <v>4.0</v>
      </c>
      <c r="R271" s="2">
        <v>61.0</v>
      </c>
      <c r="S271" s="3">
        <v>45090.0</v>
      </c>
      <c r="T271" s="2" t="s">
        <v>1307</v>
      </c>
      <c r="U271" s="2">
        <f t="shared" si="1"/>
        <v>7</v>
      </c>
      <c r="V271" s="2">
        <f t="shared" si="2"/>
        <v>21</v>
      </c>
      <c r="W271" s="2">
        <f t="shared" si="3"/>
        <v>315.28</v>
      </c>
      <c r="X271" s="2">
        <f t="shared" si="4"/>
        <v>376.28</v>
      </c>
      <c r="Y271" s="2">
        <f t="shared" si="5"/>
        <v>0</v>
      </c>
      <c r="Z271" s="2">
        <f t="shared" si="6"/>
        <v>315.28</v>
      </c>
      <c r="AA271" s="2">
        <f t="shared" si="7"/>
        <v>376.28</v>
      </c>
      <c r="AB271" s="2" t="str">
        <f t="shared" si="8"/>
        <v>Tuesday</v>
      </c>
      <c r="AC271" s="2" t="str">
        <f t="shared" si="9"/>
        <v>Weekday</v>
      </c>
      <c r="AD271" s="2" t="str">
        <f t="shared" si="10"/>
        <v>megan.hunt</v>
      </c>
      <c r="AE271" s="2" t="str">
        <f t="shared" si="11"/>
        <v>rediffmail</v>
      </c>
      <c r="AF271" s="2" t="str">
        <f t="shared" si="12"/>
        <v>Megan Hunt</v>
      </c>
      <c r="AG271" s="2" t="str">
        <f t="shared" si="13"/>
        <v>Megan</v>
      </c>
      <c r="AH271" s="2" t="str">
        <f t="shared" si="14"/>
        <v>Hunt</v>
      </c>
      <c r="AI271" s="2" t="str">
        <f t="shared" si="15"/>
        <v>Late</v>
      </c>
      <c r="AJ271" s="2" t="str">
        <f t="shared" si="16"/>
        <v>#NAME?</v>
      </c>
    </row>
    <row r="272" ht="14.25" customHeight="1">
      <c r="A272" s="2" t="s">
        <v>1214</v>
      </c>
      <c r="B272" s="2" t="s">
        <v>1215</v>
      </c>
      <c r="C272" s="2" t="s">
        <v>1216</v>
      </c>
      <c r="D272" s="2">
        <v>19.0</v>
      </c>
      <c r="E272" s="2" t="s">
        <v>34</v>
      </c>
      <c r="F272" s="2" t="s">
        <v>69</v>
      </c>
      <c r="G272" s="2" t="s">
        <v>1217</v>
      </c>
      <c r="H272" s="2" t="s">
        <v>2177</v>
      </c>
      <c r="I272" s="2" t="s">
        <v>1218</v>
      </c>
      <c r="J272" s="2" t="s">
        <v>1308</v>
      </c>
      <c r="K272" s="3">
        <v>44997.0</v>
      </c>
      <c r="L272" s="2" t="s">
        <v>1309</v>
      </c>
      <c r="M272" s="2" t="s">
        <v>138</v>
      </c>
      <c r="N272" s="2">
        <v>190.1</v>
      </c>
      <c r="O272" s="2">
        <v>3.0</v>
      </c>
      <c r="P272" s="2" t="s">
        <v>29</v>
      </c>
      <c r="Q272" s="2">
        <v>4.0</v>
      </c>
      <c r="R272" s="2">
        <v>63.0</v>
      </c>
      <c r="S272" s="3">
        <v>45002.0</v>
      </c>
      <c r="T272" s="2" t="s">
        <v>1310</v>
      </c>
      <c r="U272" s="2">
        <f t="shared" si="1"/>
        <v>5</v>
      </c>
      <c r="V272" s="2">
        <f t="shared" si="2"/>
        <v>20</v>
      </c>
      <c r="W272" s="2">
        <f t="shared" si="3"/>
        <v>570.3</v>
      </c>
      <c r="X272" s="2">
        <f t="shared" si="4"/>
        <v>633.3</v>
      </c>
      <c r="Y272" s="2">
        <f t="shared" si="5"/>
        <v>0</v>
      </c>
      <c r="Z272" s="2">
        <f t="shared" si="6"/>
        <v>570.3</v>
      </c>
      <c r="AA272" s="2">
        <f t="shared" si="7"/>
        <v>633.3</v>
      </c>
      <c r="AB272" s="2" t="str">
        <f t="shared" si="8"/>
        <v>Sunday</v>
      </c>
      <c r="AC272" s="2" t="str">
        <f t="shared" si="9"/>
        <v>Weekend</v>
      </c>
      <c r="AD272" s="2" t="str">
        <f t="shared" si="10"/>
        <v>jessica.ruiz</v>
      </c>
      <c r="AE272" s="2" t="str">
        <f t="shared" si="11"/>
        <v>rediffmail</v>
      </c>
      <c r="AF272" s="2" t="str">
        <f t="shared" si="12"/>
        <v>Jessica Ruiz</v>
      </c>
      <c r="AG272" s="2" t="str">
        <f t="shared" si="13"/>
        <v>Jessica</v>
      </c>
      <c r="AH272" s="2" t="str">
        <f t="shared" si="14"/>
        <v>Ruiz</v>
      </c>
      <c r="AI272" s="2" t="str">
        <f t="shared" si="15"/>
        <v>Late</v>
      </c>
      <c r="AJ272" s="2" t="str">
        <f t="shared" si="16"/>
        <v>#NAME?</v>
      </c>
    </row>
    <row r="273" ht="14.25" customHeight="1">
      <c r="A273" s="2" t="s">
        <v>1311</v>
      </c>
      <c r="B273" s="2" t="s">
        <v>1312</v>
      </c>
      <c r="C273" s="2" t="s">
        <v>1313</v>
      </c>
      <c r="D273" s="2">
        <v>43.0</v>
      </c>
      <c r="E273" s="2" t="s">
        <v>22</v>
      </c>
      <c r="F273" s="2" t="s">
        <v>133</v>
      </c>
      <c r="G273" s="2" t="s">
        <v>1314</v>
      </c>
      <c r="H273" s="2" t="s">
        <v>2181</v>
      </c>
      <c r="I273" s="2" t="s">
        <v>1315</v>
      </c>
      <c r="J273" s="2" t="s">
        <v>1316</v>
      </c>
      <c r="K273" s="3">
        <v>45428.0</v>
      </c>
      <c r="L273" s="2" t="s">
        <v>1317</v>
      </c>
      <c r="M273" s="2" t="s">
        <v>934</v>
      </c>
      <c r="N273" s="2">
        <v>107.47</v>
      </c>
      <c r="O273" s="2">
        <v>1.0</v>
      </c>
      <c r="P273" s="2" t="s">
        <v>29</v>
      </c>
      <c r="Q273" s="2">
        <v>4.0</v>
      </c>
      <c r="R273" s="2">
        <v>36.0</v>
      </c>
      <c r="S273" s="3">
        <v>45430.0</v>
      </c>
      <c r="T273" s="2" t="s">
        <v>1318</v>
      </c>
      <c r="U273" s="2">
        <f t="shared" si="1"/>
        <v>2</v>
      </c>
      <c r="V273" s="2">
        <f t="shared" si="2"/>
        <v>15</v>
      </c>
      <c r="W273" s="2">
        <f t="shared" si="3"/>
        <v>107.47</v>
      </c>
      <c r="X273" s="2">
        <f t="shared" si="4"/>
        <v>143.47</v>
      </c>
      <c r="Y273" s="2">
        <f t="shared" si="5"/>
        <v>0</v>
      </c>
      <c r="Z273" s="2">
        <f t="shared" si="6"/>
        <v>107.47</v>
      </c>
      <c r="AA273" s="2">
        <f t="shared" si="7"/>
        <v>143.47</v>
      </c>
      <c r="AB273" s="2" t="str">
        <f t="shared" si="8"/>
        <v>Thursday</v>
      </c>
      <c r="AC273" s="2" t="str">
        <f t="shared" si="9"/>
        <v>Weekday</v>
      </c>
      <c r="AD273" s="2" t="str">
        <f t="shared" si="10"/>
        <v>jared.horn</v>
      </c>
      <c r="AE273" s="2" t="str">
        <f t="shared" si="11"/>
        <v>outlook</v>
      </c>
      <c r="AF273" s="2" t="str">
        <f t="shared" si="12"/>
        <v>Jared Horn</v>
      </c>
      <c r="AG273" s="2" t="str">
        <f t="shared" si="13"/>
        <v>Jared</v>
      </c>
      <c r="AH273" s="2" t="str">
        <f t="shared" si="14"/>
        <v>Horn</v>
      </c>
      <c r="AI273" s="2" t="str">
        <f t="shared" si="15"/>
        <v>Before Time</v>
      </c>
      <c r="AJ273" s="2" t="str">
        <f t="shared" si="16"/>
        <v>#NAME?</v>
      </c>
    </row>
    <row r="274" ht="14.25" customHeight="1">
      <c r="A274" s="2" t="s">
        <v>378</v>
      </c>
      <c r="B274" s="2" t="s">
        <v>379</v>
      </c>
      <c r="C274" s="2" t="s">
        <v>380</v>
      </c>
      <c r="D274" s="2">
        <v>47.0</v>
      </c>
      <c r="E274" s="2" t="s">
        <v>34</v>
      </c>
      <c r="F274" s="2" t="s">
        <v>83</v>
      </c>
      <c r="G274" s="2" t="s">
        <v>381</v>
      </c>
      <c r="H274" s="2" t="s">
        <v>2127</v>
      </c>
      <c r="I274" s="2" t="s">
        <v>382</v>
      </c>
      <c r="J274" s="2" t="s">
        <v>1319</v>
      </c>
      <c r="K274" s="3">
        <v>45012.0</v>
      </c>
      <c r="L274" s="2" t="s">
        <v>1320</v>
      </c>
      <c r="M274" s="2" t="s">
        <v>128</v>
      </c>
      <c r="N274" s="2">
        <v>175.93</v>
      </c>
      <c r="O274" s="2">
        <v>3.0</v>
      </c>
      <c r="P274" s="2" t="s">
        <v>56</v>
      </c>
      <c r="Q274" s="2">
        <v>3.0</v>
      </c>
      <c r="R274" s="2">
        <v>58.0</v>
      </c>
      <c r="S274" s="3">
        <v>45017.0</v>
      </c>
      <c r="T274" s="2" t="s">
        <v>1321</v>
      </c>
      <c r="U274" s="2">
        <f t="shared" si="1"/>
        <v>5</v>
      </c>
      <c r="V274" s="2">
        <f t="shared" si="2"/>
        <v>3</v>
      </c>
      <c r="W274" s="2">
        <f t="shared" si="3"/>
        <v>527.79</v>
      </c>
      <c r="X274" s="2">
        <f t="shared" si="4"/>
        <v>585.79</v>
      </c>
      <c r="Y274" s="2">
        <f t="shared" si="5"/>
        <v>0</v>
      </c>
      <c r="Z274" s="2">
        <f t="shared" si="6"/>
        <v>527.79</v>
      </c>
      <c r="AA274" s="2">
        <f t="shared" si="7"/>
        <v>527.79</v>
      </c>
      <c r="AB274" s="2" t="str">
        <f t="shared" si="8"/>
        <v>Monday</v>
      </c>
      <c r="AC274" s="2" t="str">
        <f t="shared" si="9"/>
        <v>Weekday</v>
      </c>
      <c r="AD274" s="2" t="str">
        <f t="shared" si="10"/>
        <v>aaron.thompson</v>
      </c>
      <c r="AE274" s="2" t="str">
        <f t="shared" si="11"/>
        <v>gmail</v>
      </c>
      <c r="AF274" s="2" t="str">
        <f t="shared" si="12"/>
        <v>Aaron Thompson</v>
      </c>
      <c r="AG274" s="2" t="str">
        <f t="shared" si="13"/>
        <v>Aaron</v>
      </c>
      <c r="AH274" s="2" t="str">
        <f t="shared" si="14"/>
        <v>Thompson</v>
      </c>
      <c r="AI274" s="2" t="str">
        <f t="shared" si="15"/>
        <v>Late</v>
      </c>
      <c r="AJ274" s="2" t="str">
        <f t="shared" si="16"/>
        <v>#NAME?</v>
      </c>
    </row>
    <row r="275" ht="14.25" customHeight="1">
      <c r="A275" s="2" t="s">
        <v>1203</v>
      </c>
      <c r="B275" s="2" t="s">
        <v>1204</v>
      </c>
      <c r="C275" s="2" t="s">
        <v>1205</v>
      </c>
      <c r="D275" s="2">
        <v>50.0</v>
      </c>
      <c r="E275" s="2" t="s">
        <v>45</v>
      </c>
      <c r="F275" s="2" t="s">
        <v>161</v>
      </c>
      <c r="G275" s="2" t="s">
        <v>1206</v>
      </c>
      <c r="H275" s="2" t="s">
        <v>2176</v>
      </c>
      <c r="I275" s="2" t="s">
        <v>1207</v>
      </c>
      <c r="J275" s="2" t="s">
        <v>1322</v>
      </c>
      <c r="K275" s="3">
        <v>45481.0</v>
      </c>
      <c r="L275" s="2" t="s">
        <v>1323</v>
      </c>
      <c r="M275" s="2" t="s">
        <v>679</v>
      </c>
      <c r="N275" s="2">
        <v>424.82</v>
      </c>
      <c r="O275" s="2">
        <v>3.0</v>
      </c>
      <c r="P275" s="2" t="s">
        <v>56</v>
      </c>
      <c r="Q275" s="2">
        <v>3.0</v>
      </c>
      <c r="R275" s="2">
        <v>42.0</v>
      </c>
      <c r="S275" s="3">
        <v>45482.0</v>
      </c>
      <c r="T275" s="2" t="s">
        <v>1324</v>
      </c>
      <c r="U275" s="2">
        <f t="shared" si="1"/>
        <v>1</v>
      </c>
      <c r="V275" s="2">
        <f t="shared" si="2"/>
        <v>12</v>
      </c>
      <c r="W275" s="2">
        <f t="shared" si="3"/>
        <v>1274.46</v>
      </c>
      <c r="X275" s="2">
        <f t="shared" si="4"/>
        <v>1316.46</v>
      </c>
      <c r="Y275" s="2">
        <f t="shared" si="5"/>
        <v>0</v>
      </c>
      <c r="Z275" s="2">
        <f t="shared" si="6"/>
        <v>1274.46</v>
      </c>
      <c r="AA275" s="2">
        <f t="shared" si="7"/>
        <v>1274.46</v>
      </c>
      <c r="AB275" s="2" t="str">
        <f t="shared" si="8"/>
        <v>Monday</v>
      </c>
      <c r="AC275" s="2" t="str">
        <f t="shared" si="9"/>
        <v>Weekday</v>
      </c>
      <c r="AD275" s="2" t="str">
        <f t="shared" si="10"/>
        <v>brendan.kelly</v>
      </c>
      <c r="AE275" s="2" t="str">
        <f t="shared" si="11"/>
        <v>rediffmail</v>
      </c>
      <c r="AF275" s="2" t="str">
        <f t="shared" si="12"/>
        <v>Brendan Kelly</v>
      </c>
      <c r="AG275" s="2" t="str">
        <f t="shared" si="13"/>
        <v>Brendan</v>
      </c>
      <c r="AH275" s="2" t="str">
        <f t="shared" si="14"/>
        <v>Kelly</v>
      </c>
      <c r="AI275" s="2" t="str">
        <f t="shared" si="15"/>
        <v>Before Time</v>
      </c>
      <c r="AJ275" s="2" t="str">
        <f t="shared" si="16"/>
        <v>#NAME?</v>
      </c>
    </row>
    <row r="276" ht="14.25" customHeight="1">
      <c r="A276" s="2" t="s">
        <v>1325</v>
      </c>
      <c r="B276" s="2" t="s">
        <v>1326</v>
      </c>
      <c r="C276" s="2" t="s">
        <v>388</v>
      </c>
      <c r="D276" s="2">
        <v>18.0</v>
      </c>
      <c r="E276" s="2" t="s">
        <v>34</v>
      </c>
      <c r="F276" s="2" t="s">
        <v>213</v>
      </c>
      <c r="G276" s="2" t="s">
        <v>1327</v>
      </c>
      <c r="H276" s="2" t="s">
        <v>2182</v>
      </c>
      <c r="I276" s="2" t="s">
        <v>1328</v>
      </c>
      <c r="J276" s="2" t="s">
        <v>1329</v>
      </c>
      <c r="K276" s="3">
        <v>45332.0</v>
      </c>
      <c r="L276" s="2" t="s">
        <v>1330</v>
      </c>
      <c r="M276" s="2" t="s">
        <v>316</v>
      </c>
      <c r="N276" s="2">
        <v>481.48</v>
      </c>
      <c r="O276" s="2">
        <v>4.0</v>
      </c>
      <c r="P276" s="2" t="s">
        <v>56</v>
      </c>
      <c r="Q276" s="2">
        <v>2.0</v>
      </c>
      <c r="R276" s="2">
        <v>61.0</v>
      </c>
      <c r="S276" s="3">
        <v>45338.0</v>
      </c>
      <c r="T276" s="2" t="s">
        <v>1331</v>
      </c>
      <c r="U276" s="2">
        <f t="shared" si="1"/>
        <v>6</v>
      </c>
      <c r="V276" s="2">
        <f t="shared" si="2"/>
        <v>15</v>
      </c>
      <c r="W276" s="2">
        <f t="shared" si="3"/>
        <v>1925.92</v>
      </c>
      <c r="X276" s="2">
        <f t="shared" si="4"/>
        <v>1986.92</v>
      </c>
      <c r="Y276" s="2">
        <f t="shared" si="5"/>
        <v>0</v>
      </c>
      <c r="Z276" s="2">
        <f t="shared" si="6"/>
        <v>1925.92</v>
      </c>
      <c r="AA276" s="2">
        <f t="shared" si="7"/>
        <v>1925.92</v>
      </c>
      <c r="AB276" s="2" t="str">
        <f t="shared" si="8"/>
        <v>Saturday</v>
      </c>
      <c r="AC276" s="2" t="str">
        <f t="shared" si="9"/>
        <v>Weekend</v>
      </c>
      <c r="AD276" s="2" t="str">
        <f t="shared" si="10"/>
        <v>veronica.lopez</v>
      </c>
      <c r="AE276" s="2" t="str">
        <f t="shared" si="11"/>
        <v>gmail</v>
      </c>
      <c r="AF276" s="2" t="str">
        <f t="shared" si="12"/>
        <v>Veronica Lopez</v>
      </c>
      <c r="AG276" s="2" t="str">
        <f t="shared" si="13"/>
        <v>Veronica</v>
      </c>
      <c r="AH276" s="2" t="str">
        <f t="shared" si="14"/>
        <v>Lopez</v>
      </c>
      <c r="AI276" s="2" t="str">
        <f t="shared" si="15"/>
        <v>Late</v>
      </c>
      <c r="AJ276" s="2" t="str">
        <f t="shared" si="16"/>
        <v>#NAME?</v>
      </c>
    </row>
    <row r="277" ht="14.25" customHeight="1">
      <c r="A277" s="2" t="s">
        <v>1203</v>
      </c>
      <c r="B277" s="2" t="s">
        <v>1204</v>
      </c>
      <c r="C277" s="2" t="s">
        <v>1205</v>
      </c>
      <c r="D277" s="2">
        <v>50.0</v>
      </c>
      <c r="E277" s="2" t="s">
        <v>45</v>
      </c>
      <c r="F277" s="2" t="s">
        <v>161</v>
      </c>
      <c r="G277" s="2" t="s">
        <v>1206</v>
      </c>
      <c r="H277" s="2" t="s">
        <v>2176</v>
      </c>
      <c r="I277" s="2" t="s">
        <v>1207</v>
      </c>
      <c r="J277" s="2" t="s">
        <v>1332</v>
      </c>
      <c r="K277" s="3">
        <v>45599.0</v>
      </c>
      <c r="L277" s="2" t="s">
        <v>1333</v>
      </c>
      <c r="M277" s="2" t="s">
        <v>175</v>
      </c>
      <c r="N277" s="2">
        <v>104.18</v>
      </c>
      <c r="O277" s="2">
        <v>1.0</v>
      </c>
      <c r="P277" s="2" t="s">
        <v>29</v>
      </c>
      <c r="Q277" s="2">
        <v>1.0</v>
      </c>
      <c r="R277" s="2">
        <v>48.0</v>
      </c>
      <c r="S277" s="3">
        <v>45603.0</v>
      </c>
      <c r="T277" s="2" t="s">
        <v>1334</v>
      </c>
      <c r="U277" s="2">
        <f t="shared" si="1"/>
        <v>4</v>
      </c>
      <c r="V277" s="2">
        <f t="shared" si="2"/>
        <v>19</v>
      </c>
      <c r="W277" s="2">
        <f t="shared" si="3"/>
        <v>104.18</v>
      </c>
      <c r="X277" s="2">
        <f t="shared" si="4"/>
        <v>152.18</v>
      </c>
      <c r="Y277" s="2">
        <f t="shared" si="5"/>
        <v>0</v>
      </c>
      <c r="Z277" s="2">
        <f t="shared" si="6"/>
        <v>104.18</v>
      </c>
      <c r="AA277" s="2">
        <f t="shared" si="7"/>
        <v>152.18</v>
      </c>
      <c r="AB277" s="2" t="str">
        <f t="shared" si="8"/>
        <v>Sunday</v>
      </c>
      <c r="AC277" s="2" t="str">
        <f t="shared" si="9"/>
        <v>Weekend</v>
      </c>
      <c r="AD277" s="2" t="str">
        <f t="shared" si="10"/>
        <v>brendan.kelly</v>
      </c>
      <c r="AE277" s="2" t="str">
        <f t="shared" si="11"/>
        <v>rediffmail</v>
      </c>
      <c r="AF277" s="2" t="str">
        <f t="shared" si="12"/>
        <v>Brendan Kelly</v>
      </c>
      <c r="AG277" s="2" t="str">
        <f t="shared" si="13"/>
        <v>Brendan</v>
      </c>
      <c r="AH277" s="2" t="str">
        <f t="shared" si="14"/>
        <v>Kelly</v>
      </c>
      <c r="AI277" s="2" t="str">
        <f t="shared" si="15"/>
        <v>Late</v>
      </c>
      <c r="AJ277" s="2" t="str">
        <f t="shared" si="16"/>
        <v>#NAME?</v>
      </c>
    </row>
    <row r="278" ht="14.25" customHeight="1">
      <c r="A278" s="2" t="s">
        <v>1335</v>
      </c>
      <c r="B278" s="2" t="s">
        <v>501</v>
      </c>
      <c r="C278" s="2" t="s">
        <v>1336</v>
      </c>
      <c r="D278" s="2">
        <v>40.0</v>
      </c>
      <c r="E278" s="2" t="s">
        <v>45</v>
      </c>
      <c r="F278" s="2" t="s">
        <v>213</v>
      </c>
      <c r="G278" s="2" t="s">
        <v>1337</v>
      </c>
      <c r="H278" s="2" t="s">
        <v>2183</v>
      </c>
      <c r="I278" s="2" t="s">
        <v>1338</v>
      </c>
      <c r="J278" s="2" t="s">
        <v>1339</v>
      </c>
      <c r="K278" s="3">
        <v>45422.0</v>
      </c>
      <c r="L278" s="2" t="s">
        <v>1340</v>
      </c>
      <c r="M278" s="2" t="s">
        <v>546</v>
      </c>
      <c r="N278" s="2">
        <v>425.59</v>
      </c>
      <c r="O278" s="2">
        <v>2.0</v>
      </c>
      <c r="P278" s="2" t="s">
        <v>29</v>
      </c>
      <c r="Q278" s="2">
        <v>3.0</v>
      </c>
      <c r="R278" s="2">
        <v>47.0</v>
      </c>
      <c r="S278" s="3">
        <v>45423.0</v>
      </c>
      <c r="T278" s="2" t="s">
        <v>1341</v>
      </c>
      <c r="U278" s="2">
        <f t="shared" si="1"/>
        <v>1</v>
      </c>
      <c r="V278" s="2">
        <f t="shared" si="2"/>
        <v>20</v>
      </c>
      <c r="W278" s="2">
        <f t="shared" si="3"/>
        <v>851.18</v>
      </c>
      <c r="X278" s="2">
        <f t="shared" si="4"/>
        <v>898.18</v>
      </c>
      <c r="Y278" s="2">
        <f t="shared" si="5"/>
        <v>0</v>
      </c>
      <c r="Z278" s="2">
        <f t="shared" si="6"/>
        <v>851.18</v>
      </c>
      <c r="AA278" s="2">
        <f t="shared" si="7"/>
        <v>898.18</v>
      </c>
      <c r="AB278" s="2" t="str">
        <f t="shared" si="8"/>
        <v>Friday</v>
      </c>
      <c r="AC278" s="2" t="str">
        <f t="shared" si="9"/>
        <v>Weekday</v>
      </c>
      <c r="AD278" s="2" t="str">
        <f t="shared" si="10"/>
        <v>sarah.benson</v>
      </c>
      <c r="AE278" s="2" t="str">
        <f t="shared" si="11"/>
        <v>outlook</v>
      </c>
      <c r="AF278" s="2" t="str">
        <f t="shared" si="12"/>
        <v>Sarah Benson</v>
      </c>
      <c r="AG278" s="2" t="str">
        <f t="shared" si="13"/>
        <v>Sarah</v>
      </c>
      <c r="AH278" s="2" t="str">
        <f t="shared" si="14"/>
        <v>Benson</v>
      </c>
      <c r="AI278" s="2" t="str">
        <f t="shared" si="15"/>
        <v>Before Time</v>
      </c>
      <c r="AJ278" s="2" t="str">
        <f t="shared" si="16"/>
        <v>#NAME?</v>
      </c>
    </row>
    <row r="279" ht="14.25" customHeight="1">
      <c r="A279" s="2" t="s">
        <v>1214</v>
      </c>
      <c r="B279" s="2" t="s">
        <v>1215</v>
      </c>
      <c r="C279" s="2" t="s">
        <v>1216</v>
      </c>
      <c r="D279" s="2">
        <v>19.0</v>
      </c>
      <c r="E279" s="2" t="s">
        <v>34</v>
      </c>
      <c r="F279" s="2" t="s">
        <v>69</v>
      </c>
      <c r="G279" s="2" t="s">
        <v>1217</v>
      </c>
      <c r="H279" s="2" t="s">
        <v>2177</v>
      </c>
      <c r="I279" s="2" t="s">
        <v>1218</v>
      </c>
      <c r="J279" s="2" t="s">
        <v>1342</v>
      </c>
      <c r="K279" s="3">
        <v>45017.0</v>
      </c>
      <c r="L279" s="2" t="s">
        <v>1343</v>
      </c>
      <c r="M279" s="2" t="s">
        <v>218</v>
      </c>
      <c r="N279" s="2">
        <v>461.07</v>
      </c>
      <c r="O279" s="2">
        <v>4.0</v>
      </c>
      <c r="P279" s="2" t="s">
        <v>56</v>
      </c>
      <c r="Q279" s="2">
        <v>6.0</v>
      </c>
      <c r="R279" s="2">
        <v>46.0</v>
      </c>
      <c r="S279" s="3">
        <v>45022.0</v>
      </c>
      <c r="T279" s="2" t="s">
        <v>1344</v>
      </c>
      <c r="U279" s="2">
        <f t="shared" si="1"/>
        <v>5</v>
      </c>
      <c r="V279" s="2">
        <f t="shared" si="2"/>
        <v>4</v>
      </c>
      <c r="W279" s="2">
        <f t="shared" si="3"/>
        <v>1844.28</v>
      </c>
      <c r="X279" s="2">
        <f t="shared" si="4"/>
        <v>1890.28</v>
      </c>
      <c r="Y279" s="2">
        <f t="shared" si="5"/>
        <v>0</v>
      </c>
      <c r="Z279" s="2">
        <f t="shared" si="6"/>
        <v>1844.28</v>
      </c>
      <c r="AA279" s="2">
        <f t="shared" si="7"/>
        <v>1844.28</v>
      </c>
      <c r="AB279" s="2" t="str">
        <f t="shared" si="8"/>
        <v>Saturday</v>
      </c>
      <c r="AC279" s="2" t="str">
        <f t="shared" si="9"/>
        <v>Weekend</v>
      </c>
      <c r="AD279" s="2" t="str">
        <f t="shared" si="10"/>
        <v>jessica.ruiz</v>
      </c>
      <c r="AE279" s="2" t="str">
        <f t="shared" si="11"/>
        <v>rediffmail</v>
      </c>
      <c r="AF279" s="2" t="str">
        <f t="shared" si="12"/>
        <v>Jessica Ruiz</v>
      </c>
      <c r="AG279" s="2" t="str">
        <f t="shared" si="13"/>
        <v>Jessica</v>
      </c>
      <c r="AH279" s="2" t="str">
        <f t="shared" si="14"/>
        <v>Ruiz</v>
      </c>
      <c r="AI279" s="2" t="str">
        <f t="shared" si="15"/>
        <v>Before Time</v>
      </c>
      <c r="AJ279" s="2" t="str">
        <f t="shared" si="16"/>
        <v>#NAME?</v>
      </c>
    </row>
    <row r="280" ht="14.25" customHeight="1">
      <c r="A280" s="2" t="s">
        <v>140</v>
      </c>
      <c r="B280" s="2" t="s">
        <v>141</v>
      </c>
      <c r="C280" s="2" t="s">
        <v>142</v>
      </c>
      <c r="D280" s="2">
        <v>44.0</v>
      </c>
      <c r="E280" s="2" t="s">
        <v>34</v>
      </c>
      <c r="F280" s="2" t="s">
        <v>83</v>
      </c>
      <c r="G280" s="2" t="s">
        <v>143</v>
      </c>
      <c r="H280" s="2" t="s">
        <v>2103</v>
      </c>
      <c r="I280" s="2" t="s">
        <v>144</v>
      </c>
      <c r="J280" s="2" t="s">
        <v>1345</v>
      </c>
      <c r="K280" s="3">
        <v>45422.0</v>
      </c>
      <c r="L280" s="2" t="s">
        <v>1346</v>
      </c>
      <c r="M280" s="2" t="s">
        <v>263</v>
      </c>
      <c r="N280" s="2">
        <v>62.42</v>
      </c>
      <c r="O280" s="2">
        <v>4.0</v>
      </c>
      <c r="P280" s="2" t="s">
        <v>51</v>
      </c>
      <c r="Q280" s="2">
        <v>1.0</v>
      </c>
      <c r="R280" s="2">
        <v>67.0</v>
      </c>
      <c r="S280" s="3">
        <v>45426.0</v>
      </c>
      <c r="T280" s="2" t="s">
        <v>1347</v>
      </c>
      <c r="U280" s="2">
        <f t="shared" si="1"/>
        <v>4</v>
      </c>
      <c r="V280" s="2">
        <f t="shared" si="2"/>
        <v>5</v>
      </c>
      <c r="W280" s="2">
        <f t="shared" si="3"/>
        <v>249.68</v>
      </c>
      <c r="X280" s="2">
        <f t="shared" si="4"/>
        <v>316.68</v>
      </c>
      <c r="Y280" s="2">
        <f t="shared" si="5"/>
        <v>0</v>
      </c>
      <c r="Z280" s="2">
        <f t="shared" si="6"/>
        <v>249.68</v>
      </c>
      <c r="AA280" s="2">
        <f t="shared" si="7"/>
        <v>316.68</v>
      </c>
      <c r="AB280" s="2" t="str">
        <f t="shared" si="8"/>
        <v>Friday</v>
      </c>
      <c r="AC280" s="2" t="str">
        <f t="shared" si="9"/>
        <v>Weekday</v>
      </c>
      <c r="AD280" s="2" t="str">
        <f t="shared" si="10"/>
        <v>amy.reid</v>
      </c>
      <c r="AE280" s="2" t="str">
        <f t="shared" si="11"/>
        <v>rediffmail</v>
      </c>
      <c r="AF280" s="2" t="str">
        <f t="shared" si="12"/>
        <v>Amy Reid</v>
      </c>
      <c r="AG280" s="2" t="str">
        <f t="shared" si="13"/>
        <v>Amy</v>
      </c>
      <c r="AH280" s="2" t="str">
        <f t="shared" si="14"/>
        <v>Reid</v>
      </c>
      <c r="AI280" s="2" t="str">
        <f t="shared" si="15"/>
        <v>Late</v>
      </c>
      <c r="AJ280" s="2" t="str">
        <f t="shared" si="16"/>
        <v>#NAME?</v>
      </c>
    </row>
    <row r="281" ht="14.25" customHeight="1">
      <c r="A281" s="2" t="s">
        <v>31</v>
      </c>
      <c r="B281" s="2" t="s">
        <v>32</v>
      </c>
      <c r="C281" s="2" t="s">
        <v>33</v>
      </c>
      <c r="D281" s="2">
        <v>53.0</v>
      </c>
      <c r="E281" s="2" t="s">
        <v>34</v>
      </c>
      <c r="F281" s="2" t="s">
        <v>35</v>
      </c>
      <c r="G281" s="2" t="s">
        <v>36</v>
      </c>
      <c r="H281" s="2" t="s">
        <v>2093</v>
      </c>
      <c r="I281" s="2" t="s">
        <v>37</v>
      </c>
      <c r="J281" s="2" t="s">
        <v>1348</v>
      </c>
      <c r="K281" s="3">
        <v>45186.0</v>
      </c>
      <c r="L281" s="2" t="s">
        <v>1349</v>
      </c>
      <c r="M281" s="2" t="s">
        <v>119</v>
      </c>
      <c r="N281" s="2">
        <v>257.06</v>
      </c>
      <c r="O281" s="2">
        <v>1.0</v>
      </c>
      <c r="P281" s="2" t="s">
        <v>78</v>
      </c>
      <c r="Q281" s="2">
        <v>5.0</v>
      </c>
      <c r="R281" s="2">
        <v>64.0</v>
      </c>
      <c r="S281" s="3">
        <v>45188.0</v>
      </c>
      <c r="T281" s="2" t="s">
        <v>1350</v>
      </c>
      <c r="U281" s="2">
        <f t="shared" si="1"/>
        <v>2</v>
      </c>
      <c r="V281" s="2">
        <f t="shared" si="2"/>
        <v>13</v>
      </c>
      <c r="W281" s="2">
        <f t="shared" si="3"/>
        <v>257.06</v>
      </c>
      <c r="X281" s="2">
        <f t="shared" si="4"/>
        <v>321.06</v>
      </c>
      <c r="Y281" s="2">
        <f t="shared" si="5"/>
        <v>0</v>
      </c>
      <c r="Z281" s="2">
        <f t="shared" si="6"/>
        <v>257.06</v>
      </c>
      <c r="AA281" s="2">
        <f t="shared" si="7"/>
        <v>321.06</v>
      </c>
      <c r="AB281" s="2" t="str">
        <f t="shared" si="8"/>
        <v>Sunday</v>
      </c>
      <c r="AC281" s="2" t="str">
        <f t="shared" si="9"/>
        <v>Weekend</v>
      </c>
      <c r="AD281" s="2" t="str">
        <f t="shared" si="10"/>
        <v>anthony.thomas</v>
      </c>
      <c r="AE281" s="2" t="str">
        <f t="shared" si="11"/>
        <v>rediffmail</v>
      </c>
      <c r="AF281" s="2" t="str">
        <f t="shared" si="12"/>
        <v>Anthony Thomas</v>
      </c>
      <c r="AG281" s="2" t="str">
        <f t="shared" si="13"/>
        <v>Anthony</v>
      </c>
      <c r="AH281" s="2" t="str">
        <f t="shared" si="14"/>
        <v>Thomas</v>
      </c>
      <c r="AI281" s="2" t="str">
        <f t="shared" si="15"/>
        <v>Before Time</v>
      </c>
      <c r="AJ281" s="2" t="str">
        <f t="shared" si="16"/>
        <v>#NAME?</v>
      </c>
    </row>
    <row r="282" ht="14.25" customHeight="1">
      <c r="A282" s="2" t="s">
        <v>539</v>
      </c>
      <c r="B282" s="2" t="s">
        <v>540</v>
      </c>
      <c r="C282" s="2" t="s">
        <v>541</v>
      </c>
      <c r="D282" s="2">
        <v>33.0</v>
      </c>
      <c r="E282" s="2" t="s">
        <v>45</v>
      </c>
      <c r="F282" s="2" t="s">
        <v>161</v>
      </c>
      <c r="G282" s="2" t="s">
        <v>542</v>
      </c>
      <c r="H282" s="2" t="s">
        <v>2145</v>
      </c>
      <c r="I282" s="2" t="s">
        <v>543</v>
      </c>
      <c r="J282" s="2" t="s">
        <v>1351</v>
      </c>
      <c r="K282" s="3">
        <v>45677.0</v>
      </c>
      <c r="L282" s="2" t="s">
        <v>1352</v>
      </c>
      <c r="M282" s="2" t="s">
        <v>166</v>
      </c>
      <c r="N282" s="2">
        <v>272.51</v>
      </c>
      <c r="O282" s="2">
        <v>4.0</v>
      </c>
      <c r="P282" s="2" t="s">
        <v>78</v>
      </c>
      <c r="Q282" s="2">
        <v>6.0</v>
      </c>
      <c r="R282" s="2">
        <v>39.0</v>
      </c>
      <c r="S282" s="3">
        <v>45679.0</v>
      </c>
      <c r="T282" s="2" t="s">
        <v>1353</v>
      </c>
      <c r="U282" s="2">
        <f t="shared" si="1"/>
        <v>2</v>
      </c>
      <c r="V282" s="2">
        <f t="shared" si="2"/>
        <v>22</v>
      </c>
      <c r="W282" s="2">
        <f t="shared" si="3"/>
        <v>1090.04</v>
      </c>
      <c r="X282" s="2">
        <f t="shared" si="4"/>
        <v>1129.04</v>
      </c>
      <c r="Y282" s="2">
        <f t="shared" si="5"/>
        <v>0</v>
      </c>
      <c r="Z282" s="2">
        <f t="shared" si="6"/>
        <v>1090.04</v>
      </c>
      <c r="AA282" s="2">
        <f t="shared" si="7"/>
        <v>1129.04</v>
      </c>
      <c r="AB282" s="2" t="str">
        <f t="shared" si="8"/>
        <v>Monday</v>
      </c>
      <c r="AC282" s="2" t="str">
        <f t="shared" si="9"/>
        <v>Weekday</v>
      </c>
      <c r="AD282" s="2" t="str">
        <f t="shared" si="10"/>
        <v>jodi.whitney</v>
      </c>
      <c r="AE282" s="2" t="str">
        <f t="shared" si="11"/>
        <v>yahoo</v>
      </c>
      <c r="AF282" s="2" t="str">
        <f t="shared" si="12"/>
        <v>Jodi Whitney</v>
      </c>
      <c r="AG282" s="2" t="str">
        <f t="shared" si="13"/>
        <v>Jodi</v>
      </c>
      <c r="AH282" s="2" t="str">
        <f t="shared" si="14"/>
        <v>Whitney</v>
      </c>
      <c r="AI282" s="2" t="str">
        <f t="shared" si="15"/>
        <v>Before Time</v>
      </c>
      <c r="AJ282" s="2" t="str">
        <f t="shared" si="16"/>
        <v>#NAME?</v>
      </c>
    </row>
    <row r="283" ht="14.25" customHeight="1">
      <c r="A283" s="2" t="s">
        <v>229</v>
      </c>
      <c r="B283" s="2" t="s">
        <v>59</v>
      </c>
      <c r="C283" s="2" t="s">
        <v>230</v>
      </c>
      <c r="D283" s="2">
        <v>52.0</v>
      </c>
      <c r="E283" s="2" t="s">
        <v>45</v>
      </c>
      <c r="F283" s="2" t="s">
        <v>35</v>
      </c>
      <c r="G283" s="2" t="s">
        <v>231</v>
      </c>
      <c r="H283" s="2" t="s">
        <v>2113</v>
      </c>
      <c r="I283" s="2" t="s">
        <v>232</v>
      </c>
      <c r="J283" s="2" t="s">
        <v>1354</v>
      </c>
      <c r="K283" s="3">
        <v>45242.0</v>
      </c>
      <c r="L283" s="2" t="s">
        <v>1355</v>
      </c>
      <c r="M283" s="2" t="s">
        <v>583</v>
      </c>
      <c r="N283" s="2">
        <v>403.03</v>
      </c>
      <c r="O283" s="2">
        <v>2.0</v>
      </c>
      <c r="P283" s="2" t="s">
        <v>29</v>
      </c>
      <c r="Q283" s="2">
        <v>4.0</v>
      </c>
      <c r="R283" s="2">
        <v>70.0</v>
      </c>
      <c r="S283" s="3">
        <v>45246.0</v>
      </c>
      <c r="T283" s="2" t="s">
        <v>1356</v>
      </c>
      <c r="U283" s="2">
        <f t="shared" si="1"/>
        <v>4</v>
      </c>
      <c r="V283" s="2">
        <f t="shared" si="2"/>
        <v>7</v>
      </c>
      <c r="W283" s="2">
        <f t="shared" si="3"/>
        <v>806.06</v>
      </c>
      <c r="X283" s="2">
        <f t="shared" si="4"/>
        <v>876.06</v>
      </c>
      <c r="Y283" s="2">
        <f t="shared" si="5"/>
        <v>0</v>
      </c>
      <c r="Z283" s="2">
        <f t="shared" si="6"/>
        <v>806.06</v>
      </c>
      <c r="AA283" s="2">
        <f t="shared" si="7"/>
        <v>876.06</v>
      </c>
      <c r="AB283" s="2" t="str">
        <f t="shared" si="8"/>
        <v>Sunday</v>
      </c>
      <c r="AC283" s="2" t="str">
        <f t="shared" si="9"/>
        <v>Weekend</v>
      </c>
      <c r="AD283" s="2" t="str">
        <f t="shared" si="10"/>
        <v>angela.evans</v>
      </c>
      <c r="AE283" s="2" t="str">
        <f t="shared" si="11"/>
        <v>outlook</v>
      </c>
      <c r="AF283" s="2" t="str">
        <f t="shared" si="12"/>
        <v>Angela Evans</v>
      </c>
      <c r="AG283" s="2" t="str">
        <f t="shared" si="13"/>
        <v>Angela</v>
      </c>
      <c r="AH283" s="2" t="str">
        <f t="shared" si="14"/>
        <v>Evans</v>
      </c>
      <c r="AI283" s="2" t="str">
        <f t="shared" si="15"/>
        <v>InTime</v>
      </c>
      <c r="AJ283" s="2" t="str">
        <f t="shared" si="16"/>
        <v>#NAME?</v>
      </c>
    </row>
    <row r="284" ht="14.25" customHeight="1">
      <c r="A284" s="2" t="s">
        <v>1214</v>
      </c>
      <c r="B284" s="2" t="s">
        <v>1215</v>
      </c>
      <c r="C284" s="2" t="s">
        <v>1216</v>
      </c>
      <c r="D284" s="2">
        <v>19.0</v>
      </c>
      <c r="E284" s="2" t="s">
        <v>34</v>
      </c>
      <c r="F284" s="2" t="s">
        <v>69</v>
      </c>
      <c r="G284" s="2" t="s">
        <v>1217</v>
      </c>
      <c r="H284" s="2" t="s">
        <v>2177</v>
      </c>
      <c r="I284" s="2" t="s">
        <v>1218</v>
      </c>
      <c r="J284" s="2" t="s">
        <v>1357</v>
      </c>
      <c r="K284" s="3">
        <v>45201.0</v>
      </c>
      <c r="L284" s="2" t="s">
        <v>1358</v>
      </c>
      <c r="M284" s="2" t="s">
        <v>218</v>
      </c>
      <c r="N284" s="2">
        <v>461.07</v>
      </c>
      <c r="O284" s="2">
        <v>3.0</v>
      </c>
      <c r="P284" s="2" t="s">
        <v>89</v>
      </c>
      <c r="Q284" s="2">
        <v>1.0</v>
      </c>
      <c r="R284" s="2">
        <v>61.0</v>
      </c>
      <c r="S284" s="3">
        <v>45202.0</v>
      </c>
      <c r="T284" s="2" t="s">
        <v>1359</v>
      </c>
      <c r="U284" s="2">
        <f t="shared" si="1"/>
        <v>1</v>
      </c>
      <c r="V284" s="2">
        <f t="shared" si="2"/>
        <v>5</v>
      </c>
      <c r="W284" s="2">
        <f t="shared" si="3"/>
        <v>1383.21</v>
      </c>
      <c r="X284" s="2">
        <f t="shared" si="4"/>
        <v>1444.21</v>
      </c>
      <c r="Y284" s="2">
        <f t="shared" si="5"/>
        <v>0</v>
      </c>
      <c r="Z284" s="2">
        <f t="shared" si="6"/>
        <v>1383.21</v>
      </c>
      <c r="AA284" s="2">
        <f t="shared" si="7"/>
        <v>1444.21</v>
      </c>
      <c r="AB284" s="2" t="str">
        <f t="shared" si="8"/>
        <v>Monday</v>
      </c>
      <c r="AC284" s="2" t="str">
        <f t="shared" si="9"/>
        <v>Weekday</v>
      </c>
      <c r="AD284" s="2" t="str">
        <f t="shared" si="10"/>
        <v>jessica.ruiz</v>
      </c>
      <c r="AE284" s="2" t="str">
        <f t="shared" si="11"/>
        <v>rediffmail</v>
      </c>
      <c r="AF284" s="2" t="str">
        <f t="shared" si="12"/>
        <v>Jessica Ruiz</v>
      </c>
      <c r="AG284" s="2" t="str">
        <f t="shared" si="13"/>
        <v>Jessica</v>
      </c>
      <c r="AH284" s="2" t="str">
        <f t="shared" si="14"/>
        <v>Ruiz</v>
      </c>
      <c r="AI284" s="2" t="str">
        <f t="shared" si="15"/>
        <v>InTime</v>
      </c>
      <c r="AJ284" s="2" t="str">
        <f t="shared" si="16"/>
        <v>#NAME?</v>
      </c>
    </row>
    <row r="285" ht="14.25" customHeight="1">
      <c r="A285" s="2" t="s">
        <v>1203</v>
      </c>
      <c r="B285" s="2" t="s">
        <v>1204</v>
      </c>
      <c r="C285" s="2" t="s">
        <v>1205</v>
      </c>
      <c r="D285" s="2">
        <v>50.0</v>
      </c>
      <c r="E285" s="2" t="s">
        <v>45</v>
      </c>
      <c r="F285" s="2" t="s">
        <v>161</v>
      </c>
      <c r="G285" s="2" t="s">
        <v>1206</v>
      </c>
      <c r="H285" s="2" t="s">
        <v>2176</v>
      </c>
      <c r="I285" s="2" t="s">
        <v>1207</v>
      </c>
      <c r="J285" s="2" t="s">
        <v>1360</v>
      </c>
      <c r="K285" s="3">
        <v>45522.0</v>
      </c>
      <c r="L285" s="2" t="s">
        <v>1361</v>
      </c>
      <c r="M285" s="2" t="s">
        <v>511</v>
      </c>
      <c r="N285" s="2">
        <v>441.03</v>
      </c>
      <c r="O285" s="2">
        <v>3.0</v>
      </c>
      <c r="P285" s="2" t="s">
        <v>78</v>
      </c>
      <c r="Q285" s="2">
        <v>4.0</v>
      </c>
      <c r="R285" s="2">
        <v>40.0</v>
      </c>
      <c r="S285" s="3">
        <v>45528.0</v>
      </c>
      <c r="T285" s="2" t="s">
        <v>1362</v>
      </c>
      <c r="U285" s="2">
        <f t="shared" si="1"/>
        <v>6</v>
      </c>
      <c r="V285" s="2">
        <f t="shared" si="2"/>
        <v>20</v>
      </c>
      <c r="W285" s="2">
        <f t="shared" si="3"/>
        <v>1323.09</v>
      </c>
      <c r="X285" s="2">
        <f t="shared" si="4"/>
        <v>1363.09</v>
      </c>
      <c r="Y285" s="2">
        <f t="shared" si="5"/>
        <v>0</v>
      </c>
      <c r="Z285" s="2">
        <f t="shared" si="6"/>
        <v>1323.09</v>
      </c>
      <c r="AA285" s="2">
        <f t="shared" si="7"/>
        <v>1363.09</v>
      </c>
      <c r="AB285" s="2" t="str">
        <f t="shared" si="8"/>
        <v>Sunday</v>
      </c>
      <c r="AC285" s="2" t="str">
        <f t="shared" si="9"/>
        <v>Weekend</v>
      </c>
      <c r="AD285" s="2" t="str">
        <f t="shared" si="10"/>
        <v>brendan.kelly</v>
      </c>
      <c r="AE285" s="2" t="str">
        <f t="shared" si="11"/>
        <v>rediffmail</v>
      </c>
      <c r="AF285" s="2" t="str">
        <f t="shared" si="12"/>
        <v>Brendan Kelly</v>
      </c>
      <c r="AG285" s="2" t="str">
        <f t="shared" si="13"/>
        <v>Brendan</v>
      </c>
      <c r="AH285" s="2" t="str">
        <f t="shared" si="14"/>
        <v>Kelly</v>
      </c>
      <c r="AI285" s="2" t="str">
        <f t="shared" si="15"/>
        <v>Late</v>
      </c>
      <c r="AJ285" s="2" t="str">
        <f t="shared" si="16"/>
        <v>#NAME?</v>
      </c>
    </row>
    <row r="286" ht="14.25" customHeight="1">
      <c r="A286" s="2" t="s">
        <v>130</v>
      </c>
      <c r="B286" s="2" t="s">
        <v>131</v>
      </c>
      <c r="C286" s="2" t="s">
        <v>132</v>
      </c>
      <c r="D286" s="2">
        <v>25.0</v>
      </c>
      <c r="E286" s="2" t="s">
        <v>45</v>
      </c>
      <c r="F286" s="2" t="s">
        <v>133</v>
      </c>
      <c r="G286" s="2" t="s">
        <v>134</v>
      </c>
      <c r="H286" s="2" t="s">
        <v>2102</v>
      </c>
      <c r="I286" s="2" t="s">
        <v>135</v>
      </c>
      <c r="J286" s="2" t="s">
        <v>1363</v>
      </c>
      <c r="K286" s="3">
        <v>45090.0</v>
      </c>
      <c r="L286" s="2" t="s">
        <v>1364</v>
      </c>
      <c r="M286" s="2" t="s">
        <v>128</v>
      </c>
      <c r="N286" s="2">
        <v>175.93</v>
      </c>
      <c r="O286" s="2">
        <v>4.0</v>
      </c>
      <c r="P286" s="2" t="s">
        <v>78</v>
      </c>
      <c r="Q286" s="2">
        <v>6.0</v>
      </c>
      <c r="R286" s="2">
        <v>45.0</v>
      </c>
      <c r="S286" s="3">
        <v>45097.0</v>
      </c>
      <c r="T286" s="2" t="s">
        <v>1365</v>
      </c>
      <c r="U286" s="2">
        <f t="shared" si="1"/>
        <v>7</v>
      </c>
      <c r="V286" s="2">
        <f t="shared" si="2"/>
        <v>12</v>
      </c>
      <c r="W286" s="2">
        <f t="shared" si="3"/>
        <v>703.72</v>
      </c>
      <c r="X286" s="2">
        <f t="shared" si="4"/>
        <v>748.72</v>
      </c>
      <c r="Y286" s="2">
        <f t="shared" si="5"/>
        <v>0</v>
      </c>
      <c r="Z286" s="2">
        <f t="shared" si="6"/>
        <v>703.72</v>
      </c>
      <c r="AA286" s="2">
        <f t="shared" si="7"/>
        <v>748.72</v>
      </c>
      <c r="AB286" s="2" t="str">
        <f t="shared" si="8"/>
        <v>Tuesday</v>
      </c>
      <c r="AC286" s="2" t="str">
        <f t="shared" si="9"/>
        <v>Weekday</v>
      </c>
      <c r="AD286" s="2" t="str">
        <f t="shared" si="10"/>
        <v>kara.brennan</v>
      </c>
      <c r="AE286" s="2" t="str">
        <f t="shared" si="11"/>
        <v>outlook</v>
      </c>
      <c r="AF286" s="2" t="str">
        <f t="shared" si="12"/>
        <v>Kara Brennan</v>
      </c>
      <c r="AG286" s="2" t="str">
        <f t="shared" si="13"/>
        <v>Kara</v>
      </c>
      <c r="AH286" s="2" t="str">
        <f t="shared" si="14"/>
        <v>Brennan</v>
      </c>
      <c r="AI286" s="2" t="str">
        <f t="shared" si="15"/>
        <v>Late</v>
      </c>
      <c r="AJ286" s="2" t="str">
        <f t="shared" si="16"/>
        <v>#NAME?</v>
      </c>
    </row>
    <row r="287" ht="14.25" customHeight="1">
      <c r="A287" s="2" t="s">
        <v>1214</v>
      </c>
      <c r="B287" s="2" t="s">
        <v>1215</v>
      </c>
      <c r="C287" s="2" t="s">
        <v>1216</v>
      </c>
      <c r="D287" s="2">
        <v>19.0</v>
      </c>
      <c r="E287" s="2" t="s">
        <v>34</v>
      </c>
      <c r="F287" s="2" t="s">
        <v>69</v>
      </c>
      <c r="G287" s="2" t="s">
        <v>1217</v>
      </c>
      <c r="H287" s="2" t="s">
        <v>2177</v>
      </c>
      <c r="I287" s="2" t="s">
        <v>1218</v>
      </c>
      <c r="J287" s="2" t="s">
        <v>1366</v>
      </c>
      <c r="K287" s="3">
        <v>45049.0</v>
      </c>
      <c r="L287" s="2" t="s">
        <v>1367</v>
      </c>
      <c r="M287" s="2" t="s">
        <v>423</v>
      </c>
      <c r="N287" s="2">
        <v>369.03</v>
      </c>
      <c r="O287" s="2">
        <v>3.0</v>
      </c>
      <c r="P287" s="2" t="s">
        <v>29</v>
      </c>
      <c r="Q287" s="2">
        <v>6.0</v>
      </c>
      <c r="R287" s="2">
        <v>50.0</v>
      </c>
      <c r="S287" s="3">
        <v>45052.0</v>
      </c>
      <c r="T287" s="2" t="s">
        <v>1368</v>
      </c>
      <c r="U287" s="2">
        <f t="shared" si="1"/>
        <v>3</v>
      </c>
      <c r="V287" s="2">
        <f t="shared" si="2"/>
        <v>5</v>
      </c>
      <c r="W287" s="2">
        <f t="shared" si="3"/>
        <v>1107.09</v>
      </c>
      <c r="X287" s="2">
        <f t="shared" si="4"/>
        <v>1157.09</v>
      </c>
      <c r="Y287" s="2">
        <f t="shared" si="5"/>
        <v>0</v>
      </c>
      <c r="Z287" s="2">
        <f t="shared" si="6"/>
        <v>1107.09</v>
      </c>
      <c r="AA287" s="2">
        <f t="shared" si="7"/>
        <v>1157.09</v>
      </c>
      <c r="AB287" s="2" t="str">
        <f t="shared" si="8"/>
        <v>Wednesday</v>
      </c>
      <c r="AC287" s="2" t="str">
        <f t="shared" si="9"/>
        <v>Weekday</v>
      </c>
      <c r="AD287" s="2" t="str">
        <f t="shared" si="10"/>
        <v>jessica.ruiz</v>
      </c>
      <c r="AE287" s="2" t="str">
        <f t="shared" si="11"/>
        <v>rediffmail</v>
      </c>
      <c r="AF287" s="2" t="str">
        <f t="shared" si="12"/>
        <v>Jessica Ruiz</v>
      </c>
      <c r="AG287" s="2" t="str">
        <f t="shared" si="13"/>
        <v>Jessica</v>
      </c>
      <c r="AH287" s="2" t="str">
        <f t="shared" si="14"/>
        <v>Ruiz</v>
      </c>
      <c r="AI287" s="2" t="str">
        <f t="shared" si="15"/>
        <v>Before Time</v>
      </c>
      <c r="AJ287" s="2" t="str">
        <f t="shared" si="16"/>
        <v>#NAME?</v>
      </c>
    </row>
    <row r="288" ht="14.25" customHeight="1">
      <c r="A288" s="2" t="s">
        <v>709</v>
      </c>
      <c r="B288" s="2" t="s">
        <v>710</v>
      </c>
      <c r="C288" s="2" t="s">
        <v>711</v>
      </c>
      <c r="D288" s="2">
        <v>32.0</v>
      </c>
      <c r="E288" s="2" t="s">
        <v>34</v>
      </c>
      <c r="F288" s="2" t="s">
        <v>23</v>
      </c>
      <c r="G288" s="2" t="s">
        <v>712</v>
      </c>
      <c r="H288" s="2" t="s">
        <v>2156</v>
      </c>
      <c r="I288" s="2" t="s">
        <v>713</v>
      </c>
      <c r="J288" s="2" t="s">
        <v>1369</v>
      </c>
      <c r="K288" s="3">
        <v>45676.0</v>
      </c>
      <c r="L288" s="2" t="s">
        <v>1370</v>
      </c>
      <c r="M288" s="2" t="s">
        <v>316</v>
      </c>
      <c r="N288" s="2">
        <v>481.48</v>
      </c>
      <c r="O288" s="2">
        <v>2.0</v>
      </c>
      <c r="P288" s="2" t="s">
        <v>78</v>
      </c>
      <c r="Q288" s="2">
        <v>3.0</v>
      </c>
      <c r="R288" s="2">
        <v>58.0</v>
      </c>
      <c r="S288" s="3">
        <v>45683.0</v>
      </c>
      <c r="T288" s="2" t="s">
        <v>1371</v>
      </c>
      <c r="U288" s="2">
        <f t="shared" si="1"/>
        <v>7</v>
      </c>
      <c r="V288" s="2">
        <f t="shared" si="2"/>
        <v>14</v>
      </c>
      <c r="W288" s="2">
        <f t="shared" si="3"/>
        <v>962.96</v>
      </c>
      <c r="X288" s="2">
        <f t="shared" si="4"/>
        <v>1020.96</v>
      </c>
      <c r="Y288" s="2">
        <f t="shared" si="5"/>
        <v>0</v>
      </c>
      <c r="Z288" s="2">
        <f t="shared" si="6"/>
        <v>962.96</v>
      </c>
      <c r="AA288" s="2">
        <f t="shared" si="7"/>
        <v>1020.96</v>
      </c>
      <c r="AB288" s="2" t="str">
        <f t="shared" si="8"/>
        <v>Sunday</v>
      </c>
      <c r="AC288" s="2" t="str">
        <f t="shared" si="9"/>
        <v>Weekend</v>
      </c>
      <c r="AD288" s="2" t="str">
        <f t="shared" si="10"/>
        <v>bruce.allen</v>
      </c>
      <c r="AE288" s="2" t="str">
        <f t="shared" si="11"/>
        <v>rediffmail</v>
      </c>
      <c r="AF288" s="2" t="str">
        <f t="shared" si="12"/>
        <v>Bruce Allen</v>
      </c>
      <c r="AG288" s="2" t="str">
        <f t="shared" si="13"/>
        <v>Bruce</v>
      </c>
      <c r="AH288" s="2" t="str">
        <f t="shared" si="14"/>
        <v>Allen</v>
      </c>
      <c r="AI288" s="2" t="str">
        <f t="shared" si="15"/>
        <v>Late</v>
      </c>
      <c r="AJ288" s="2" t="str">
        <f t="shared" si="16"/>
        <v>#NAME?</v>
      </c>
    </row>
    <row r="289" ht="14.25" customHeight="1">
      <c r="A289" s="2" t="s">
        <v>979</v>
      </c>
      <c r="B289" s="2" t="s">
        <v>980</v>
      </c>
      <c r="C289" s="2" t="s">
        <v>981</v>
      </c>
      <c r="D289" s="2">
        <v>49.0</v>
      </c>
      <c r="E289" s="2" t="s">
        <v>22</v>
      </c>
      <c r="F289" s="2" t="s">
        <v>35</v>
      </c>
      <c r="G289" s="2" t="s">
        <v>982</v>
      </c>
      <c r="H289" s="2" t="s">
        <v>2171</v>
      </c>
      <c r="I289" s="2" t="s">
        <v>983</v>
      </c>
      <c r="J289" s="2" t="s">
        <v>1372</v>
      </c>
      <c r="K289" s="3">
        <v>45092.0</v>
      </c>
      <c r="L289" s="2" t="s">
        <v>1373</v>
      </c>
      <c r="M289" s="2" t="s">
        <v>546</v>
      </c>
      <c r="N289" s="2">
        <v>425.59</v>
      </c>
      <c r="O289" s="2">
        <v>3.0</v>
      </c>
      <c r="P289" s="2" t="s">
        <v>29</v>
      </c>
      <c r="Q289" s="2">
        <v>6.0</v>
      </c>
      <c r="R289" s="2">
        <v>55.0</v>
      </c>
      <c r="S289" s="3">
        <v>45099.0</v>
      </c>
      <c r="T289" s="2" t="s">
        <v>1374</v>
      </c>
      <c r="U289" s="2">
        <f t="shared" si="1"/>
        <v>7</v>
      </c>
      <c r="V289" s="2">
        <f t="shared" si="2"/>
        <v>20</v>
      </c>
      <c r="W289" s="2">
        <f t="shared" si="3"/>
        <v>1276.77</v>
      </c>
      <c r="X289" s="2">
        <f t="shared" si="4"/>
        <v>1331.77</v>
      </c>
      <c r="Y289" s="2">
        <f t="shared" si="5"/>
        <v>0</v>
      </c>
      <c r="Z289" s="2">
        <f t="shared" si="6"/>
        <v>1276.77</v>
      </c>
      <c r="AA289" s="2">
        <f t="shared" si="7"/>
        <v>1331.77</v>
      </c>
      <c r="AB289" s="2" t="str">
        <f t="shared" si="8"/>
        <v>Thursday</v>
      </c>
      <c r="AC289" s="2" t="str">
        <f t="shared" si="9"/>
        <v>Weekday</v>
      </c>
      <c r="AD289" s="2" t="str">
        <f t="shared" si="10"/>
        <v>natasha.michael</v>
      </c>
      <c r="AE289" s="2" t="str">
        <f t="shared" si="11"/>
        <v>gmail</v>
      </c>
      <c r="AF289" s="2" t="str">
        <f t="shared" si="12"/>
        <v>Natasha Michael</v>
      </c>
      <c r="AG289" s="2" t="str">
        <f t="shared" si="13"/>
        <v>Natasha</v>
      </c>
      <c r="AH289" s="2" t="str">
        <f t="shared" si="14"/>
        <v>Michael</v>
      </c>
      <c r="AI289" s="2" t="str">
        <f t="shared" si="15"/>
        <v>Late</v>
      </c>
      <c r="AJ289" s="2" t="str">
        <f t="shared" si="16"/>
        <v>#NAME?</v>
      </c>
    </row>
    <row r="290" ht="14.25" customHeight="1">
      <c r="A290" s="2" t="s">
        <v>326</v>
      </c>
      <c r="B290" s="2" t="s">
        <v>327</v>
      </c>
      <c r="C290" s="2" t="s">
        <v>328</v>
      </c>
      <c r="D290" s="2">
        <v>23.0</v>
      </c>
      <c r="E290" s="2" t="s">
        <v>22</v>
      </c>
      <c r="F290" s="2" t="s">
        <v>23</v>
      </c>
      <c r="G290" s="2" t="s">
        <v>329</v>
      </c>
      <c r="H290" s="2" t="s">
        <v>2122</v>
      </c>
      <c r="I290" s="2" t="s">
        <v>330</v>
      </c>
      <c r="J290" s="2" t="s">
        <v>1375</v>
      </c>
      <c r="K290" s="3">
        <v>45659.0</v>
      </c>
      <c r="L290" s="2" t="s">
        <v>1376</v>
      </c>
      <c r="M290" s="2" t="s">
        <v>977</v>
      </c>
      <c r="N290" s="2">
        <v>33.49</v>
      </c>
      <c r="O290" s="2">
        <v>2.0</v>
      </c>
      <c r="P290" s="2" t="s">
        <v>29</v>
      </c>
      <c r="Q290" s="2">
        <v>2.0</v>
      </c>
      <c r="R290" s="2">
        <v>45.0</v>
      </c>
      <c r="S290" s="3">
        <v>45660.0</v>
      </c>
      <c r="T290" s="2" t="s">
        <v>1377</v>
      </c>
      <c r="U290" s="2">
        <f t="shared" si="1"/>
        <v>1</v>
      </c>
      <c r="V290" s="2">
        <f t="shared" si="2"/>
        <v>13</v>
      </c>
      <c r="W290" s="2">
        <f t="shared" si="3"/>
        <v>66.98</v>
      </c>
      <c r="X290" s="2">
        <f t="shared" si="4"/>
        <v>111.98</v>
      </c>
      <c r="Y290" s="2">
        <f t="shared" si="5"/>
        <v>0</v>
      </c>
      <c r="Z290" s="2">
        <f t="shared" si="6"/>
        <v>66.98</v>
      </c>
      <c r="AA290" s="2">
        <f t="shared" si="7"/>
        <v>111.98</v>
      </c>
      <c r="AB290" s="2" t="str">
        <f t="shared" si="8"/>
        <v>Thursday</v>
      </c>
      <c r="AC290" s="2" t="str">
        <f t="shared" si="9"/>
        <v>Weekday</v>
      </c>
      <c r="AD290" s="2" t="str">
        <f t="shared" si="10"/>
        <v>julie.meyer</v>
      </c>
      <c r="AE290" s="2" t="str">
        <f t="shared" si="11"/>
        <v>yahoo</v>
      </c>
      <c r="AF290" s="2" t="str">
        <f t="shared" si="12"/>
        <v>Julie Meyer</v>
      </c>
      <c r="AG290" s="2" t="str">
        <f t="shared" si="13"/>
        <v>Julie</v>
      </c>
      <c r="AH290" s="2" t="str">
        <f t="shared" si="14"/>
        <v>Meyer</v>
      </c>
      <c r="AI290" s="2" t="str">
        <f t="shared" si="15"/>
        <v>Before Time</v>
      </c>
      <c r="AJ290" s="2" t="str">
        <f t="shared" si="16"/>
        <v>#NAME?</v>
      </c>
    </row>
    <row r="291" ht="14.25" customHeight="1">
      <c r="A291" s="2" t="s">
        <v>483</v>
      </c>
      <c r="B291" s="2" t="s">
        <v>179</v>
      </c>
      <c r="C291" s="2" t="s">
        <v>320</v>
      </c>
      <c r="D291" s="2">
        <v>39.0</v>
      </c>
      <c r="E291" s="2" t="s">
        <v>45</v>
      </c>
      <c r="F291" s="2" t="s">
        <v>35</v>
      </c>
      <c r="G291" s="2" t="s">
        <v>484</v>
      </c>
      <c r="H291" s="2" t="s">
        <v>2139</v>
      </c>
      <c r="I291" s="2" t="s">
        <v>485</v>
      </c>
      <c r="J291" s="2" t="s">
        <v>1378</v>
      </c>
      <c r="K291" s="3">
        <v>45024.0</v>
      </c>
      <c r="L291" s="2" t="s">
        <v>1379</v>
      </c>
      <c r="M291" s="2" t="s">
        <v>55</v>
      </c>
      <c r="N291" s="2">
        <v>405.0</v>
      </c>
      <c r="O291" s="2">
        <v>4.0</v>
      </c>
      <c r="P291" s="2" t="s">
        <v>89</v>
      </c>
      <c r="Q291" s="2">
        <v>7.0</v>
      </c>
      <c r="R291" s="2">
        <v>70.0</v>
      </c>
      <c r="S291" s="3">
        <v>45029.0</v>
      </c>
      <c r="T291" s="2" t="s">
        <v>1380</v>
      </c>
      <c r="U291" s="2">
        <f t="shared" si="1"/>
        <v>5</v>
      </c>
      <c r="V291" s="2">
        <f t="shared" si="2"/>
        <v>9</v>
      </c>
      <c r="W291" s="2">
        <f t="shared" si="3"/>
        <v>1620</v>
      </c>
      <c r="X291" s="2">
        <f t="shared" si="4"/>
        <v>1690</v>
      </c>
      <c r="Y291" s="2">
        <f t="shared" si="5"/>
        <v>0</v>
      </c>
      <c r="Z291" s="2">
        <f t="shared" si="6"/>
        <v>1620</v>
      </c>
      <c r="AA291" s="2">
        <f t="shared" si="7"/>
        <v>1690</v>
      </c>
      <c r="AB291" s="2" t="str">
        <f t="shared" si="8"/>
        <v>Saturday</v>
      </c>
      <c r="AC291" s="2" t="str">
        <f t="shared" si="9"/>
        <v>Weekend</v>
      </c>
      <c r="AD291" s="2" t="str">
        <f t="shared" si="10"/>
        <v>mitchell.parker</v>
      </c>
      <c r="AE291" s="2" t="str">
        <f t="shared" si="11"/>
        <v>yahoo</v>
      </c>
      <c r="AF291" s="2" t="str">
        <f t="shared" si="12"/>
        <v>Mitchell Parker</v>
      </c>
      <c r="AG291" s="2" t="str">
        <f t="shared" si="13"/>
        <v>Mitchell</v>
      </c>
      <c r="AH291" s="2" t="str">
        <f t="shared" si="14"/>
        <v>Parker</v>
      </c>
      <c r="AI291" s="2" t="str">
        <f t="shared" si="15"/>
        <v>Before Time</v>
      </c>
      <c r="AJ291" s="2" t="str">
        <f t="shared" si="16"/>
        <v>#NAME?</v>
      </c>
    </row>
    <row r="292" ht="14.25" customHeight="1">
      <c r="A292" s="2" t="s">
        <v>394</v>
      </c>
      <c r="B292" s="2" t="s">
        <v>395</v>
      </c>
      <c r="C292" s="2" t="s">
        <v>396</v>
      </c>
      <c r="D292" s="2">
        <v>70.0</v>
      </c>
      <c r="E292" s="2" t="s">
        <v>22</v>
      </c>
      <c r="F292" s="2" t="s">
        <v>23</v>
      </c>
      <c r="G292" s="2" t="s">
        <v>397</v>
      </c>
      <c r="H292" s="2" t="s">
        <v>2129</v>
      </c>
      <c r="I292" s="2" t="s">
        <v>398</v>
      </c>
      <c r="J292" s="2" t="s">
        <v>1381</v>
      </c>
      <c r="K292" s="3">
        <v>45455.0</v>
      </c>
      <c r="L292" s="2" t="s">
        <v>1382</v>
      </c>
      <c r="M292" s="2" t="s">
        <v>316</v>
      </c>
      <c r="N292" s="2">
        <v>481.48</v>
      </c>
      <c r="O292" s="2">
        <v>3.0</v>
      </c>
      <c r="P292" s="2" t="s">
        <v>78</v>
      </c>
      <c r="Q292" s="2">
        <v>5.0</v>
      </c>
      <c r="R292" s="2">
        <v>49.0</v>
      </c>
      <c r="S292" s="3">
        <v>45462.0</v>
      </c>
      <c r="T292" s="2" t="s">
        <v>1383</v>
      </c>
      <c r="U292" s="2">
        <f t="shared" si="1"/>
        <v>7</v>
      </c>
      <c r="V292" s="2">
        <f t="shared" si="2"/>
        <v>6</v>
      </c>
      <c r="W292" s="2">
        <f t="shared" si="3"/>
        <v>1444.44</v>
      </c>
      <c r="X292" s="2">
        <f t="shared" si="4"/>
        <v>1493.44</v>
      </c>
      <c r="Y292" s="2">
        <f t="shared" si="5"/>
        <v>0</v>
      </c>
      <c r="Z292" s="2">
        <f t="shared" si="6"/>
        <v>1444.44</v>
      </c>
      <c r="AA292" s="2">
        <f t="shared" si="7"/>
        <v>1493.44</v>
      </c>
      <c r="AB292" s="2" t="str">
        <f t="shared" si="8"/>
        <v>Wednesday</v>
      </c>
      <c r="AC292" s="2" t="str">
        <f t="shared" si="9"/>
        <v>Weekday</v>
      </c>
      <c r="AD292" s="2" t="str">
        <f t="shared" si="10"/>
        <v>alexandra.smith</v>
      </c>
      <c r="AE292" s="2" t="str">
        <f t="shared" si="11"/>
        <v>rediffmail</v>
      </c>
      <c r="AF292" s="2" t="str">
        <f t="shared" si="12"/>
        <v>Alexandra Smith</v>
      </c>
      <c r="AG292" s="2" t="str">
        <f t="shared" si="13"/>
        <v>Alexandra</v>
      </c>
      <c r="AH292" s="2" t="str">
        <f t="shared" si="14"/>
        <v>Smith</v>
      </c>
      <c r="AI292" s="2" t="str">
        <f t="shared" si="15"/>
        <v>Late</v>
      </c>
      <c r="AJ292" s="2" t="str">
        <f t="shared" si="16"/>
        <v>#NAME?</v>
      </c>
    </row>
    <row r="293" ht="14.25" customHeight="1">
      <c r="A293" s="2" t="s">
        <v>386</v>
      </c>
      <c r="B293" s="2" t="s">
        <v>387</v>
      </c>
      <c r="C293" s="2" t="s">
        <v>388</v>
      </c>
      <c r="D293" s="2">
        <v>40.0</v>
      </c>
      <c r="E293" s="2" t="s">
        <v>45</v>
      </c>
      <c r="F293" s="2" t="s">
        <v>161</v>
      </c>
      <c r="G293" s="2" t="s">
        <v>389</v>
      </c>
      <c r="H293" s="2" t="s">
        <v>2128</v>
      </c>
      <c r="I293" s="2" t="s">
        <v>390</v>
      </c>
      <c r="J293" s="2" t="s">
        <v>1384</v>
      </c>
      <c r="K293" s="3">
        <v>45058.0</v>
      </c>
      <c r="L293" s="2" t="s">
        <v>1385</v>
      </c>
      <c r="M293" s="2" t="s">
        <v>556</v>
      </c>
      <c r="N293" s="2">
        <v>133.62</v>
      </c>
      <c r="O293" s="2">
        <v>2.0</v>
      </c>
      <c r="P293" s="2" t="s">
        <v>89</v>
      </c>
      <c r="Q293" s="2">
        <v>4.0</v>
      </c>
      <c r="R293" s="2">
        <v>36.0</v>
      </c>
      <c r="S293" s="3">
        <v>45059.0</v>
      </c>
      <c r="T293" s="2" t="s">
        <v>1386</v>
      </c>
      <c r="U293" s="2">
        <f t="shared" si="1"/>
        <v>1</v>
      </c>
      <c r="V293" s="2">
        <f t="shared" si="2"/>
        <v>17</v>
      </c>
      <c r="W293" s="2">
        <f t="shared" si="3"/>
        <v>267.24</v>
      </c>
      <c r="X293" s="2">
        <f t="shared" si="4"/>
        <v>303.24</v>
      </c>
      <c r="Y293" s="2">
        <f t="shared" si="5"/>
        <v>0</v>
      </c>
      <c r="Z293" s="2">
        <f t="shared" si="6"/>
        <v>267.24</v>
      </c>
      <c r="AA293" s="2">
        <f t="shared" si="7"/>
        <v>303.24</v>
      </c>
      <c r="AB293" s="2" t="str">
        <f t="shared" si="8"/>
        <v>Friday</v>
      </c>
      <c r="AC293" s="2" t="str">
        <f t="shared" si="9"/>
        <v>Weekday</v>
      </c>
      <c r="AD293" s="2" t="str">
        <f t="shared" si="10"/>
        <v>jason.lopez</v>
      </c>
      <c r="AE293" s="2" t="str">
        <f t="shared" si="11"/>
        <v>outlook</v>
      </c>
      <c r="AF293" s="2" t="str">
        <f t="shared" si="12"/>
        <v>Jason Lopez</v>
      </c>
      <c r="AG293" s="2" t="str">
        <f t="shared" si="13"/>
        <v>Jason</v>
      </c>
      <c r="AH293" s="2" t="str">
        <f t="shared" si="14"/>
        <v>Lopez</v>
      </c>
      <c r="AI293" s="2" t="str">
        <f t="shared" si="15"/>
        <v>Before Time</v>
      </c>
      <c r="AJ293" s="2" t="str">
        <f t="shared" si="16"/>
        <v>#NAME?</v>
      </c>
    </row>
    <row r="294" ht="14.25" customHeight="1">
      <c r="A294" s="2" t="s">
        <v>1072</v>
      </c>
      <c r="B294" s="2" t="s">
        <v>211</v>
      </c>
      <c r="C294" s="2" t="s">
        <v>1073</v>
      </c>
      <c r="D294" s="2">
        <v>55.0</v>
      </c>
      <c r="E294" s="2" t="s">
        <v>34</v>
      </c>
      <c r="F294" s="2" t="s">
        <v>152</v>
      </c>
      <c r="G294" s="2" t="s">
        <v>1074</v>
      </c>
      <c r="H294" s="2" t="s">
        <v>2170</v>
      </c>
      <c r="I294" s="2" t="s">
        <v>1075</v>
      </c>
      <c r="J294" s="2" t="s">
        <v>1387</v>
      </c>
      <c r="K294" s="3">
        <v>45414.0</v>
      </c>
      <c r="L294" s="2" t="s">
        <v>1388</v>
      </c>
      <c r="M294" s="2" t="s">
        <v>263</v>
      </c>
      <c r="N294" s="2">
        <v>62.42</v>
      </c>
      <c r="O294" s="2">
        <v>4.0</v>
      </c>
      <c r="P294" s="2" t="s">
        <v>89</v>
      </c>
      <c r="Q294" s="2">
        <v>6.0</v>
      </c>
      <c r="R294" s="2">
        <v>43.0</v>
      </c>
      <c r="S294" s="3">
        <v>45420.0</v>
      </c>
      <c r="T294" s="2" t="s">
        <v>1389</v>
      </c>
      <c r="U294" s="2">
        <f t="shared" si="1"/>
        <v>6</v>
      </c>
      <c r="V294" s="2">
        <f t="shared" si="2"/>
        <v>3</v>
      </c>
      <c r="W294" s="2">
        <f t="shared" si="3"/>
        <v>249.68</v>
      </c>
      <c r="X294" s="2">
        <f t="shared" si="4"/>
        <v>292.68</v>
      </c>
      <c r="Y294" s="2">
        <f t="shared" si="5"/>
        <v>0</v>
      </c>
      <c r="Z294" s="2">
        <f t="shared" si="6"/>
        <v>249.68</v>
      </c>
      <c r="AA294" s="2">
        <f t="shared" si="7"/>
        <v>292.68</v>
      </c>
      <c r="AB294" s="2" t="str">
        <f t="shared" si="8"/>
        <v>Thursday</v>
      </c>
      <c r="AC294" s="2" t="str">
        <f t="shared" si="9"/>
        <v>Weekday</v>
      </c>
      <c r="AD294" s="2" t="str">
        <f t="shared" si="10"/>
        <v>mark.summers</v>
      </c>
      <c r="AE294" s="2" t="str">
        <f t="shared" si="11"/>
        <v>outlook</v>
      </c>
      <c r="AF294" s="2" t="str">
        <f t="shared" si="12"/>
        <v>Mark Summers</v>
      </c>
      <c r="AG294" s="2" t="str">
        <f t="shared" si="13"/>
        <v>Mark</v>
      </c>
      <c r="AH294" s="2" t="str">
        <f t="shared" si="14"/>
        <v>Summers</v>
      </c>
      <c r="AI294" s="2" t="str">
        <f t="shared" si="15"/>
        <v>InTime</v>
      </c>
      <c r="AJ294" s="2" t="str">
        <f t="shared" si="16"/>
        <v>#NAME?</v>
      </c>
    </row>
    <row r="295" ht="14.25" customHeight="1">
      <c r="A295" s="2" t="s">
        <v>1161</v>
      </c>
      <c r="B295" s="2" t="s">
        <v>1162</v>
      </c>
      <c r="C295" s="2" t="s">
        <v>1163</v>
      </c>
      <c r="D295" s="2">
        <v>59.0</v>
      </c>
      <c r="E295" s="2" t="s">
        <v>45</v>
      </c>
      <c r="F295" s="2" t="s">
        <v>161</v>
      </c>
      <c r="G295" s="2" t="s">
        <v>1164</v>
      </c>
      <c r="H295" s="2" t="s">
        <v>2174</v>
      </c>
      <c r="I295" s="2" t="s">
        <v>1165</v>
      </c>
      <c r="J295" s="2" t="s">
        <v>1390</v>
      </c>
      <c r="K295" s="3">
        <v>45527.0</v>
      </c>
      <c r="L295" s="2" t="s">
        <v>1391</v>
      </c>
      <c r="M295" s="2" t="s">
        <v>349</v>
      </c>
      <c r="N295" s="2">
        <v>496.59</v>
      </c>
      <c r="O295" s="2">
        <v>2.0</v>
      </c>
      <c r="P295" s="2" t="s">
        <v>29</v>
      </c>
      <c r="Q295" s="2">
        <v>3.0</v>
      </c>
      <c r="R295" s="2">
        <v>55.0</v>
      </c>
      <c r="S295" s="3">
        <v>45528.0</v>
      </c>
      <c r="T295" s="2" t="s">
        <v>1392</v>
      </c>
      <c r="U295" s="2">
        <f t="shared" si="1"/>
        <v>1</v>
      </c>
      <c r="V295" s="2">
        <f t="shared" si="2"/>
        <v>2</v>
      </c>
      <c r="W295" s="2">
        <f t="shared" si="3"/>
        <v>993.18</v>
      </c>
      <c r="X295" s="2">
        <f t="shared" si="4"/>
        <v>1048.18</v>
      </c>
      <c r="Y295" s="2">
        <f t="shared" si="5"/>
        <v>0</v>
      </c>
      <c r="Z295" s="2">
        <f t="shared" si="6"/>
        <v>993.18</v>
      </c>
      <c r="AA295" s="2">
        <f t="shared" si="7"/>
        <v>1048.18</v>
      </c>
      <c r="AB295" s="2" t="str">
        <f t="shared" si="8"/>
        <v>Friday</v>
      </c>
      <c r="AC295" s="2" t="str">
        <f t="shared" si="9"/>
        <v>Weekday</v>
      </c>
      <c r="AD295" s="2" t="str">
        <f t="shared" si="10"/>
        <v>mike.carter</v>
      </c>
      <c r="AE295" s="2" t="str">
        <f t="shared" si="11"/>
        <v>rediffmail</v>
      </c>
      <c r="AF295" s="2" t="str">
        <f t="shared" si="12"/>
        <v>Mike Carter</v>
      </c>
      <c r="AG295" s="2" t="str">
        <f t="shared" si="13"/>
        <v>Mike</v>
      </c>
      <c r="AH295" s="2" t="str">
        <f t="shared" si="14"/>
        <v>Carter</v>
      </c>
      <c r="AI295" s="2" t="str">
        <f t="shared" si="15"/>
        <v>Before Time</v>
      </c>
      <c r="AJ295" s="2" t="str">
        <f t="shared" si="16"/>
        <v>#NAME?</v>
      </c>
    </row>
    <row r="296" ht="14.25" customHeight="1">
      <c r="A296" s="2" t="s">
        <v>513</v>
      </c>
      <c r="B296" s="2" t="s">
        <v>514</v>
      </c>
      <c r="C296" s="2" t="s">
        <v>515</v>
      </c>
      <c r="D296" s="2">
        <v>42.0</v>
      </c>
      <c r="E296" s="2" t="s">
        <v>45</v>
      </c>
      <c r="F296" s="2" t="s">
        <v>69</v>
      </c>
      <c r="G296" s="2" t="s">
        <v>516</v>
      </c>
      <c r="H296" s="2" t="s">
        <v>2142</v>
      </c>
      <c r="I296" s="2" t="s">
        <v>517</v>
      </c>
      <c r="J296" s="2" t="s">
        <v>1393</v>
      </c>
      <c r="K296" s="3">
        <v>45233.0</v>
      </c>
      <c r="L296" s="2" t="s">
        <v>1394</v>
      </c>
      <c r="M296" s="2" t="s">
        <v>376</v>
      </c>
      <c r="N296" s="2">
        <v>431.44</v>
      </c>
      <c r="O296" s="2">
        <v>4.0</v>
      </c>
      <c r="P296" s="2" t="s">
        <v>56</v>
      </c>
      <c r="Q296" s="2">
        <v>3.0</v>
      </c>
      <c r="R296" s="2">
        <v>65.0</v>
      </c>
      <c r="S296" s="3">
        <v>45239.0</v>
      </c>
      <c r="T296" s="2" t="s">
        <v>1395</v>
      </c>
      <c r="U296" s="2">
        <f t="shared" si="1"/>
        <v>6</v>
      </c>
      <c r="V296" s="2">
        <f t="shared" si="2"/>
        <v>4</v>
      </c>
      <c r="W296" s="2">
        <f t="shared" si="3"/>
        <v>1725.76</v>
      </c>
      <c r="X296" s="2">
        <f t="shared" si="4"/>
        <v>1790.76</v>
      </c>
      <c r="Y296" s="2">
        <f t="shared" si="5"/>
        <v>0</v>
      </c>
      <c r="Z296" s="2">
        <f t="shared" si="6"/>
        <v>1725.76</v>
      </c>
      <c r="AA296" s="2">
        <f t="shared" si="7"/>
        <v>1725.76</v>
      </c>
      <c r="AB296" s="2" t="str">
        <f t="shared" si="8"/>
        <v>Friday</v>
      </c>
      <c r="AC296" s="2" t="str">
        <f t="shared" si="9"/>
        <v>Weekday</v>
      </c>
      <c r="AD296" s="2" t="str">
        <f t="shared" si="10"/>
        <v>katherine.weber</v>
      </c>
      <c r="AE296" s="2" t="str">
        <f t="shared" si="11"/>
        <v>outlook</v>
      </c>
      <c r="AF296" s="2" t="str">
        <f t="shared" si="12"/>
        <v>Katherine Weber</v>
      </c>
      <c r="AG296" s="2" t="str">
        <f t="shared" si="13"/>
        <v>Katherine</v>
      </c>
      <c r="AH296" s="2" t="str">
        <f t="shared" si="14"/>
        <v>Weber</v>
      </c>
      <c r="AI296" s="2" t="str">
        <f t="shared" si="15"/>
        <v>Late</v>
      </c>
      <c r="AJ296" s="2" t="str">
        <f t="shared" si="16"/>
        <v>#NAME?</v>
      </c>
    </row>
    <row r="297" ht="14.25" customHeight="1">
      <c r="A297" s="2" t="s">
        <v>378</v>
      </c>
      <c r="B297" s="2" t="s">
        <v>379</v>
      </c>
      <c r="C297" s="2" t="s">
        <v>380</v>
      </c>
      <c r="D297" s="2">
        <v>47.0</v>
      </c>
      <c r="E297" s="2" t="s">
        <v>34</v>
      </c>
      <c r="F297" s="2" t="s">
        <v>83</v>
      </c>
      <c r="G297" s="2" t="s">
        <v>381</v>
      </c>
      <c r="H297" s="2" t="s">
        <v>2127</v>
      </c>
      <c r="I297" s="2" t="s">
        <v>382</v>
      </c>
      <c r="J297" s="2" t="s">
        <v>1396</v>
      </c>
      <c r="K297" s="3">
        <v>45513.0</v>
      </c>
      <c r="L297" s="2" t="s">
        <v>1397</v>
      </c>
      <c r="M297" s="2" t="s">
        <v>679</v>
      </c>
      <c r="N297" s="2">
        <v>424.82</v>
      </c>
      <c r="O297" s="2">
        <v>2.0</v>
      </c>
      <c r="P297" s="2" t="s">
        <v>56</v>
      </c>
      <c r="Q297" s="2">
        <v>2.0</v>
      </c>
      <c r="R297" s="2">
        <v>57.0</v>
      </c>
      <c r="S297" s="3">
        <v>45520.0</v>
      </c>
      <c r="T297" s="2" t="s">
        <v>1398</v>
      </c>
      <c r="U297" s="2">
        <f t="shared" si="1"/>
        <v>7</v>
      </c>
      <c r="V297" s="2">
        <f t="shared" si="2"/>
        <v>10</v>
      </c>
      <c r="W297" s="2">
        <f t="shared" si="3"/>
        <v>849.64</v>
      </c>
      <c r="X297" s="2">
        <f t="shared" si="4"/>
        <v>906.64</v>
      </c>
      <c r="Y297" s="2">
        <f t="shared" si="5"/>
        <v>0</v>
      </c>
      <c r="Z297" s="2">
        <f t="shared" si="6"/>
        <v>849.64</v>
      </c>
      <c r="AA297" s="2">
        <f t="shared" si="7"/>
        <v>849.64</v>
      </c>
      <c r="AB297" s="2" t="str">
        <f t="shared" si="8"/>
        <v>Friday</v>
      </c>
      <c r="AC297" s="2" t="str">
        <f t="shared" si="9"/>
        <v>Weekday</v>
      </c>
      <c r="AD297" s="2" t="str">
        <f t="shared" si="10"/>
        <v>aaron.thompson</v>
      </c>
      <c r="AE297" s="2" t="str">
        <f t="shared" si="11"/>
        <v>gmail</v>
      </c>
      <c r="AF297" s="2" t="str">
        <f t="shared" si="12"/>
        <v>Aaron Thompson</v>
      </c>
      <c r="AG297" s="2" t="str">
        <f t="shared" si="13"/>
        <v>Aaron</v>
      </c>
      <c r="AH297" s="2" t="str">
        <f t="shared" si="14"/>
        <v>Thompson</v>
      </c>
      <c r="AI297" s="2" t="str">
        <f t="shared" si="15"/>
        <v>Late</v>
      </c>
      <c r="AJ297" s="2" t="str">
        <f t="shared" si="16"/>
        <v>#NAME?</v>
      </c>
    </row>
    <row r="298" ht="14.25" customHeight="1">
      <c r="A298" s="2" t="s">
        <v>1072</v>
      </c>
      <c r="B298" s="2" t="s">
        <v>211</v>
      </c>
      <c r="C298" s="2" t="s">
        <v>1073</v>
      </c>
      <c r="D298" s="2">
        <v>55.0</v>
      </c>
      <c r="E298" s="2" t="s">
        <v>34</v>
      </c>
      <c r="F298" s="2" t="s">
        <v>152</v>
      </c>
      <c r="G298" s="2" t="s">
        <v>1074</v>
      </c>
      <c r="H298" s="2" t="s">
        <v>2159</v>
      </c>
      <c r="I298" s="2" t="s">
        <v>1075</v>
      </c>
      <c r="J298" s="2" t="s">
        <v>1399</v>
      </c>
      <c r="K298" s="3">
        <v>45567.0</v>
      </c>
      <c r="L298" s="2" t="s">
        <v>1400</v>
      </c>
      <c r="M298" s="2" t="s">
        <v>488</v>
      </c>
      <c r="N298" s="2">
        <v>421.7</v>
      </c>
      <c r="O298" s="2">
        <v>3.0</v>
      </c>
      <c r="P298" s="2" t="s">
        <v>29</v>
      </c>
      <c r="Q298" s="2">
        <v>5.0</v>
      </c>
      <c r="R298" s="2">
        <v>54.0</v>
      </c>
      <c r="S298" s="3">
        <v>45571.0</v>
      </c>
      <c r="T298" s="2" t="s">
        <v>1401</v>
      </c>
      <c r="U298" s="2">
        <f t="shared" si="1"/>
        <v>4</v>
      </c>
      <c r="V298" s="2">
        <f t="shared" si="2"/>
        <v>23</v>
      </c>
      <c r="W298" s="2">
        <f t="shared" si="3"/>
        <v>1265.1</v>
      </c>
      <c r="X298" s="2">
        <f t="shared" si="4"/>
        <v>1319.1</v>
      </c>
      <c r="Y298" s="2">
        <f t="shared" si="5"/>
        <v>0</v>
      </c>
      <c r="Z298" s="2">
        <f t="shared" si="6"/>
        <v>1265.1</v>
      </c>
      <c r="AA298" s="2">
        <f t="shared" si="7"/>
        <v>1319.1</v>
      </c>
      <c r="AB298" s="2" t="str">
        <f t="shared" si="8"/>
        <v>Wednesday</v>
      </c>
      <c r="AC298" s="2" t="str">
        <f t="shared" si="9"/>
        <v>Weekday</v>
      </c>
      <c r="AD298" s="2" t="str">
        <f t="shared" si="10"/>
        <v>mark.summers</v>
      </c>
      <c r="AE298" s="2" t="str">
        <f t="shared" si="11"/>
        <v>outlook</v>
      </c>
      <c r="AF298" s="2" t="str">
        <f t="shared" si="12"/>
        <v>Mark Summers</v>
      </c>
      <c r="AG298" s="2" t="str">
        <f t="shared" si="13"/>
        <v>Mark</v>
      </c>
      <c r="AH298" s="2" t="str">
        <f t="shared" si="14"/>
        <v>Summers</v>
      </c>
      <c r="AI298" s="2" t="str">
        <f t="shared" si="15"/>
        <v>Before Time</v>
      </c>
      <c r="AJ298" s="2" t="str">
        <f t="shared" si="16"/>
        <v>#NAME?</v>
      </c>
    </row>
    <row r="299" ht="14.25" customHeight="1">
      <c r="A299" s="2" t="s">
        <v>1231</v>
      </c>
      <c r="B299" s="2" t="s">
        <v>1232</v>
      </c>
      <c r="C299" s="2" t="s">
        <v>1233</v>
      </c>
      <c r="D299" s="2">
        <v>55.0</v>
      </c>
      <c r="E299" s="2" t="s">
        <v>34</v>
      </c>
      <c r="F299" s="2" t="s">
        <v>152</v>
      </c>
      <c r="G299" s="2" t="s">
        <v>1234</v>
      </c>
      <c r="H299" s="2" t="s">
        <v>2178</v>
      </c>
      <c r="I299" s="2" t="s">
        <v>1235</v>
      </c>
      <c r="J299" s="2" t="s">
        <v>1402</v>
      </c>
      <c r="K299" s="3">
        <v>45157.0</v>
      </c>
      <c r="L299" s="2" t="s">
        <v>1403</v>
      </c>
      <c r="M299" s="2" t="s">
        <v>337</v>
      </c>
      <c r="N299" s="2">
        <v>372.62</v>
      </c>
      <c r="O299" s="2">
        <v>1.0</v>
      </c>
      <c r="P299" s="2" t="s">
        <v>89</v>
      </c>
      <c r="Q299" s="2">
        <v>5.0</v>
      </c>
      <c r="R299" s="2">
        <v>45.0</v>
      </c>
      <c r="S299" s="3">
        <v>45164.0</v>
      </c>
      <c r="T299" s="2" t="s">
        <v>1404</v>
      </c>
      <c r="U299" s="2">
        <f t="shared" si="1"/>
        <v>7</v>
      </c>
      <c r="V299" s="2">
        <f t="shared" si="2"/>
        <v>17</v>
      </c>
      <c r="W299" s="2">
        <f t="shared" si="3"/>
        <v>372.62</v>
      </c>
      <c r="X299" s="2">
        <f t="shared" si="4"/>
        <v>417.62</v>
      </c>
      <c r="Y299" s="2">
        <f t="shared" si="5"/>
        <v>0</v>
      </c>
      <c r="Z299" s="2">
        <f t="shared" si="6"/>
        <v>372.62</v>
      </c>
      <c r="AA299" s="2">
        <f t="shared" si="7"/>
        <v>417.62</v>
      </c>
      <c r="AB299" s="2" t="str">
        <f t="shared" si="8"/>
        <v>Saturday</v>
      </c>
      <c r="AC299" s="2" t="str">
        <f t="shared" si="9"/>
        <v>Weekend</v>
      </c>
      <c r="AD299" s="2" t="str">
        <f t="shared" si="10"/>
        <v>hannah.gutierrez</v>
      </c>
      <c r="AE299" s="2" t="str">
        <f t="shared" si="11"/>
        <v>yahoo</v>
      </c>
      <c r="AF299" s="2" t="str">
        <f t="shared" si="12"/>
        <v>Hannah Gutierrez</v>
      </c>
      <c r="AG299" s="2" t="str">
        <f t="shared" si="13"/>
        <v>Hannah</v>
      </c>
      <c r="AH299" s="2" t="str">
        <f t="shared" si="14"/>
        <v>Gutierrez</v>
      </c>
      <c r="AI299" s="2" t="str">
        <f t="shared" si="15"/>
        <v>Late</v>
      </c>
      <c r="AJ299" s="2" t="str">
        <f t="shared" si="16"/>
        <v>#NAME?</v>
      </c>
    </row>
    <row r="300" ht="14.25" customHeight="1">
      <c r="A300" s="2" t="s">
        <v>1203</v>
      </c>
      <c r="B300" s="2" t="s">
        <v>1204</v>
      </c>
      <c r="C300" s="2" t="s">
        <v>1205</v>
      </c>
      <c r="D300" s="2">
        <v>50.0</v>
      </c>
      <c r="E300" s="2" t="s">
        <v>45</v>
      </c>
      <c r="F300" s="2" t="s">
        <v>161</v>
      </c>
      <c r="G300" s="2" t="s">
        <v>1206</v>
      </c>
      <c r="H300" s="2" t="s">
        <v>2176</v>
      </c>
      <c r="I300" s="2" t="s">
        <v>1207</v>
      </c>
      <c r="J300" s="2" t="s">
        <v>1405</v>
      </c>
      <c r="K300" s="3">
        <v>45557.0</v>
      </c>
      <c r="L300" s="2" t="s">
        <v>1406</v>
      </c>
      <c r="M300" s="2" t="s">
        <v>175</v>
      </c>
      <c r="N300" s="2">
        <v>104.18</v>
      </c>
      <c r="O300" s="2">
        <v>1.0</v>
      </c>
      <c r="P300" s="2" t="s">
        <v>29</v>
      </c>
      <c r="Q300" s="2">
        <v>3.0</v>
      </c>
      <c r="R300" s="2">
        <v>60.0</v>
      </c>
      <c r="S300" s="3">
        <v>45563.0</v>
      </c>
      <c r="T300" s="2" t="s">
        <v>1407</v>
      </c>
      <c r="U300" s="2">
        <f t="shared" si="1"/>
        <v>6</v>
      </c>
      <c r="V300" s="2">
        <f t="shared" si="2"/>
        <v>9</v>
      </c>
      <c r="W300" s="2">
        <f t="shared" si="3"/>
        <v>104.18</v>
      </c>
      <c r="X300" s="2">
        <f t="shared" si="4"/>
        <v>164.18</v>
      </c>
      <c r="Y300" s="2">
        <f t="shared" si="5"/>
        <v>0</v>
      </c>
      <c r="Z300" s="2">
        <f t="shared" si="6"/>
        <v>104.18</v>
      </c>
      <c r="AA300" s="2">
        <f t="shared" si="7"/>
        <v>164.18</v>
      </c>
      <c r="AB300" s="2" t="str">
        <f t="shared" si="8"/>
        <v>Sunday</v>
      </c>
      <c r="AC300" s="2" t="str">
        <f t="shared" si="9"/>
        <v>Weekend</v>
      </c>
      <c r="AD300" s="2" t="str">
        <f t="shared" si="10"/>
        <v>brendan.kelly</v>
      </c>
      <c r="AE300" s="2" t="str">
        <f t="shared" si="11"/>
        <v>rediffmail</v>
      </c>
      <c r="AF300" s="2" t="str">
        <f t="shared" si="12"/>
        <v>Brendan Kelly</v>
      </c>
      <c r="AG300" s="2" t="str">
        <f t="shared" si="13"/>
        <v>Brendan</v>
      </c>
      <c r="AH300" s="2" t="str">
        <f t="shared" si="14"/>
        <v>Kelly</v>
      </c>
      <c r="AI300" s="2" t="str">
        <f t="shared" si="15"/>
        <v>Late</v>
      </c>
      <c r="AJ300" s="2" t="str">
        <f t="shared" si="16"/>
        <v>#NAME?</v>
      </c>
    </row>
    <row r="301" ht="14.25" customHeight="1">
      <c r="A301" s="2" t="s">
        <v>832</v>
      </c>
      <c r="B301" s="2" t="s">
        <v>833</v>
      </c>
      <c r="C301" s="2" t="s">
        <v>834</v>
      </c>
      <c r="D301" s="2">
        <v>26.0</v>
      </c>
      <c r="E301" s="2" t="s">
        <v>34</v>
      </c>
      <c r="F301" s="2" t="s">
        <v>152</v>
      </c>
      <c r="G301" s="2" t="s">
        <v>835</v>
      </c>
      <c r="H301" s="2" t="s">
        <v>2166</v>
      </c>
      <c r="I301" s="2" t="s">
        <v>836</v>
      </c>
      <c r="J301" s="2" t="s">
        <v>1408</v>
      </c>
      <c r="K301" s="3">
        <v>45104.0</v>
      </c>
      <c r="L301" s="2" t="s">
        <v>1409</v>
      </c>
      <c r="M301" s="2" t="s">
        <v>128</v>
      </c>
      <c r="N301" s="2">
        <v>175.93</v>
      </c>
      <c r="O301" s="2">
        <v>2.0</v>
      </c>
      <c r="P301" s="2" t="s">
        <v>29</v>
      </c>
      <c r="Q301" s="2">
        <v>5.0</v>
      </c>
      <c r="R301" s="2">
        <v>49.0</v>
      </c>
      <c r="S301" s="3">
        <v>45106.0</v>
      </c>
      <c r="T301" s="2" t="s">
        <v>1410</v>
      </c>
      <c r="U301" s="2">
        <f t="shared" si="1"/>
        <v>2</v>
      </c>
      <c r="V301" s="2">
        <f t="shared" si="2"/>
        <v>5</v>
      </c>
      <c r="W301" s="2">
        <f t="shared" si="3"/>
        <v>351.86</v>
      </c>
      <c r="X301" s="2">
        <f t="shared" si="4"/>
        <v>400.86</v>
      </c>
      <c r="Y301" s="2">
        <f t="shared" si="5"/>
        <v>0</v>
      </c>
      <c r="Z301" s="2">
        <f t="shared" si="6"/>
        <v>351.86</v>
      </c>
      <c r="AA301" s="2">
        <f t="shared" si="7"/>
        <v>400.86</v>
      </c>
      <c r="AB301" s="2" t="str">
        <f t="shared" si="8"/>
        <v>Tuesday</v>
      </c>
      <c r="AC301" s="2" t="str">
        <f t="shared" si="9"/>
        <v>Weekday</v>
      </c>
      <c r="AD301" s="2" t="str">
        <f t="shared" si="10"/>
        <v>leslie.montgomery</v>
      </c>
      <c r="AE301" s="2" t="str">
        <f t="shared" si="11"/>
        <v>gmail</v>
      </c>
      <c r="AF301" s="2" t="str">
        <f t="shared" si="12"/>
        <v>Leslie Montgomery</v>
      </c>
      <c r="AG301" s="2" t="str">
        <f t="shared" si="13"/>
        <v>Leslie</v>
      </c>
      <c r="AH301" s="2" t="str">
        <f t="shared" si="14"/>
        <v>Montgomery</v>
      </c>
      <c r="AI301" s="2" t="str">
        <f t="shared" si="15"/>
        <v>Before Time</v>
      </c>
      <c r="AJ301" s="2" t="str">
        <f t="shared" si="16"/>
        <v>#NAME?</v>
      </c>
    </row>
    <row r="302" ht="14.25" customHeight="1">
      <c r="A302" s="2" t="s">
        <v>1096</v>
      </c>
      <c r="B302" s="2" t="s">
        <v>1097</v>
      </c>
      <c r="C302" s="2" t="s">
        <v>1098</v>
      </c>
      <c r="D302" s="2">
        <v>18.0</v>
      </c>
      <c r="E302" s="2" t="s">
        <v>22</v>
      </c>
      <c r="F302" s="2" t="s">
        <v>69</v>
      </c>
      <c r="G302" s="2" t="s">
        <v>1099</v>
      </c>
      <c r="H302" s="2" t="s">
        <v>2143</v>
      </c>
      <c r="I302" s="2" t="s">
        <v>1100</v>
      </c>
      <c r="J302" s="2" t="s">
        <v>1411</v>
      </c>
      <c r="K302" s="3">
        <v>45563.0</v>
      </c>
      <c r="L302" s="2" t="s">
        <v>1412</v>
      </c>
      <c r="M302" s="2" t="s">
        <v>263</v>
      </c>
      <c r="N302" s="2">
        <v>62.42</v>
      </c>
      <c r="O302" s="2">
        <v>1.0</v>
      </c>
      <c r="P302" s="2" t="s">
        <v>29</v>
      </c>
      <c r="Q302" s="2">
        <v>3.0</v>
      </c>
      <c r="R302" s="2">
        <v>46.0</v>
      </c>
      <c r="S302" s="3">
        <v>45565.0</v>
      </c>
      <c r="T302" s="2" t="s">
        <v>1413</v>
      </c>
      <c r="U302" s="2">
        <f t="shared" si="1"/>
        <v>2</v>
      </c>
      <c r="V302" s="2">
        <f t="shared" si="2"/>
        <v>6</v>
      </c>
      <c r="W302" s="2">
        <f t="shared" si="3"/>
        <v>62.42</v>
      </c>
      <c r="X302" s="2">
        <f t="shared" si="4"/>
        <v>108.42</v>
      </c>
      <c r="Y302" s="2">
        <f t="shared" si="5"/>
        <v>0</v>
      </c>
      <c r="Z302" s="2">
        <f t="shared" si="6"/>
        <v>62.42</v>
      </c>
      <c r="AA302" s="2">
        <f t="shared" si="7"/>
        <v>108.42</v>
      </c>
      <c r="AB302" s="2" t="str">
        <f t="shared" si="8"/>
        <v>Saturday</v>
      </c>
      <c r="AC302" s="2" t="str">
        <f t="shared" si="9"/>
        <v>Weekend</v>
      </c>
      <c r="AD302" s="2" t="str">
        <f t="shared" si="10"/>
        <v>gary.huff</v>
      </c>
      <c r="AE302" s="2" t="str">
        <f t="shared" si="11"/>
        <v>gmail</v>
      </c>
      <c r="AF302" s="2" t="str">
        <f t="shared" si="12"/>
        <v>Gary Huff</v>
      </c>
      <c r="AG302" s="2" t="str">
        <f t="shared" si="13"/>
        <v>Gary</v>
      </c>
      <c r="AH302" s="2" t="str">
        <f t="shared" si="14"/>
        <v>Huff</v>
      </c>
      <c r="AI302" s="2" t="str">
        <f t="shared" si="15"/>
        <v>Before Time</v>
      </c>
      <c r="AJ302" s="2" t="str">
        <f t="shared" si="16"/>
        <v>#NAME?</v>
      </c>
    </row>
    <row r="303" ht="14.25" customHeight="1">
      <c r="A303" s="2" t="s">
        <v>413</v>
      </c>
      <c r="B303" s="2" t="s">
        <v>414</v>
      </c>
      <c r="C303" s="2" t="s">
        <v>415</v>
      </c>
      <c r="D303" s="2">
        <v>52.0</v>
      </c>
      <c r="E303" s="2" t="s">
        <v>45</v>
      </c>
      <c r="F303" s="2" t="s">
        <v>213</v>
      </c>
      <c r="G303" s="2" t="s">
        <v>416</v>
      </c>
      <c r="H303" s="2" t="s">
        <v>2131</v>
      </c>
      <c r="I303" s="2" t="s">
        <v>417</v>
      </c>
      <c r="J303" s="2" t="s">
        <v>1414</v>
      </c>
      <c r="K303" s="3">
        <v>45279.0</v>
      </c>
      <c r="L303" s="2" t="s">
        <v>1415</v>
      </c>
      <c r="M303" s="2" t="s">
        <v>192</v>
      </c>
      <c r="N303" s="2">
        <v>20.7</v>
      </c>
      <c r="O303" s="2">
        <v>2.0</v>
      </c>
      <c r="P303" s="2" t="s">
        <v>29</v>
      </c>
      <c r="Q303" s="2">
        <v>7.0</v>
      </c>
      <c r="R303" s="2">
        <v>39.0</v>
      </c>
      <c r="S303" s="3">
        <v>45286.0</v>
      </c>
      <c r="T303" s="2" t="s">
        <v>1416</v>
      </c>
      <c r="U303" s="2">
        <f t="shared" si="1"/>
        <v>7</v>
      </c>
      <c r="V303" s="2">
        <f t="shared" si="2"/>
        <v>1</v>
      </c>
      <c r="W303" s="2">
        <f t="shared" si="3"/>
        <v>41.4</v>
      </c>
      <c r="X303" s="2">
        <f t="shared" si="4"/>
        <v>80.4</v>
      </c>
      <c r="Y303" s="2">
        <f t="shared" si="5"/>
        <v>0</v>
      </c>
      <c r="Z303" s="2">
        <f t="shared" si="6"/>
        <v>41.4</v>
      </c>
      <c r="AA303" s="2">
        <f t="shared" si="7"/>
        <v>80.4</v>
      </c>
      <c r="AB303" s="2" t="str">
        <f t="shared" si="8"/>
        <v>Tuesday</v>
      </c>
      <c r="AC303" s="2" t="str">
        <f t="shared" si="9"/>
        <v>Weekday</v>
      </c>
      <c r="AD303" s="2" t="str">
        <f t="shared" si="10"/>
        <v>amanda.howard</v>
      </c>
      <c r="AE303" s="2" t="str">
        <f t="shared" si="11"/>
        <v>outlook</v>
      </c>
      <c r="AF303" s="2" t="str">
        <f t="shared" si="12"/>
        <v>Amanda Howard</v>
      </c>
      <c r="AG303" s="2" t="str">
        <f t="shared" si="13"/>
        <v>Amanda</v>
      </c>
      <c r="AH303" s="2" t="str">
        <f t="shared" si="14"/>
        <v>Howard</v>
      </c>
      <c r="AI303" s="2" t="str">
        <f t="shared" si="15"/>
        <v>InTime</v>
      </c>
      <c r="AJ303" s="2" t="str">
        <f t="shared" si="16"/>
        <v>#NAME?</v>
      </c>
    </row>
    <row r="304" ht="14.25" customHeight="1">
      <c r="A304" s="2" t="s">
        <v>149</v>
      </c>
      <c r="B304" s="2" t="s">
        <v>150</v>
      </c>
      <c r="C304" s="2" t="s">
        <v>151</v>
      </c>
      <c r="D304" s="2">
        <v>24.0</v>
      </c>
      <c r="E304" s="2" t="s">
        <v>22</v>
      </c>
      <c r="F304" s="2" t="s">
        <v>152</v>
      </c>
      <c r="G304" s="2" t="s">
        <v>153</v>
      </c>
      <c r="H304" s="2" t="s">
        <v>2104</v>
      </c>
      <c r="I304" s="2" t="s">
        <v>154</v>
      </c>
      <c r="J304" s="2" t="s">
        <v>1417</v>
      </c>
      <c r="K304" s="3">
        <v>45206.0</v>
      </c>
      <c r="L304" s="2" t="s">
        <v>1418</v>
      </c>
      <c r="M304" s="2" t="s">
        <v>138</v>
      </c>
      <c r="N304" s="2">
        <v>190.1</v>
      </c>
      <c r="O304" s="2">
        <v>1.0</v>
      </c>
      <c r="P304" s="2" t="s">
        <v>78</v>
      </c>
      <c r="Q304" s="2">
        <v>3.0</v>
      </c>
      <c r="R304" s="2">
        <v>63.0</v>
      </c>
      <c r="S304" s="3">
        <v>45207.0</v>
      </c>
      <c r="T304" s="2" t="s">
        <v>1419</v>
      </c>
      <c r="U304" s="2">
        <f t="shared" si="1"/>
        <v>1</v>
      </c>
      <c r="V304" s="2">
        <f t="shared" si="2"/>
        <v>18</v>
      </c>
      <c r="W304" s="2">
        <f t="shared" si="3"/>
        <v>190.1</v>
      </c>
      <c r="X304" s="2">
        <f t="shared" si="4"/>
        <v>253.1</v>
      </c>
      <c r="Y304" s="2">
        <f t="shared" si="5"/>
        <v>0</v>
      </c>
      <c r="Z304" s="2">
        <f t="shared" si="6"/>
        <v>190.1</v>
      </c>
      <c r="AA304" s="2">
        <f t="shared" si="7"/>
        <v>253.1</v>
      </c>
      <c r="AB304" s="2" t="str">
        <f t="shared" si="8"/>
        <v>Saturday</v>
      </c>
      <c r="AC304" s="2" t="str">
        <f t="shared" si="9"/>
        <v>Weekend</v>
      </c>
      <c r="AD304" s="2" t="str">
        <f t="shared" si="10"/>
        <v>joshua.campbell</v>
      </c>
      <c r="AE304" s="2" t="str">
        <f t="shared" si="11"/>
        <v>gmail</v>
      </c>
      <c r="AF304" s="2" t="str">
        <f t="shared" si="12"/>
        <v>Joshua Campbell</v>
      </c>
      <c r="AG304" s="2" t="str">
        <f t="shared" si="13"/>
        <v>Joshua</v>
      </c>
      <c r="AH304" s="2" t="str">
        <f t="shared" si="14"/>
        <v>Campbell</v>
      </c>
      <c r="AI304" s="2" t="str">
        <f t="shared" si="15"/>
        <v>Before Time</v>
      </c>
      <c r="AJ304" s="2" t="str">
        <f t="shared" si="16"/>
        <v>#NAME?</v>
      </c>
    </row>
    <row r="305" ht="14.25" customHeight="1">
      <c r="A305" s="2" t="s">
        <v>1184</v>
      </c>
      <c r="B305" s="2" t="s">
        <v>33</v>
      </c>
      <c r="C305" s="2" t="s">
        <v>1185</v>
      </c>
      <c r="D305" s="2">
        <v>34.0</v>
      </c>
      <c r="E305" s="2" t="s">
        <v>45</v>
      </c>
      <c r="F305" s="2" t="s">
        <v>213</v>
      </c>
      <c r="G305" s="2" t="s">
        <v>1186</v>
      </c>
      <c r="H305" s="2" t="s">
        <v>2175</v>
      </c>
      <c r="I305" s="2" t="s">
        <v>1187</v>
      </c>
      <c r="J305" s="2" t="s">
        <v>1420</v>
      </c>
      <c r="K305" s="3">
        <v>45324.0</v>
      </c>
      <c r="L305" s="2" t="s">
        <v>1421</v>
      </c>
      <c r="M305" s="2" t="s">
        <v>284</v>
      </c>
      <c r="N305" s="2">
        <v>158.53</v>
      </c>
      <c r="O305" s="2">
        <v>3.0</v>
      </c>
      <c r="P305" s="2" t="s">
        <v>78</v>
      </c>
      <c r="Q305" s="2">
        <v>6.0</v>
      </c>
      <c r="R305" s="2">
        <v>38.0</v>
      </c>
      <c r="S305" s="3">
        <v>45331.0</v>
      </c>
      <c r="T305" s="2" t="s">
        <v>1422</v>
      </c>
      <c r="U305" s="2">
        <f t="shared" si="1"/>
        <v>7</v>
      </c>
      <c r="V305" s="2">
        <f t="shared" si="2"/>
        <v>13</v>
      </c>
      <c r="W305" s="2">
        <f t="shared" si="3"/>
        <v>475.59</v>
      </c>
      <c r="X305" s="2">
        <f t="shared" si="4"/>
        <v>513.59</v>
      </c>
      <c r="Y305" s="2">
        <f t="shared" si="5"/>
        <v>0</v>
      </c>
      <c r="Z305" s="2">
        <f t="shared" si="6"/>
        <v>475.59</v>
      </c>
      <c r="AA305" s="2">
        <f t="shared" si="7"/>
        <v>513.59</v>
      </c>
      <c r="AB305" s="2" t="str">
        <f t="shared" si="8"/>
        <v>Friday</v>
      </c>
      <c r="AC305" s="2" t="str">
        <f t="shared" si="9"/>
        <v>Weekday</v>
      </c>
      <c r="AD305" s="2" t="str">
        <f t="shared" si="10"/>
        <v>thomas.owens</v>
      </c>
      <c r="AE305" s="2" t="str">
        <f t="shared" si="11"/>
        <v>outlook</v>
      </c>
      <c r="AF305" s="2" t="str">
        <f t="shared" si="12"/>
        <v>Thomas Owens</v>
      </c>
      <c r="AG305" s="2" t="str">
        <f t="shared" si="13"/>
        <v>Thomas</v>
      </c>
      <c r="AH305" s="2" t="str">
        <f t="shared" si="14"/>
        <v>Owens</v>
      </c>
      <c r="AI305" s="2" t="str">
        <f t="shared" si="15"/>
        <v>Late</v>
      </c>
      <c r="AJ305" s="2" t="str">
        <f t="shared" si="16"/>
        <v>#NAME?</v>
      </c>
    </row>
    <row r="306" ht="14.25" customHeight="1">
      <c r="A306" s="2" t="s">
        <v>1214</v>
      </c>
      <c r="B306" s="2" t="s">
        <v>1215</v>
      </c>
      <c r="C306" s="2" t="s">
        <v>1216</v>
      </c>
      <c r="D306" s="2">
        <v>19.0</v>
      </c>
      <c r="E306" s="2" t="s">
        <v>34</v>
      </c>
      <c r="F306" s="2" t="s">
        <v>69</v>
      </c>
      <c r="G306" s="2" t="s">
        <v>1217</v>
      </c>
      <c r="H306" s="2" t="s">
        <v>2177</v>
      </c>
      <c r="I306" s="2" t="s">
        <v>1218</v>
      </c>
      <c r="J306" s="2" t="s">
        <v>1423</v>
      </c>
      <c r="K306" s="3">
        <v>45272.0</v>
      </c>
      <c r="L306" s="2" t="s">
        <v>1424</v>
      </c>
      <c r="M306" s="2" t="s">
        <v>411</v>
      </c>
      <c r="N306" s="2">
        <v>44.5</v>
      </c>
      <c r="O306" s="2">
        <v>1.0</v>
      </c>
      <c r="P306" s="2" t="s">
        <v>89</v>
      </c>
      <c r="Q306" s="2">
        <v>4.0</v>
      </c>
      <c r="R306" s="2">
        <v>49.0</v>
      </c>
      <c r="S306" s="3">
        <v>45278.0</v>
      </c>
      <c r="T306" s="2" t="s">
        <v>1425</v>
      </c>
      <c r="U306" s="2">
        <f t="shared" si="1"/>
        <v>6</v>
      </c>
      <c r="V306" s="2">
        <f t="shared" si="2"/>
        <v>15</v>
      </c>
      <c r="W306" s="2">
        <f t="shared" si="3"/>
        <v>44.5</v>
      </c>
      <c r="X306" s="2">
        <f t="shared" si="4"/>
        <v>93.5</v>
      </c>
      <c r="Y306" s="2">
        <f t="shared" si="5"/>
        <v>0</v>
      </c>
      <c r="Z306" s="2">
        <f t="shared" si="6"/>
        <v>44.5</v>
      </c>
      <c r="AA306" s="2">
        <f t="shared" si="7"/>
        <v>93.5</v>
      </c>
      <c r="AB306" s="2" t="str">
        <f t="shared" si="8"/>
        <v>Tuesday</v>
      </c>
      <c r="AC306" s="2" t="str">
        <f t="shared" si="9"/>
        <v>Weekday</v>
      </c>
      <c r="AD306" s="2" t="str">
        <f t="shared" si="10"/>
        <v>jessica.ruiz</v>
      </c>
      <c r="AE306" s="2" t="str">
        <f t="shared" si="11"/>
        <v>rediffmail</v>
      </c>
      <c r="AF306" s="2" t="str">
        <f t="shared" si="12"/>
        <v>Jessica Ruiz</v>
      </c>
      <c r="AG306" s="2" t="str">
        <f t="shared" si="13"/>
        <v>Jessica</v>
      </c>
      <c r="AH306" s="2" t="str">
        <f t="shared" si="14"/>
        <v>Ruiz</v>
      </c>
      <c r="AI306" s="2" t="str">
        <f t="shared" si="15"/>
        <v>Late</v>
      </c>
      <c r="AJ306" s="2" t="str">
        <f t="shared" si="16"/>
        <v>#NAME?</v>
      </c>
    </row>
    <row r="307" ht="14.25" customHeight="1">
      <c r="A307" s="2" t="s">
        <v>318</v>
      </c>
      <c r="B307" s="2" t="s">
        <v>319</v>
      </c>
      <c r="C307" s="2" t="s">
        <v>320</v>
      </c>
      <c r="D307" s="2">
        <v>29.0</v>
      </c>
      <c r="E307" s="2" t="s">
        <v>45</v>
      </c>
      <c r="F307" s="2" t="s">
        <v>83</v>
      </c>
      <c r="G307" s="2" t="s">
        <v>321</v>
      </c>
      <c r="H307" s="2" t="s">
        <v>2121</v>
      </c>
      <c r="I307" s="2" t="s">
        <v>322</v>
      </c>
      <c r="J307" s="2" t="s">
        <v>1426</v>
      </c>
      <c r="K307" s="3">
        <v>45616.0</v>
      </c>
      <c r="L307" s="2" t="s">
        <v>1427</v>
      </c>
      <c r="M307" s="2" t="s">
        <v>301</v>
      </c>
      <c r="N307" s="2">
        <v>129.75</v>
      </c>
      <c r="O307" s="2">
        <v>2.0</v>
      </c>
      <c r="P307" s="2" t="s">
        <v>56</v>
      </c>
      <c r="Q307" s="2">
        <v>4.0</v>
      </c>
      <c r="R307" s="2">
        <v>53.0</v>
      </c>
      <c r="S307" s="3">
        <v>45620.0</v>
      </c>
      <c r="T307" s="2" t="s">
        <v>1428</v>
      </c>
      <c r="U307" s="2">
        <f t="shared" si="1"/>
        <v>4</v>
      </c>
      <c r="V307" s="2">
        <f t="shared" si="2"/>
        <v>14</v>
      </c>
      <c r="W307" s="2">
        <f t="shared" si="3"/>
        <v>259.5</v>
      </c>
      <c r="X307" s="2">
        <f t="shared" si="4"/>
        <v>312.5</v>
      </c>
      <c r="Y307" s="2">
        <f t="shared" si="5"/>
        <v>0</v>
      </c>
      <c r="Z307" s="2">
        <f t="shared" si="6"/>
        <v>259.5</v>
      </c>
      <c r="AA307" s="2">
        <f t="shared" si="7"/>
        <v>259.5</v>
      </c>
      <c r="AB307" s="2" t="str">
        <f t="shared" si="8"/>
        <v>Wednesday</v>
      </c>
      <c r="AC307" s="2" t="str">
        <f t="shared" si="9"/>
        <v>Weekday</v>
      </c>
      <c r="AD307" s="2" t="str">
        <f t="shared" si="10"/>
        <v>courtney.parker</v>
      </c>
      <c r="AE307" s="2" t="str">
        <f t="shared" si="11"/>
        <v>yahoo</v>
      </c>
      <c r="AF307" s="2" t="str">
        <f t="shared" si="12"/>
        <v>Courtney Parker</v>
      </c>
      <c r="AG307" s="2" t="str">
        <f t="shared" si="13"/>
        <v>Courtney</v>
      </c>
      <c r="AH307" s="2" t="str">
        <f t="shared" si="14"/>
        <v>Parker</v>
      </c>
      <c r="AI307" s="2" t="str">
        <f t="shared" si="15"/>
        <v>InTime</v>
      </c>
      <c r="AJ307" s="2" t="str">
        <f t="shared" si="16"/>
        <v>#NAME?</v>
      </c>
    </row>
    <row r="308" ht="14.25" customHeight="1">
      <c r="A308" s="2" t="s">
        <v>1072</v>
      </c>
      <c r="B308" s="2" t="s">
        <v>211</v>
      </c>
      <c r="C308" s="2" t="s">
        <v>1073</v>
      </c>
      <c r="D308" s="2">
        <v>55.0</v>
      </c>
      <c r="E308" s="2" t="s">
        <v>34</v>
      </c>
      <c r="F308" s="2" t="s">
        <v>152</v>
      </c>
      <c r="G308" s="2" t="s">
        <v>1074</v>
      </c>
      <c r="H308" s="2" t="s">
        <v>2159</v>
      </c>
      <c r="I308" s="2" t="s">
        <v>1075</v>
      </c>
      <c r="J308" s="2" t="s">
        <v>1429</v>
      </c>
      <c r="K308" s="3">
        <v>45324.0</v>
      </c>
      <c r="L308" s="2" t="s">
        <v>1430</v>
      </c>
      <c r="M308" s="2" t="s">
        <v>128</v>
      </c>
      <c r="N308" s="2">
        <v>175.93</v>
      </c>
      <c r="O308" s="2">
        <v>2.0</v>
      </c>
      <c r="P308" s="2" t="s">
        <v>56</v>
      </c>
      <c r="Q308" s="2">
        <v>6.0</v>
      </c>
      <c r="R308" s="2">
        <v>50.0</v>
      </c>
      <c r="S308" s="3">
        <v>45325.0</v>
      </c>
      <c r="T308" s="2" t="s">
        <v>1431</v>
      </c>
      <c r="U308" s="2">
        <f t="shared" si="1"/>
        <v>1</v>
      </c>
      <c r="V308" s="2">
        <f t="shared" si="2"/>
        <v>19</v>
      </c>
      <c r="W308" s="2">
        <f t="shared" si="3"/>
        <v>351.86</v>
      </c>
      <c r="X308" s="2">
        <f t="shared" si="4"/>
        <v>401.86</v>
      </c>
      <c r="Y308" s="2">
        <f t="shared" si="5"/>
        <v>0</v>
      </c>
      <c r="Z308" s="2">
        <f t="shared" si="6"/>
        <v>351.86</v>
      </c>
      <c r="AA308" s="2">
        <f t="shared" si="7"/>
        <v>351.86</v>
      </c>
      <c r="AB308" s="2" t="str">
        <f t="shared" si="8"/>
        <v>Friday</v>
      </c>
      <c r="AC308" s="2" t="str">
        <f t="shared" si="9"/>
        <v>Weekday</v>
      </c>
      <c r="AD308" s="2" t="str">
        <f t="shared" si="10"/>
        <v>mark.summers</v>
      </c>
      <c r="AE308" s="2" t="str">
        <f t="shared" si="11"/>
        <v>outlook</v>
      </c>
      <c r="AF308" s="2" t="str">
        <f t="shared" si="12"/>
        <v>Mark Summers</v>
      </c>
      <c r="AG308" s="2" t="str">
        <f t="shared" si="13"/>
        <v>Mark</v>
      </c>
      <c r="AH308" s="2" t="str">
        <f t="shared" si="14"/>
        <v>Summers</v>
      </c>
      <c r="AI308" s="2" t="str">
        <f t="shared" si="15"/>
        <v>Before Time</v>
      </c>
      <c r="AJ308" s="2" t="str">
        <f t="shared" si="16"/>
        <v>#NAME?</v>
      </c>
    </row>
    <row r="309" ht="14.25" customHeight="1">
      <c r="A309" s="2" t="s">
        <v>840</v>
      </c>
      <c r="B309" s="2" t="s">
        <v>841</v>
      </c>
      <c r="C309" s="2" t="s">
        <v>380</v>
      </c>
      <c r="D309" s="2">
        <v>37.0</v>
      </c>
      <c r="E309" s="2" t="s">
        <v>45</v>
      </c>
      <c r="F309" s="2" t="s">
        <v>213</v>
      </c>
      <c r="G309" s="2" t="s">
        <v>842</v>
      </c>
      <c r="H309" s="2" t="s">
        <v>2167</v>
      </c>
      <c r="I309" s="2" t="s">
        <v>843</v>
      </c>
      <c r="J309" s="2" t="s">
        <v>1432</v>
      </c>
      <c r="K309" s="3">
        <v>45671.0</v>
      </c>
      <c r="L309" s="2" t="s">
        <v>1433</v>
      </c>
      <c r="M309" s="2" t="s">
        <v>488</v>
      </c>
      <c r="N309" s="2">
        <v>421.7</v>
      </c>
      <c r="O309" s="2">
        <v>5.0</v>
      </c>
      <c r="P309" s="2" t="s">
        <v>51</v>
      </c>
      <c r="Q309" s="2">
        <v>2.0</v>
      </c>
      <c r="R309" s="2">
        <v>56.0</v>
      </c>
      <c r="S309" s="3">
        <v>45674.0</v>
      </c>
      <c r="T309" s="2" t="s">
        <v>1434</v>
      </c>
      <c r="U309" s="2">
        <f t="shared" si="1"/>
        <v>3</v>
      </c>
      <c r="V309" s="2">
        <f t="shared" si="2"/>
        <v>17</v>
      </c>
      <c r="W309" s="2">
        <f t="shared" si="3"/>
        <v>2108.5</v>
      </c>
      <c r="X309" s="2">
        <f t="shared" si="4"/>
        <v>2164.5</v>
      </c>
      <c r="Y309" s="2">
        <f t="shared" si="5"/>
        <v>0</v>
      </c>
      <c r="Z309" s="2">
        <f t="shared" si="6"/>
        <v>2108.5</v>
      </c>
      <c r="AA309" s="2">
        <f t="shared" si="7"/>
        <v>2164.5</v>
      </c>
      <c r="AB309" s="2" t="str">
        <f t="shared" si="8"/>
        <v>Tuesday</v>
      </c>
      <c r="AC309" s="2" t="str">
        <f t="shared" si="9"/>
        <v>Weekday</v>
      </c>
      <c r="AD309" s="2" t="str">
        <f t="shared" si="10"/>
        <v>susan.thompson</v>
      </c>
      <c r="AE309" s="2" t="str">
        <f t="shared" si="11"/>
        <v>outlook</v>
      </c>
      <c r="AF309" s="2" t="str">
        <f t="shared" si="12"/>
        <v>Susan Thompson</v>
      </c>
      <c r="AG309" s="2" t="str">
        <f t="shared" si="13"/>
        <v>Susan</v>
      </c>
      <c r="AH309" s="2" t="str">
        <f t="shared" si="14"/>
        <v>Thompson</v>
      </c>
      <c r="AI309" s="2" t="str">
        <f t="shared" si="15"/>
        <v>Late</v>
      </c>
      <c r="AJ309" s="2" t="str">
        <f t="shared" si="16"/>
        <v>#NAME?</v>
      </c>
    </row>
    <row r="310" ht="14.25" customHeight="1">
      <c r="A310" s="2" t="s">
        <v>585</v>
      </c>
      <c r="B310" s="2" t="s">
        <v>586</v>
      </c>
      <c r="C310" s="2" t="s">
        <v>587</v>
      </c>
      <c r="D310" s="2">
        <v>21.0</v>
      </c>
      <c r="E310" s="2" t="s">
        <v>22</v>
      </c>
      <c r="F310" s="2" t="s">
        <v>35</v>
      </c>
      <c r="G310" s="2" t="s">
        <v>588</v>
      </c>
      <c r="H310" s="2" t="s">
        <v>2147</v>
      </c>
      <c r="I310" s="2" t="s">
        <v>589</v>
      </c>
      <c r="J310" s="2" t="s">
        <v>1435</v>
      </c>
      <c r="K310" s="3">
        <v>45064.0</v>
      </c>
      <c r="L310" s="2" t="s">
        <v>1436</v>
      </c>
      <c r="M310" s="2" t="s">
        <v>630</v>
      </c>
      <c r="N310" s="2">
        <v>445.81</v>
      </c>
      <c r="O310" s="2">
        <v>1.0</v>
      </c>
      <c r="P310" s="2" t="s">
        <v>78</v>
      </c>
      <c r="Q310" s="2">
        <v>7.0</v>
      </c>
      <c r="R310" s="2">
        <v>41.0</v>
      </c>
      <c r="S310" s="3">
        <v>45071.0</v>
      </c>
      <c r="T310" s="2" t="s">
        <v>1437</v>
      </c>
      <c r="U310" s="2">
        <f t="shared" si="1"/>
        <v>7</v>
      </c>
      <c r="V310" s="2">
        <f t="shared" si="2"/>
        <v>13</v>
      </c>
      <c r="W310" s="2">
        <f t="shared" si="3"/>
        <v>445.81</v>
      </c>
      <c r="X310" s="2">
        <f t="shared" si="4"/>
        <v>486.81</v>
      </c>
      <c r="Y310" s="2">
        <f t="shared" si="5"/>
        <v>0</v>
      </c>
      <c r="Z310" s="2">
        <f t="shared" si="6"/>
        <v>445.81</v>
      </c>
      <c r="AA310" s="2">
        <f t="shared" si="7"/>
        <v>486.81</v>
      </c>
      <c r="AB310" s="2" t="str">
        <f t="shared" si="8"/>
        <v>Thursday</v>
      </c>
      <c r="AC310" s="2" t="str">
        <f t="shared" si="9"/>
        <v>Weekday</v>
      </c>
      <c r="AD310" s="2" t="str">
        <f t="shared" si="10"/>
        <v>william.mann</v>
      </c>
      <c r="AE310" s="2" t="str">
        <f t="shared" si="11"/>
        <v>yahoo</v>
      </c>
      <c r="AF310" s="2" t="str">
        <f t="shared" si="12"/>
        <v>William Mann</v>
      </c>
      <c r="AG310" s="2" t="str">
        <f t="shared" si="13"/>
        <v>William</v>
      </c>
      <c r="AH310" s="2" t="str">
        <f t="shared" si="14"/>
        <v>Mann</v>
      </c>
      <c r="AI310" s="2" t="str">
        <f t="shared" si="15"/>
        <v>InTime</v>
      </c>
      <c r="AJ310" s="2" t="str">
        <f t="shared" si="16"/>
        <v>#NAME?</v>
      </c>
    </row>
    <row r="311" ht="14.25" customHeight="1">
      <c r="A311" s="2" t="s">
        <v>672</v>
      </c>
      <c r="B311" s="2" t="s">
        <v>673</v>
      </c>
      <c r="C311" s="2" t="s">
        <v>674</v>
      </c>
      <c r="D311" s="2">
        <v>68.0</v>
      </c>
      <c r="E311" s="2" t="s">
        <v>22</v>
      </c>
      <c r="F311" s="2" t="s">
        <v>213</v>
      </c>
      <c r="G311" s="2" t="s">
        <v>675</v>
      </c>
      <c r="H311" s="2" t="s">
        <v>2153</v>
      </c>
      <c r="I311" s="2" t="s">
        <v>676</v>
      </c>
      <c r="J311" s="2" t="s">
        <v>1438</v>
      </c>
      <c r="K311" s="3">
        <v>44973.0</v>
      </c>
      <c r="L311" s="2" t="s">
        <v>1439</v>
      </c>
      <c r="M311" s="2" t="s">
        <v>546</v>
      </c>
      <c r="N311" s="2">
        <v>425.59</v>
      </c>
      <c r="O311" s="2">
        <v>2.0</v>
      </c>
      <c r="P311" s="2" t="s">
        <v>56</v>
      </c>
      <c r="Q311" s="2">
        <v>2.0</v>
      </c>
      <c r="R311" s="2">
        <v>67.0</v>
      </c>
      <c r="S311" s="3">
        <v>44977.0</v>
      </c>
      <c r="T311" s="2" t="s">
        <v>1440</v>
      </c>
      <c r="U311" s="2">
        <f t="shared" si="1"/>
        <v>4</v>
      </c>
      <c r="V311" s="2">
        <f t="shared" si="2"/>
        <v>4</v>
      </c>
      <c r="W311" s="2">
        <f t="shared" si="3"/>
        <v>851.18</v>
      </c>
      <c r="X311" s="2">
        <f t="shared" si="4"/>
        <v>918.18</v>
      </c>
      <c r="Y311" s="2">
        <f t="shared" si="5"/>
        <v>0</v>
      </c>
      <c r="Z311" s="2">
        <f t="shared" si="6"/>
        <v>851.18</v>
      </c>
      <c r="AA311" s="2">
        <f t="shared" si="7"/>
        <v>851.18</v>
      </c>
      <c r="AB311" s="2" t="str">
        <f t="shared" si="8"/>
        <v>Thursday</v>
      </c>
      <c r="AC311" s="2" t="str">
        <f t="shared" si="9"/>
        <v>Weekday</v>
      </c>
      <c r="AD311" s="2" t="str">
        <f t="shared" si="10"/>
        <v>troy.gomez</v>
      </c>
      <c r="AE311" s="2" t="str">
        <f t="shared" si="11"/>
        <v>outlook</v>
      </c>
      <c r="AF311" s="2" t="str">
        <f t="shared" si="12"/>
        <v>Troy Gomez</v>
      </c>
      <c r="AG311" s="2" t="str">
        <f t="shared" si="13"/>
        <v>Troy</v>
      </c>
      <c r="AH311" s="2" t="str">
        <f t="shared" si="14"/>
        <v>Gomez</v>
      </c>
      <c r="AI311" s="2" t="str">
        <f t="shared" si="15"/>
        <v>Late</v>
      </c>
      <c r="AJ311" s="2" t="str">
        <f t="shared" si="16"/>
        <v>#NAME?</v>
      </c>
    </row>
    <row r="312" ht="14.25" customHeight="1">
      <c r="A312" s="2" t="s">
        <v>351</v>
      </c>
      <c r="B312" s="2" t="s">
        <v>352</v>
      </c>
      <c r="C312" s="2" t="s">
        <v>353</v>
      </c>
      <c r="D312" s="2">
        <v>32.0</v>
      </c>
      <c r="E312" s="2" t="s">
        <v>34</v>
      </c>
      <c r="F312" s="2" t="s">
        <v>161</v>
      </c>
      <c r="G312" s="2" t="s">
        <v>354</v>
      </c>
      <c r="H312" s="2" t="s">
        <v>2124</v>
      </c>
      <c r="I312" s="2" t="s">
        <v>355</v>
      </c>
      <c r="J312" s="2" t="s">
        <v>1441</v>
      </c>
      <c r="K312" s="3">
        <v>45515.0</v>
      </c>
      <c r="L312" s="2" t="s">
        <v>1442</v>
      </c>
      <c r="M312" s="2" t="s">
        <v>546</v>
      </c>
      <c r="N312" s="2">
        <v>425.59</v>
      </c>
      <c r="O312" s="2">
        <v>1.0</v>
      </c>
      <c r="P312" s="2" t="s">
        <v>29</v>
      </c>
      <c r="Q312" s="2">
        <v>1.0</v>
      </c>
      <c r="R312" s="2">
        <v>62.0</v>
      </c>
      <c r="S312" s="3">
        <v>45518.0</v>
      </c>
      <c r="T312" s="2" t="s">
        <v>1443</v>
      </c>
      <c r="U312" s="2">
        <f t="shared" si="1"/>
        <v>3</v>
      </c>
      <c r="V312" s="2">
        <f t="shared" si="2"/>
        <v>16</v>
      </c>
      <c r="W312" s="2">
        <f t="shared" si="3"/>
        <v>425.59</v>
      </c>
      <c r="X312" s="2">
        <f t="shared" si="4"/>
        <v>487.59</v>
      </c>
      <c r="Y312" s="2">
        <f t="shared" si="5"/>
        <v>0</v>
      </c>
      <c r="Z312" s="2">
        <f t="shared" si="6"/>
        <v>425.59</v>
      </c>
      <c r="AA312" s="2">
        <f t="shared" si="7"/>
        <v>487.59</v>
      </c>
      <c r="AB312" s="2" t="str">
        <f t="shared" si="8"/>
        <v>Sunday</v>
      </c>
      <c r="AC312" s="2" t="str">
        <f t="shared" si="9"/>
        <v>Weekend</v>
      </c>
      <c r="AD312" s="2" t="str">
        <f t="shared" si="10"/>
        <v>robert.castillo</v>
      </c>
      <c r="AE312" s="2" t="str">
        <f t="shared" si="11"/>
        <v>gmail</v>
      </c>
      <c r="AF312" s="2" t="str">
        <f t="shared" si="12"/>
        <v>Robert Castillo</v>
      </c>
      <c r="AG312" s="2" t="str">
        <f t="shared" si="13"/>
        <v>Robert</v>
      </c>
      <c r="AH312" s="2" t="str">
        <f t="shared" si="14"/>
        <v>Castillo</v>
      </c>
      <c r="AI312" s="2" t="str">
        <f t="shared" si="15"/>
        <v>Late</v>
      </c>
      <c r="AJ312" s="2" t="str">
        <f t="shared" si="16"/>
        <v>#NAME?</v>
      </c>
    </row>
    <row r="313" ht="14.25" customHeight="1">
      <c r="A313" s="2" t="s">
        <v>1072</v>
      </c>
      <c r="B313" s="2" t="s">
        <v>211</v>
      </c>
      <c r="C313" s="2" t="s">
        <v>1073</v>
      </c>
      <c r="D313" s="2">
        <v>55.0</v>
      </c>
      <c r="E313" s="2" t="s">
        <v>34</v>
      </c>
      <c r="F313" s="2" t="s">
        <v>152</v>
      </c>
      <c r="G313" s="2" t="s">
        <v>1074</v>
      </c>
      <c r="H313" s="2" t="s">
        <v>2159</v>
      </c>
      <c r="I313" s="2" t="s">
        <v>1075</v>
      </c>
      <c r="J313" s="2" t="s">
        <v>1444</v>
      </c>
      <c r="K313" s="3">
        <v>44976.0</v>
      </c>
      <c r="L313" s="2" t="s">
        <v>1445</v>
      </c>
      <c r="M313" s="2" t="s">
        <v>243</v>
      </c>
      <c r="N313" s="2">
        <v>128.14</v>
      </c>
      <c r="O313" s="2">
        <v>1.0</v>
      </c>
      <c r="P313" s="2" t="s">
        <v>89</v>
      </c>
      <c r="Q313" s="2">
        <v>1.0</v>
      </c>
      <c r="R313" s="2">
        <v>39.0</v>
      </c>
      <c r="S313" s="3">
        <v>44982.0</v>
      </c>
      <c r="T313" s="2" t="s">
        <v>1446</v>
      </c>
      <c r="U313" s="2">
        <f t="shared" si="1"/>
        <v>6</v>
      </c>
      <c r="V313" s="2">
        <f t="shared" si="2"/>
        <v>4</v>
      </c>
      <c r="W313" s="2">
        <f t="shared" si="3"/>
        <v>128.14</v>
      </c>
      <c r="X313" s="2">
        <f t="shared" si="4"/>
        <v>167.14</v>
      </c>
      <c r="Y313" s="2">
        <f t="shared" si="5"/>
        <v>0</v>
      </c>
      <c r="Z313" s="2">
        <f t="shared" si="6"/>
        <v>128.14</v>
      </c>
      <c r="AA313" s="2">
        <f t="shared" si="7"/>
        <v>167.14</v>
      </c>
      <c r="AB313" s="2" t="str">
        <f t="shared" si="8"/>
        <v>Sunday</v>
      </c>
      <c r="AC313" s="2" t="str">
        <f t="shared" si="9"/>
        <v>Weekend</v>
      </c>
      <c r="AD313" s="2" t="str">
        <f t="shared" si="10"/>
        <v>mark.summers</v>
      </c>
      <c r="AE313" s="2" t="str">
        <f t="shared" si="11"/>
        <v>outlook</v>
      </c>
      <c r="AF313" s="2" t="str">
        <f t="shared" si="12"/>
        <v>Mark Summers</v>
      </c>
      <c r="AG313" s="2" t="str">
        <f t="shared" si="13"/>
        <v>Mark</v>
      </c>
      <c r="AH313" s="2" t="str">
        <f t="shared" si="14"/>
        <v>Summers</v>
      </c>
      <c r="AI313" s="2" t="str">
        <f t="shared" si="15"/>
        <v>Late</v>
      </c>
      <c r="AJ313" s="2" t="str">
        <f t="shared" si="16"/>
        <v>#NAME?</v>
      </c>
    </row>
    <row r="314" ht="14.25" customHeight="1">
      <c r="A314" s="2" t="s">
        <v>1203</v>
      </c>
      <c r="B314" s="2" t="s">
        <v>1204</v>
      </c>
      <c r="C314" s="2" t="s">
        <v>1205</v>
      </c>
      <c r="D314" s="2">
        <v>50.0</v>
      </c>
      <c r="E314" s="2" t="s">
        <v>45</v>
      </c>
      <c r="F314" s="2" t="s">
        <v>161</v>
      </c>
      <c r="G314" s="2" t="s">
        <v>1206</v>
      </c>
      <c r="H314" s="2" t="s">
        <v>2176</v>
      </c>
      <c r="I314" s="2" t="s">
        <v>1207</v>
      </c>
      <c r="J314" s="2" t="s">
        <v>1447</v>
      </c>
      <c r="K314" s="3">
        <v>45684.0</v>
      </c>
      <c r="L314" s="2" t="s">
        <v>1448</v>
      </c>
      <c r="M314" s="2" t="s">
        <v>650</v>
      </c>
      <c r="N314" s="2">
        <v>235.63</v>
      </c>
      <c r="O314" s="2">
        <v>1.0</v>
      </c>
      <c r="P314" s="2" t="s">
        <v>78</v>
      </c>
      <c r="Q314" s="2">
        <v>7.0</v>
      </c>
      <c r="R314" s="2">
        <v>46.0</v>
      </c>
      <c r="S314" s="3">
        <v>45689.0</v>
      </c>
      <c r="T314" s="2" t="s">
        <v>1449</v>
      </c>
      <c r="U314" s="2">
        <f t="shared" si="1"/>
        <v>5</v>
      </c>
      <c r="V314" s="2">
        <f t="shared" si="2"/>
        <v>20</v>
      </c>
      <c r="W314" s="2">
        <f t="shared" si="3"/>
        <v>235.63</v>
      </c>
      <c r="X314" s="2">
        <f t="shared" si="4"/>
        <v>281.63</v>
      </c>
      <c r="Y314" s="2">
        <f t="shared" si="5"/>
        <v>0</v>
      </c>
      <c r="Z314" s="2">
        <f t="shared" si="6"/>
        <v>235.63</v>
      </c>
      <c r="AA314" s="2">
        <f t="shared" si="7"/>
        <v>281.63</v>
      </c>
      <c r="AB314" s="2" t="str">
        <f t="shared" si="8"/>
        <v>Monday</v>
      </c>
      <c r="AC314" s="2" t="str">
        <f t="shared" si="9"/>
        <v>Weekday</v>
      </c>
      <c r="AD314" s="2" t="str">
        <f t="shared" si="10"/>
        <v>brendan.kelly</v>
      </c>
      <c r="AE314" s="2" t="str">
        <f t="shared" si="11"/>
        <v>rediffmail</v>
      </c>
      <c r="AF314" s="2" t="str">
        <f t="shared" si="12"/>
        <v>Brendan Kelly</v>
      </c>
      <c r="AG314" s="2" t="str">
        <f t="shared" si="13"/>
        <v>Brendan</v>
      </c>
      <c r="AH314" s="2" t="str">
        <f t="shared" si="14"/>
        <v>Kelly</v>
      </c>
      <c r="AI314" s="2" t="str">
        <f t="shared" si="15"/>
        <v>Before Time</v>
      </c>
      <c r="AJ314" s="2" t="str">
        <f t="shared" si="16"/>
        <v>#NAME?</v>
      </c>
    </row>
    <row r="315" ht="14.25" customHeight="1">
      <c r="A315" s="2" t="s">
        <v>1450</v>
      </c>
      <c r="B315" s="2" t="s">
        <v>266</v>
      </c>
      <c r="C315" s="2" t="s">
        <v>1451</v>
      </c>
      <c r="D315" s="2">
        <v>30.0</v>
      </c>
      <c r="E315" s="2" t="s">
        <v>22</v>
      </c>
      <c r="F315" s="2" t="s">
        <v>213</v>
      </c>
      <c r="G315" s="2" t="s">
        <v>1452</v>
      </c>
      <c r="H315" s="2" t="s">
        <v>2184</v>
      </c>
      <c r="I315" s="2" t="s">
        <v>1453</v>
      </c>
      <c r="J315" s="2" t="s">
        <v>1454</v>
      </c>
      <c r="K315" s="3">
        <v>45400.0</v>
      </c>
      <c r="L315" s="2" t="s">
        <v>1455</v>
      </c>
      <c r="M315" s="2" t="s">
        <v>280</v>
      </c>
      <c r="N315" s="2">
        <v>157.64</v>
      </c>
      <c r="O315" s="2">
        <v>2.0</v>
      </c>
      <c r="P315" s="2" t="s">
        <v>78</v>
      </c>
      <c r="Q315" s="2">
        <v>1.0</v>
      </c>
      <c r="R315" s="2">
        <v>57.0</v>
      </c>
      <c r="S315" s="3">
        <v>45401.0</v>
      </c>
      <c r="T315" s="2" t="s">
        <v>1456</v>
      </c>
      <c r="U315" s="2">
        <f t="shared" si="1"/>
        <v>1</v>
      </c>
      <c r="V315" s="2">
        <f t="shared" si="2"/>
        <v>5</v>
      </c>
      <c r="W315" s="2">
        <f t="shared" si="3"/>
        <v>315.28</v>
      </c>
      <c r="X315" s="2">
        <f t="shared" si="4"/>
        <v>372.28</v>
      </c>
      <c r="Y315" s="2">
        <f t="shared" si="5"/>
        <v>0</v>
      </c>
      <c r="Z315" s="2">
        <f t="shared" si="6"/>
        <v>315.28</v>
      </c>
      <c r="AA315" s="2">
        <f t="shared" si="7"/>
        <v>372.28</v>
      </c>
      <c r="AB315" s="2" t="str">
        <f t="shared" si="8"/>
        <v>Thursday</v>
      </c>
      <c r="AC315" s="2" t="str">
        <f t="shared" si="9"/>
        <v>Weekday</v>
      </c>
      <c r="AD315" s="2" t="str">
        <f t="shared" si="10"/>
        <v>lauren.lane</v>
      </c>
      <c r="AE315" s="2" t="str">
        <f t="shared" si="11"/>
        <v>gmail</v>
      </c>
      <c r="AF315" s="2" t="str">
        <f t="shared" si="12"/>
        <v>Lauren Lane</v>
      </c>
      <c r="AG315" s="2" t="str">
        <f t="shared" si="13"/>
        <v>Lauren</v>
      </c>
      <c r="AH315" s="2" t="str">
        <f t="shared" si="14"/>
        <v>Lane</v>
      </c>
      <c r="AI315" s="2" t="str">
        <f t="shared" si="15"/>
        <v>InTime</v>
      </c>
      <c r="AJ315" s="2" t="str">
        <f t="shared" si="16"/>
        <v>#NAME?</v>
      </c>
    </row>
    <row r="316" ht="14.25" customHeight="1">
      <c r="A316" s="2" t="s">
        <v>887</v>
      </c>
      <c r="B316" s="2" t="s">
        <v>141</v>
      </c>
      <c r="C316" s="2" t="s">
        <v>888</v>
      </c>
      <c r="D316" s="2">
        <v>29.0</v>
      </c>
      <c r="E316" s="2" t="s">
        <v>22</v>
      </c>
      <c r="F316" s="2" t="s">
        <v>35</v>
      </c>
      <c r="G316" s="2" t="s">
        <v>889</v>
      </c>
      <c r="H316" s="2" t="s">
        <v>2168</v>
      </c>
      <c r="I316" s="2" t="s">
        <v>890</v>
      </c>
      <c r="J316" s="2" t="s">
        <v>1457</v>
      </c>
      <c r="K316" s="3">
        <v>45108.0</v>
      </c>
      <c r="L316" s="2" t="s">
        <v>1458</v>
      </c>
      <c r="M316" s="2" t="s">
        <v>227</v>
      </c>
      <c r="N316" s="2">
        <v>132.97</v>
      </c>
      <c r="O316" s="2">
        <v>3.0</v>
      </c>
      <c r="P316" s="2" t="s">
        <v>51</v>
      </c>
      <c r="Q316" s="2">
        <v>3.0</v>
      </c>
      <c r="R316" s="2">
        <v>36.0</v>
      </c>
      <c r="S316" s="3">
        <v>45110.0</v>
      </c>
      <c r="T316" s="2" t="s">
        <v>1459</v>
      </c>
      <c r="U316" s="2">
        <f t="shared" si="1"/>
        <v>2</v>
      </c>
      <c r="V316" s="2">
        <f t="shared" si="2"/>
        <v>6</v>
      </c>
      <c r="W316" s="2">
        <f t="shared" si="3"/>
        <v>398.91</v>
      </c>
      <c r="X316" s="2">
        <f t="shared" si="4"/>
        <v>434.91</v>
      </c>
      <c r="Y316" s="2">
        <f t="shared" si="5"/>
        <v>0</v>
      </c>
      <c r="Z316" s="2">
        <f t="shared" si="6"/>
        <v>398.91</v>
      </c>
      <c r="AA316" s="2">
        <f t="shared" si="7"/>
        <v>434.91</v>
      </c>
      <c r="AB316" s="2" t="str">
        <f t="shared" si="8"/>
        <v>Saturday</v>
      </c>
      <c r="AC316" s="2" t="str">
        <f t="shared" si="9"/>
        <v>Weekend</v>
      </c>
      <c r="AD316" s="2" t="str">
        <f t="shared" si="10"/>
        <v>amy.griffin</v>
      </c>
      <c r="AE316" s="2" t="str">
        <f t="shared" si="11"/>
        <v>rediffmail</v>
      </c>
      <c r="AF316" s="2" t="str">
        <f t="shared" si="12"/>
        <v>Amy Griffin</v>
      </c>
      <c r="AG316" s="2" t="str">
        <f t="shared" si="13"/>
        <v>Amy</v>
      </c>
      <c r="AH316" s="2" t="str">
        <f t="shared" si="14"/>
        <v>Griffin</v>
      </c>
      <c r="AI316" s="2" t="str">
        <f t="shared" si="15"/>
        <v>Before Time</v>
      </c>
      <c r="AJ316" s="2" t="str">
        <f t="shared" si="16"/>
        <v>#NAME?</v>
      </c>
    </row>
    <row r="317" ht="14.25" customHeight="1">
      <c r="A317" s="2" t="s">
        <v>351</v>
      </c>
      <c r="B317" s="2" t="s">
        <v>352</v>
      </c>
      <c r="C317" s="2" t="s">
        <v>353</v>
      </c>
      <c r="D317" s="2">
        <v>32.0</v>
      </c>
      <c r="E317" s="2" t="s">
        <v>34</v>
      </c>
      <c r="F317" s="2" t="s">
        <v>161</v>
      </c>
      <c r="G317" s="2" t="s">
        <v>354</v>
      </c>
      <c r="H317" s="2" t="s">
        <v>2124</v>
      </c>
      <c r="I317" s="2" t="s">
        <v>355</v>
      </c>
      <c r="J317" s="2" t="s">
        <v>1460</v>
      </c>
      <c r="K317" s="3">
        <v>45143.0</v>
      </c>
      <c r="L317" s="2" t="s">
        <v>1461</v>
      </c>
      <c r="M317" s="2" t="s">
        <v>316</v>
      </c>
      <c r="N317" s="2">
        <v>481.48</v>
      </c>
      <c r="O317" s="2">
        <v>1.0</v>
      </c>
      <c r="P317" s="2" t="s">
        <v>51</v>
      </c>
      <c r="Q317" s="2">
        <v>4.0</v>
      </c>
      <c r="R317" s="2">
        <v>67.0</v>
      </c>
      <c r="S317" s="3">
        <v>45150.0</v>
      </c>
      <c r="T317" s="2" t="s">
        <v>1462</v>
      </c>
      <c r="U317" s="2">
        <f t="shared" si="1"/>
        <v>7</v>
      </c>
      <c r="V317" s="2">
        <f t="shared" si="2"/>
        <v>20</v>
      </c>
      <c r="W317" s="2">
        <f t="shared" si="3"/>
        <v>481.48</v>
      </c>
      <c r="X317" s="2">
        <f t="shared" si="4"/>
        <v>548.48</v>
      </c>
      <c r="Y317" s="2">
        <f t="shared" si="5"/>
        <v>0</v>
      </c>
      <c r="Z317" s="2">
        <f t="shared" si="6"/>
        <v>481.48</v>
      </c>
      <c r="AA317" s="2">
        <f t="shared" si="7"/>
        <v>548.48</v>
      </c>
      <c r="AB317" s="2" t="str">
        <f t="shared" si="8"/>
        <v>Saturday</v>
      </c>
      <c r="AC317" s="2" t="str">
        <f t="shared" si="9"/>
        <v>Weekend</v>
      </c>
      <c r="AD317" s="2" t="str">
        <f t="shared" si="10"/>
        <v>robert.castillo</v>
      </c>
      <c r="AE317" s="2" t="str">
        <f t="shared" si="11"/>
        <v>gmail</v>
      </c>
      <c r="AF317" s="2" t="str">
        <f t="shared" si="12"/>
        <v>Robert Castillo</v>
      </c>
      <c r="AG317" s="2" t="str">
        <f t="shared" si="13"/>
        <v>Robert</v>
      </c>
      <c r="AH317" s="2" t="str">
        <f t="shared" si="14"/>
        <v>Castillo</v>
      </c>
      <c r="AI317" s="2" t="str">
        <f t="shared" si="15"/>
        <v>Late</v>
      </c>
      <c r="AJ317" s="2" t="str">
        <f t="shared" si="16"/>
        <v>#NAME?</v>
      </c>
    </row>
    <row r="318" ht="14.25" customHeight="1">
      <c r="A318" s="2" t="s">
        <v>130</v>
      </c>
      <c r="B318" s="2" t="s">
        <v>131</v>
      </c>
      <c r="C318" s="2" t="s">
        <v>132</v>
      </c>
      <c r="D318" s="2">
        <v>25.0</v>
      </c>
      <c r="E318" s="2" t="s">
        <v>45</v>
      </c>
      <c r="F318" s="2" t="s">
        <v>133</v>
      </c>
      <c r="G318" s="2" t="s">
        <v>134</v>
      </c>
      <c r="H318" s="2" t="s">
        <v>2102</v>
      </c>
      <c r="I318" s="2" t="s">
        <v>135</v>
      </c>
      <c r="J318" s="2" t="s">
        <v>1463</v>
      </c>
      <c r="K318" s="3">
        <v>45211.0</v>
      </c>
      <c r="L318" s="2" t="s">
        <v>1464</v>
      </c>
      <c r="M318" s="2" t="s">
        <v>316</v>
      </c>
      <c r="N318" s="2">
        <v>481.48</v>
      </c>
      <c r="O318" s="2">
        <v>2.0</v>
      </c>
      <c r="P318" s="2" t="s">
        <v>89</v>
      </c>
      <c r="Q318" s="2">
        <v>7.0</v>
      </c>
      <c r="R318" s="2">
        <v>66.0</v>
      </c>
      <c r="S318" s="3">
        <v>45218.0</v>
      </c>
      <c r="T318" s="2" t="s">
        <v>1465</v>
      </c>
      <c r="U318" s="2">
        <f t="shared" si="1"/>
        <v>7</v>
      </c>
      <c r="V318" s="2">
        <f t="shared" si="2"/>
        <v>6</v>
      </c>
      <c r="W318" s="2">
        <f t="shared" si="3"/>
        <v>962.96</v>
      </c>
      <c r="X318" s="2">
        <f t="shared" si="4"/>
        <v>1028.96</v>
      </c>
      <c r="Y318" s="2">
        <f t="shared" si="5"/>
        <v>0</v>
      </c>
      <c r="Z318" s="2">
        <f t="shared" si="6"/>
        <v>962.96</v>
      </c>
      <c r="AA318" s="2">
        <f t="shared" si="7"/>
        <v>1028.96</v>
      </c>
      <c r="AB318" s="2" t="str">
        <f t="shared" si="8"/>
        <v>Thursday</v>
      </c>
      <c r="AC318" s="2" t="str">
        <f t="shared" si="9"/>
        <v>Weekday</v>
      </c>
      <c r="AD318" s="2" t="str">
        <f t="shared" si="10"/>
        <v>kara.brennan</v>
      </c>
      <c r="AE318" s="2" t="str">
        <f t="shared" si="11"/>
        <v>outlook</v>
      </c>
      <c r="AF318" s="2" t="str">
        <f t="shared" si="12"/>
        <v>Kara Brennan</v>
      </c>
      <c r="AG318" s="2" t="str">
        <f t="shared" si="13"/>
        <v>Kara</v>
      </c>
      <c r="AH318" s="2" t="str">
        <f t="shared" si="14"/>
        <v>Brennan</v>
      </c>
      <c r="AI318" s="2" t="str">
        <f t="shared" si="15"/>
        <v>InTime</v>
      </c>
      <c r="AJ318" s="2" t="str">
        <f t="shared" si="16"/>
        <v>#NAME?</v>
      </c>
    </row>
    <row r="319" ht="14.25" customHeight="1">
      <c r="A319" s="2" t="s">
        <v>1466</v>
      </c>
      <c r="B319" s="2" t="s">
        <v>586</v>
      </c>
      <c r="C319" s="2" t="s">
        <v>1467</v>
      </c>
      <c r="D319" s="2">
        <v>57.0</v>
      </c>
      <c r="E319" s="2" t="s">
        <v>45</v>
      </c>
      <c r="F319" s="2" t="s">
        <v>133</v>
      </c>
      <c r="G319" s="2" t="s">
        <v>1468</v>
      </c>
      <c r="H319" s="2" t="s">
        <v>2185</v>
      </c>
      <c r="I319" s="2" t="s">
        <v>1469</v>
      </c>
      <c r="J319" s="2" t="s">
        <v>1470</v>
      </c>
      <c r="K319" s="3">
        <v>45147.0</v>
      </c>
      <c r="L319" s="2" t="s">
        <v>1471</v>
      </c>
      <c r="M319" s="2" t="s">
        <v>284</v>
      </c>
      <c r="N319" s="2">
        <v>158.53</v>
      </c>
      <c r="O319" s="2">
        <v>5.0</v>
      </c>
      <c r="P319" s="2" t="s">
        <v>78</v>
      </c>
      <c r="Q319" s="2">
        <v>1.0</v>
      </c>
      <c r="R319" s="2">
        <v>46.0</v>
      </c>
      <c r="S319" s="3">
        <v>45151.0</v>
      </c>
      <c r="T319" s="2" t="s">
        <v>1472</v>
      </c>
      <c r="U319" s="2">
        <f t="shared" si="1"/>
        <v>4</v>
      </c>
      <c r="V319" s="2">
        <f t="shared" si="2"/>
        <v>23</v>
      </c>
      <c r="W319" s="2">
        <f t="shared" si="3"/>
        <v>792.65</v>
      </c>
      <c r="X319" s="2">
        <f t="shared" si="4"/>
        <v>838.65</v>
      </c>
      <c r="Y319" s="2">
        <f t="shared" si="5"/>
        <v>0</v>
      </c>
      <c r="Z319" s="2">
        <f t="shared" si="6"/>
        <v>792.65</v>
      </c>
      <c r="AA319" s="2">
        <f t="shared" si="7"/>
        <v>838.65</v>
      </c>
      <c r="AB319" s="2" t="str">
        <f t="shared" si="8"/>
        <v>Wednesday</v>
      </c>
      <c r="AC319" s="2" t="str">
        <f t="shared" si="9"/>
        <v>Weekday</v>
      </c>
      <c r="AD319" s="2" t="str">
        <f t="shared" si="10"/>
        <v>william.richmond</v>
      </c>
      <c r="AE319" s="2" t="str">
        <f t="shared" si="11"/>
        <v>outlook</v>
      </c>
      <c r="AF319" s="2" t="str">
        <f t="shared" si="12"/>
        <v>William Richmond</v>
      </c>
      <c r="AG319" s="2" t="str">
        <f t="shared" si="13"/>
        <v>William</v>
      </c>
      <c r="AH319" s="2" t="str">
        <f t="shared" si="14"/>
        <v>Richmond</v>
      </c>
      <c r="AI319" s="2" t="str">
        <f t="shared" si="15"/>
        <v>Late</v>
      </c>
      <c r="AJ319" s="2" t="str">
        <f t="shared" si="16"/>
        <v>#NAME?</v>
      </c>
    </row>
    <row r="320" ht="14.25" customHeight="1">
      <c r="A320" s="2" t="s">
        <v>1311</v>
      </c>
      <c r="B320" s="2" t="s">
        <v>1312</v>
      </c>
      <c r="C320" s="2" t="s">
        <v>1313</v>
      </c>
      <c r="D320" s="2">
        <v>43.0</v>
      </c>
      <c r="E320" s="2" t="s">
        <v>22</v>
      </c>
      <c r="F320" s="2" t="s">
        <v>133</v>
      </c>
      <c r="G320" s="2" t="s">
        <v>1314</v>
      </c>
      <c r="H320" s="2" t="s">
        <v>2181</v>
      </c>
      <c r="I320" s="2" t="s">
        <v>1315</v>
      </c>
      <c r="J320" s="2" t="s">
        <v>1473</v>
      </c>
      <c r="K320" s="3">
        <v>45637.0</v>
      </c>
      <c r="L320" s="2" t="s">
        <v>1474</v>
      </c>
      <c r="M320" s="2" t="s">
        <v>166</v>
      </c>
      <c r="N320" s="2">
        <v>272.51</v>
      </c>
      <c r="O320" s="2">
        <v>2.0</v>
      </c>
      <c r="P320" s="2" t="s">
        <v>78</v>
      </c>
      <c r="Q320" s="2">
        <v>5.0</v>
      </c>
      <c r="R320" s="2">
        <v>37.0</v>
      </c>
      <c r="S320" s="3">
        <v>45640.0</v>
      </c>
      <c r="T320" s="2" t="s">
        <v>1475</v>
      </c>
      <c r="U320" s="2">
        <f t="shared" si="1"/>
        <v>3</v>
      </c>
      <c r="V320" s="2">
        <f t="shared" si="2"/>
        <v>12</v>
      </c>
      <c r="W320" s="2">
        <f t="shared" si="3"/>
        <v>545.02</v>
      </c>
      <c r="X320" s="2">
        <f t="shared" si="4"/>
        <v>582.02</v>
      </c>
      <c r="Y320" s="2">
        <f t="shared" si="5"/>
        <v>0</v>
      </c>
      <c r="Z320" s="2">
        <f t="shared" si="6"/>
        <v>545.02</v>
      </c>
      <c r="AA320" s="2">
        <f t="shared" si="7"/>
        <v>582.02</v>
      </c>
      <c r="AB320" s="2" t="str">
        <f t="shared" si="8"/>
        <v>Wednesday</v>
      </c>
      <c r="AC320" s="2" t="str">
        <f t="shared" si="9"/>
        <v>Weekday</v>
      </c>
      <c r="AD320" s="2" t="str">
        <f t="shared" si="10"/>
        <v>jared.horn</v>
      </c>
      <c r="AE320" s="2" t="str">
        <f t="shared" si="11"/>
        <v>outlook</v>
      </c>
      <c r="AF320" s="2" t="str">
        <f t="shared" si="12"/>
        <v>Jared Horn</v>
      </c>
      <c r="AG320" s="2" t="str">
        <f t="shared" si="13"/>
        <v>Jared</v>
      </c>
      <c r="AH320" s="2" t="str">
        <f t="shared" si="14"/>
        <v>Horn</v>
      </c>
      <c r="AI320" s="2" t="str">
        <f t="shared" si="15"/>
        <v>Before Time</v>
      </c>
      <c r="AJ320" s="2" t="str">
        <f t="shared" si="16"/>
        <v>#NAME?</v>
      </c>
    </row>
    <row r="321" ht="14.25" customHeight="1">
      <c r="A321" s="2" t="s">
        <v>1203</v>
      </c>
      <c r="B321" s="2" t="s">
        <v>1204</v>
      </c>
      <c r="C321" s="2" t="s">
        <v>1205</v>
      </c>
      <c r="D321" s="2">
        <v>50.0</v>
      </c>
      <c r="E321" s="2" t="s">
        <v>45</v>
      </c>
      <c r="F321" s="2" t="s">
        <v>161</v>
      </c>
      <c r="G321" s="2" t="s">
        <v>1206</v>
      </c>
      <c r="H321" s="2" t="s">
        <v>2176</v>
      </c>
      <c r="I321" s="2" t="s">
        <v>1207</v>
      </c>
      <c r="J321" s="2" t="s">
        <v>1476</v>
      </c>
      <c r="K321" s="3">
        <v>45656.0</v>
      </c>
      <c r="L321" s="2" t="s">
        <v>1477</v>
      </c>
      <c r="M321" s="2" t="s">
        <v>175</v>
      </c>
      <c r="N321" s="2">
        <v>104.18</v>
      </c>
      <c r="O321" s="2">
        <v>2.0</v>
      </c>
      <c r="P321" s="2" t="s">
        <v>51</v>
      </c>
      <c r="Q321" s="2">
        <v>5.0</v>
      </c>
      <c r="R321" s="2">
        <v>65.0</v>
      </c>
      <c r="S321" s="3">
        <v>45657.0</v>
      </c>
      <c r="T321" s="2" t="s">
        <v>1478</v>
      </c>
      <c r="U321" s="2">
        <f t="shared" si="1"/>
        <v>1</v>
      </c>
      <c r="V321" s="2">
        <f t="shared" si="2"/>
        <v>21</v>
      </c>
      <c r="W321" s="2">
        <f t="shared" si="3"/>
        <v>208.36</v>
      </c>
      <c r="X321" s="2">
        <f t="shared" si="4"/>
        <v>273.36</v>
      </c>
      <c r="Y321" s="2">
        <f t="shared" si="5"/>
        <v>0</v>
      </c>
      <c r="Z321" s="2">
        <f t="shared" si="6"/>
        <v>208.36</v>
      </c>
      <c r="AA321" s="2">
        <f t="shared" si="7"/>
        <v>273.36</v>
      </c>
      <c r="AB321" s="2" t="str">
        <f t="shared" si="8"/>
        <v>Monday</v>
      </c>
      <c r="AC321" s="2" t="str">
        <f t="shared" si="9"/>
        <v>Weekday</v>
      </c>
      <c r="AD321" s="2" t="str">
        <f t="shared" si="10"/>
        <v>brendan.kelly</v>
      </c>
      <c r="AE321" s="2" t="str">
        <f t="shared" si="11"/>
        <v>rediffmail</v>
      </c>
      <c r="AF321" s="2" t="str">
        <f t="shared" si="12"/>
        <v>Brendan Kelly</v>
      </c>
      <c r="AG321" s="2" t="str">
        <f t="shared" si="13"/>
        <v>Brendan</v>
      </c>
      <c r="AH321" s="2" t="str">
        <f t="shared" si="14"/>
        <v>Kelly</v>
      </c>
      <c r="AI321" s="2" t="str">
        <f t="shared" si="15"/>
        <v>Before Time</v>
      </c>
      <c r="AJ321" s="2" t="str">
        <f t="shared" si="16"/>
        <v>#NAME?</v>
      </c>
    </row>
    <row r="322" ht="14.25" customHeight="1">
      <c r="A322" s="2" t="s">
        <v>158</v>
      </c>
      <c r="B322" s="2" t="s">
        <v>159</v>
      </c>
      <c r="C322" s="2" t="s">
        <v>160</v>
      </c>
      <c r="D322" s="2">
        <v>46.0</v>
      </c>
      <c r="E322" s="2" t="s">
        <v>22</v>
      </c>
      <c r="F322" s="2" t="s">
        <v>161</v>
      </c>
      <c r="G322" s="2" t="s">
        <v>162</v>
      </c>
      <c r="H322" s="2" t="s">
        <v>2105</v>
      </c>
      <c r="I322" s="2" t="s">
        <v>163</v>
      </c>
      <c r="J322" s="2" t="s">
        <v>1479</v>
      </c>
      <c r="K322" s="3">
        <v>45479.0</v>
      </c>
      <c r="L322" s="2" t="s">
        <v>1480</v>
      </c>
      <c r="M322" s="2" t="s">
        <v>767</v>
      </c>
      <c r="N322" s="2">
        <v>20.0</v>
      </c>
      <c r="O322" s="2">
        <v>2.0</v>
      </c>
      <c r="P322" s="2" t="s">
        <v>89</v>
      </c>
      <c r="Q322" s="2">
        <v>3.0</v>
      </c>
      <c r="R322" s="2">
        <v>38.0</v>
      </c>
      <c r="S322" s="3">
        <v>45485.0</v>
      </c>
      <c r="T322" s="2" t="s">
        <v>1481</v>
      </c>
      <c r="U322" s="2">
        <f t="shared" si="1"/>
        <v>6</v>
      </c>
      <c r="V322" s="2">
        <f t="shared" si="2"/>
        <v>10</v>
      </c>
      <c r="W322" s="2">
        <f t="shared" si="3"/>
        <v>40</v>
      </c>
      <c r="X322" s="2">
        <f t="shared" si="4"/>
        <v>78</v>
      </c>
      <c r="Y322" s="2">
        <f t="shared" si="5"/>
        <v>0</v>
      </c>
      <c r="Z322" s="2">
        <f t="shared" si="6"/>
        <v>40</v>
      </c>
      <c r="AA322" s="2">
        <f t="shared" si="7"/>
        <v>78</v>
      </c>
      <c r="AB322" s="2" t="str">
        <f t="shared" si="8"/>
        <v>Saturday</v>
      </c>
      <c r="AC322" s="2" t="str">
        <f t="shared" si="9"/>
        <v>Weekend</v>
      </c>
      <c r="AD322" s="2" t="str">
        <f t="shared" si="10"/>
        <v>erin.miller</v>
      </c>
      <c r="AE322" s="2" t="str">
        <f t="shared" si="11"/>
        <v>gmail</v>
      </c>
      <c r="AF322" s="2" t="str">
        <f t="shared" si="12"/>
        <v>Erin Miller</v>
      </c>
      <c r="AG322" s="2" t="str">
        <f t="shared" si="13"/>
        <v>Erin</v>
      </c>
      <c r="AH322" s="2" t="str">
        <f t="shared" si="14"/>
        <v>Miller</v>
      </c>
      <c r="AI322" s="2" t="str">
        <f t="shared" si="15"/>
        <v>Late</v>
      </c>
      <c r="AJ322" s="2" t="str">
        <f t="shared" si="16"/>
        <v>#NAME?</v>
      </c>
    </row>
    <row r="323" ht="14.25" customHeight="1">
      <c r="A323" s="2" t="s">
        <v>428</v>
      </c>
      <c r="B323" s="2" t="s">
        <v>429</v>
      </c>
      <c r="C323" s="2" t="s">
        <v>430</v>
      </c>
      <c r="D323" s="2">
        <v>28.0</v>
      </c>
      <c r="E323" s="2" t="s">
        <v>45</v>
      </c>
      <c r="F323" s="2" t="s">
        <v>69</v>
      </c>
      <c r="G323" s="2" t="s">
        <v>431</v>
      </c>
      <c r="H323" s="2" t="s">
        <v>2132</v>
      </c>
      <c r="I323" s="2" t="s">
        <v>432</v>
      </c>
      <c r="J323" s="2" t="s">
        <v>1482</v>
      </c>
      <c r="K323" s="3">
        <v>45501.0</v>
      </c>
      <c r="L323" s="2" t="s">
        <v>1483</v>
      </c>
      <c r="M323" s="2" t="s">
        <v>679</v>
      </c>
      <c r="N323" s="2">
        <v>424.82</v>
      </c>
      <c r="O323" s="2">
        <v>1.0</v>
      </c>
      <c r="P323" s="2" t="s">
        <v>29</v>
      </c>
      <c r="Q323" s="2">
        <v>5.0</v>
      </c>
      <c r="R323" s="2">
        <v>49.0</v>
      </c>
      <c r="S323" s="3">
        <v>45508.0</v>
      </c>
      <c r="T323" s="2" t="s">
        <v>1484</v>
      </c>
      <c r="U323" s="2">
        <f t="shared" si="1"/>
        <v>7</v>
      </c>
      <c r="V323" s="2">
        <f t="shared" si="2"/>
        <v>11</v>
      </c>
      <c r="W323" s="2">
        <f t="shared" si="3"/>
        <v>424.82</v>
      </c>
      <c r="X323" s="2">
        <f t="shared" si="4"/>
        <v>473.82</v>
      </c>
      <c r="Y323" s="2">
        <f t="shared" si="5"/>
        <v>0</v>
      </c>
      <c r="Z323" s="2">
        <f t="shared" si="6"/>
        <v>424.82</v>
      </c>
      <c r="AA323" s="2">
        <f t="shared" si="7"/>
        <v>473.82</v>
      </c>
      <c r="AB323" s="2" t="str">
        <f t="shared" si="8"/>
        <v>Sunday</v>
      </c>
      <c r="AC323" s="2" t="str">
        <f t="shared" si="9"/>
        <v>Weekend</v>
      </c>
      <c r="AD323" s="2" t="str">
        <f t="shared" si="10"/>
        <v>mary.knight</v>
      </c>
      <c r="AE323" s="2" t="str">
        <f t="shared" si="11"/>
        <v>yahoo</v>
      </c>
      <c r="AF323" s="2" t="str">
        <f t="shared" si="12"/>
        <v>Mary Knight</v>
      </c>
      <c r="AG323" s="2" t="str">
        <f t="shared" si="13"/>
        <v>Mary</v>
      </c>
      <c r="AH323" s="2" t="str">
        <f t="shared" si="14"/>
        <v>Knight</v>
      </c>
      <c r="AI323" s="2" t="str">
        <f t="shared" si="15"/>
        <v>Late</v>
      </c>
      <c r="AJ323" s="2" t="str">
        <f t="shared" si="16"/>
        <v>#NAME?</v>
      </c>
    </row>
    <row r="324" ht="14.25" customHeight="1">
      <c r="A324" s="2" t="s">
        <v>1300</v>
      </c>
      <c r="B324" s="2" t="s">
        <v>1301</v>
      </c>
      <c r="C324" s="2" t="s">
        <v>1302</v>
      </c>
      <c r="D324" s="2">
        <v>63.0</v>
      </c>
      <c r="E324" s="2" t="s">
        <v>22</v>
      </c>
      <c r="F324" s="2" t="s">
        <v>161</v>
      </c>
      <c r="G324" s="2" t="s">
        <v>1303</v>
      </c>
      <c r="H324" s="2" t="s">
        <v>2180</v>
      </c>
      <c r="I324" s="2" t="s">
        <v>1304</v>
      </c>
      <c r="J324" s="2" t="s">
        <v>1485</v>
      </c>
      <c r="K324" s="3">
        <v>45107.0</v>
      </c>
      <c r="L324" s="2" t="s">
        <v>1486</v>
      </c>
      <c r="M324" s="2" t="s">
        <v>147</v>
      </c>
      <c r="N324" s="2">
        <v>220.27</v>
      </c>
      <c r="O324" s="2">
        <v>5.0</v>
      </c>
      <c r="P324" s="2" t="s">
        <v>78</v>
      </c>
      <c r="Q324" s="2">
        <v>6.0</v>
      </c>
      <c r="R324" s="2">
        <v>57.0</v>
      </c>
      <c r="S324" s="3">
        <v>45109.0</v>
      </c>
      <c r="T324" s="2" t="s">
        <v>1487</v>
      </c>
      <c r="U324" s="2">
        <f t="shared" si="1"/>
        <v>2</v>
      </c>
      <c r="V324" s="2">
        <f t="shared" si="2"/>
        <v>4</v>
      </c>
      <c r="W324" s="2">
        <f t="shared" si="3"/>
        <v>1101.35</v>
      </c>
      <c r="X324" s="2">
        <f t="shared" si="4"/>
        <v>1158.35</v>
      </c>
      <c r="Y324" s="2">
        <f t="shared" si="5"/>
        <v>0</v>
      </c>
      <c r="Z324" s="2">
        <f t="shared" si="6"/>
        <v>1101.35</v>
      </c>
      <c r="AA324" s="2">
        <f t="shared" si="7"/>
        <v>1158.35</v>
      </c>
      <c r="AB324" s="2" t="str">
        <f t="shared" si="8"/>
        <v>Friday</v>
      </c>
      <c r="AC324" s="2" t="str">
        <f t="shared" si="9"/>
        <v>Weekday</v>
      </c>
      <c r="AD324" s="2" t="str">
        <f t="shared" si="10"/>
        <v>megan.hunt</v>
      </c>
      <c r="AE324" s="2" t="str">
        <f t="shared" si="11"/>
        <v>rediffmail</v>
      </c>
      <c r="AF324" s="2" t="str">
        <f t="shared" si="12"/>
        <v>Megan Hunt</v>
      </c>
      <c r="AG324" s="2" t="str">
        <f t="shared" si="13"/>
        <v>Megan</v>
      </c>
      <c r="AH324" s="2" t="str">
        <f t="shared" si="14"/>
        <v>Hunt</v>
      </c>
      <c r="AI324" s="2" t="str">
        <f t="shared" si="15"/>
        <v>Before Time</v>
      </c>
      <c r="AJ324" s="2" t="str">
        <f t="shared" si="16"/>
        <v>#NAME?</v>
      </c>
    </row>
    <row r="325" ht="14.25" customHeight="1">
      <c r="A325" s="2" t="s">
        <v>386</v>
      </c>
      <c r="B325" s="2" t="s">
        <v>387</v>
      </c>
      <c r="C325" s="2" t="s">
        <v>388</v>
      </c>
      <c r="D325" s="2">
        <v>40.0</v>
      </c>
      <c r="E325" s="2" t="s">
        <v>45</v>
      </c>
      <c r="F325" s="2" t="s">
        <v>161</v>
      </c>
      <c r="G325" s="2" t="s">
        <v>389</v>
      </c>
      <c r="H325" s="2" t="s">
        <v>2128</v>
      </c>
      <c r="I325" s="2" t="s">
        <v>390</v>
      </c>
      <c r="J325" s="2" t="s">
        <v>1488</v>
      </c>
      <c r="K325" s="3">
        <v>45527.0</v>
      </c>
      <c r="L325" s="2" t="s">
        <v>1489</v>
      </c>
      <c r="M325" s="2" t="s">
        <v>546</v>
      </c>
      <c r="N325" s="2">
        <v>425.59</v>
      </c>
      <c r="O325" s="2">
        <v>5.0</v>
      </c>
      <c r="P325" s="2" t="s">
        <v>56</v>
      </c>
      <c r="Q325" s="2">
        <v>4.0</v>
      </c>
      <c r="R325" s="2">
        <v>43.0</v>
      </c>
      <c r="S325" s="3">
        <v>45531.0</v>
      </c>
      <c r="T325" s="2" t="s">
        <v>1490</v>
      </c>
      <c r="U325" s="2">
        <f t="shared" si="1"/>
        <v>4</v>
      </c>
      <c r="V325" s="2">
        <f t="shared" si="2"/>
        <v>19</v>
      </c>
      <c r="W325" s="2">
        <f t="shared" si="3"/>
        <v>2127.95</v>
      </c>
      <c r="X325" s="2">
        <f t="shared" si="4"/>
        <v>2170.95</v>
      </c>
      <c r="Y325" s="2">
        <f t="shared" si="5"/>
        <v>0</v>
      </c>
      <c r="Z325" s="2">
        <f t="shared" si="6"/>
        <v>2127.95</v>
      </c>
      <c r="AA325" s="2">
        <f t="shared" si="7"/>
        <v>2127.95</v>
      </c>
      <c r="AB325" s="2" t="str">
        <f t="shared" si="8"/>
        <v>Friday</v>
      </c>
      <c r="AC325" s="2" t="str">
        <f t="shared" si="9"/>
        <v>Weekday</v>
      </c>
      <c r="AD325" s="2" t="str">
        <f t="shared" si="10"/>
        <v>jason.lopez</v>
      </c>
      <c r="AE325" s="2" t="str">
        <f t="shared" si="11"/>
        <v>outlook</v>
      </c>
      <c r="AF325" s="2" t="str">
        <f t="shared" si="12"/>
        <v>Jason Lopez</v>
      </c>
      <c r="AG325" s="2" t="str">
        <f t="shared" si="13"/>
        <v>Jason</v>
      </c>
      <c r="AH325" s="2" t="str">
        <f t="shared" si="14"/>
        <v>Lopez</v>
      </c>
      <c r="AI325" s="2" t="str">
        <f t="shared" si="15"/>
        <v>InTime</v>
      </c>
      <c r="AJ325" s="2" t="str">
        <f t="shared" si="16"/>
        <v>#NAME?</v>
      </c>
    </row>
    <row r="326" ht="14.25" customHeight="1">
      <c r="A326" s="2" t="s">
        <v>1450</v>
      </c>
      <c r="B326" s="2" t="s">
        <v>266</v>
      </c>
      <c r="C326" s="2" t="s">
        <v>1451</v>
      </c>
      <c r="D326" s="2">
        <v>30.0</v>
      </c>
      <c r="E326" s="2" t="s">
        <v>22</v>
      </c>
      <c r="F326" s="2" t="s">
        <v>213</v>
      </c>
      <c r="G326" s="2" t="s">
        <v>1452</v>
      </c>
      <c r="H326" s="2" t="s">
        <v>2143</v>
      </c>
      <c r="I326" s="2" t="s">
        <v>1453</v>
      </c>
      <c r="J326" s="2" t="s">
        <v>1491</v>
      </c>
      <c r="K326" s="3">
        <v>45420.0</v>
      </c>
      <c r="L326" s="2" t="s">
        <v>1492</v>
      </c>
      <c r="M326" s="2" t="s">
        <v>107</v>
      </c>
      <c r="N326" s="2">
        <v>48.45</v>
      </c>
      <c r="O326" s="2">
        <v>3.0</v>
      </c>
      <c r="P326" s="2" t="s">
        <v>89</v>
      </c>
      <c r="Q326" s="2">
        <v>2.0</v>
      </c>
      <c r="R326" s="2">
        <v>63.0</v>
      </c>
      <c r="S326" s="3">
        <v>45422.0</v>
      </c>
      <c r="T326" s="2" t="s">
        <v>1493</v>
      </c>
      <c r="U326" s="2">
        <f t="shared" si="1"/>
        <v>2</v>
      </c>
      <c r="V326" s="2">
        <f t="shared" si="2"/>
        <v>12</v>
      </c>
      <c r="W326" s="2">
        <f t="shared" si="3"/>
        <v>145.35</v>
      </c>
      <c r="X326" s="2">
        <f t="shared" si="4"/>
        <v>208.35</v>
      </c>
      <c r="Y326" s="2">
        <f t="shared" si="5"/>
        <v>0</v>
      </c>
      <c r="Z326" s="2">
        <f t="shared" si="6"/>
        <v>145.35</v>
      </c>
      <c r="AA326" s="2">
        <f t="shared" si="7"/>
        <v>208.35</v>
      </c>
      <c r="AB326" s="2" t="str">
        <f t="shared" si="8"/>
        <v>Wednesday</v>
      </c>
      <c r="AC326" s="2" t="str">
        <f t="shared" si="9"/>
        <v>Weekday</v>
      </c>
      <c r="AD326" s="2" t="str">
        <f t="shared" si="10"/>
        <v>lauren.lane</v>
      </c>
      <c r="AE326" s="2" t="str">
        <f t="shared" si="11"/>
        <v>gmail</v>
      </c>
      <c r="AF326" s="2" t="str">
        <f t="shared" si="12"/>
        <v>Lauren Lane</v>
      </c>
      <c r="AG326" s="2" t="str">
        <f t="shared" si="13"/>
        <v>Lauren</v>
      </c>
      <c r="AH326" s="2" t="str">
        <f t="shared" si="14"/>
        <v>Lane</v>
      </c>
      <c r="AI326" s="2" t="str">
        <f t="shared" si="15"/>
        <v>InTime</v>
      </c>
      <c r="AJ326" s="2" t="str">
        <f t="shared" si="16"/>
        <v>#NAME?</v>
      </c>
    </row>
    <row r="327" ht="14.25" customHeight="1">
      <c r="A327" s="2" t="s">
        <v>1231</v>
      </c>
      <c r="B327" s="2" t="s">
        <v>1232</v>
      </c>
      <c r="C327" s="2" t="s">
        <v>1233</v>
      </c>
      <c r="D327" s="2">
        <v>55.0</v>
      </c>
      <c r="E327" s="2" t="s">
        <v>34</v>
      </c>
      <c r="F327" s="2" t="s">
        <v>152</v>
      </c>
      <c r="G327" s="2" t="s">
        <v>1234</v>
      </c>
      <c r="H327" s="2" t="s">
        <v>2178</v>
      </c>
      <c r="I327" s="2" t="s">
        <v>1235</v>
      </c>
      <c r="J327" s="2" t="s">
        <v>1494</v>
      </c>
      <c r="K327" s="3">
        <v>45186.0</v>
      </c>
      <c r="L327" s="2" t="s">
        <v>1495</v>
      </c>
      <c r="M327" s="2" t="s">
        <v>175</v>
      </c>
      <c r="N327" s="2">
        <v>104.18</v>
      </c>
      <c r="O327" s="2">
        <v>2.0</v>
      </c>
      <c r="P327" s="2" t="s">
        <v>29</v>
      </c>
      <c r="Q327" s="2">
        <v>4.0</v>
      </c>
      <c r="R327" s="2">
        <v>43.0</v>
      </c>
      <c r="S327" s="3">
        <v>45190.0</v>
      </c>
      <c r="T327" s="2" t="s">
        <v>1496</v>
      </c>
      <c r="U327" s="2">
        <f t="shared" si="1"/>
        <v>4</v>
      </c>
      <c r="V327" s="2">
        <f t="shared" si="2"/>
        <v>14</v>
      </c>
      <c r="W327" s="2">
        <f t="shared" si="3"/>
        <v>208.36</v>
      </c>
      <c r="X327" s="2">
        <f t="shared" si="4"/>
        <v>251.36</v>
      </c>
      <c r="Y327" s="2">
        <f t="shared" si="5"/>
        <v>0</v>
      </c>
      <c r="Z327" s="2">
        <f t="shared" si="6"/>
        <v>208.36</v>
      </c>
      <c r="AA327" s="2">
        <f t="shared" si="7"/>
        <v>251.36</v>
      </c>
      <c r="AB327" s="2" t="str">
        <f t="shared" si="8"/>
        <v>Sunday</v>
      </c>
      <c r="AC327" s="2" t="str">
        <f t="shared" si="9"/>
        <v>Weekend</v>
      </c>
      <c r="AD327" s="2" t="str">
        <f t="shared" si="10"/>
        <v>hannah.gutierrez</v>
      </c>
      <c r="AE327" s="2" t="str">
        <f t="shared" si="11"/>
        <v>yahoo</v>
      </c>
      <c r="AF327" s="2" t="str">
        <f t="shared" si="12"/>
        <v>Hannah Gutierrez</v>
      </c>
      <c r="AG327" s="2" t="str">
        <f t="shared" si="13"/>
        <v>Hannah</v>
      </c>
      <c r="AH327" s="2" t="str">
        <f t="shared" si="14"/>
        <v>Gutierrez</v>
      </c>
      <c r="AI327" s="2" t="str">
        <f t="shared" si="15"/>
        <v>InTime</v>
      </c>
      <c r="AJ327" s="2" t="str">
        <f t="shared" si="16"/>
        <v>#NAME?</v>
      </c>
    </row>
    <row r="328" ht="14.25" customHeight="1">
      <c r="A328" s="2" t="s">
        <v>1239</v>
      </c>
      <c r="B328" s="2" t="s">
        <v>59</v>
      </c>
      <c r="C328" s="2" t="s">
        <v>1240</v>
      </c>
      <c r="D328" s="2">
        <v>40.0</v>
      </c>
      <c r="E328" s="2" t="s">
        <v>22</v>
      </c>
      <c r="F328" s="2" t="s">
        <v>69</v>
      </c>
      <c r="G328" s="2" t="s">
        <v>1241</v>
      </c>
      <c r="H328" s="2" t="s">
        <v>2179</v>
      </c>
      <c r="I328" s="2" t="s">
        <v>1242</v>
      </c>
      <c r="J328" s="2" t="s">
        <v>1497</v>
      </c>
      <c r="K328" s="3">
        <v>45195.0</v>
      </c>
      <c r="L328" s="2" t="s">
        <v>1498</v>
      </c>
      <c r="M328" s="2" t="s">
        <v>630</v>
      </c>
      <c r="N328" s="2">
        <v>445.81</v>
      </c>
      <c r="O328" s="2">
        <v>1.0</v>
      </c>
      <c r="P328" s="2" t="s">
        <v>56</v>
      </c>
      <c r="Q328" s="2">
        <v>1.0</v>
      </c>
      <c r="R328" s="2">
        <v>51.0</v>
      </c>
      <c r="S328" s="3">
        <v>45198.0</v>
      </c>
      <c r="T328" s="2" t="s">
        <v>1499</v>
      </c>
      <c r="U328" s="2">
        <f t="shared" si="1"/>
        <v>3</v>
      </c>
      <c r="V328" s="2">
        <f t="shared" si="2"/>
        <v>8</v>
      </c>
      <c r="W328" s="2">
        <f t="shared" si="3"/>
        <v>445.81</v>
      </c>
      <c r="X328" s="2">
        <f t="shared" si="4"/>
        <v>496.81</v>
      </c>
      <c r="Y328" s="2">
        <f t="shared" si="5"/>
        <v>0</v>
      </c>
      <c r="Z328" s="2">
        <f t="shared" si="6"/>
        <v>445.81</v>
      </c>
      <c r="AA328" s="2">
        <f t="shared" si="7"/>
        <v>445.81</v>
      </c>
      <c r="AB328" s="2" t="str">
        <f t="shared" si="8"/>
        <v>Tuesday</v>
      </c>
      <c r="AC328" s="2" t="str">
        <f t="shared" si="9"/>
        <v>Weekday</v>
      </c>
      <c r="AD328" s="2" t="str">
        <f t="shared" si="10"/>
        <v>angela.casey</v>
      </c>
      <c r="AE328" s="2" t="str">
        <f t="shared" si="11"/>
        <v>gmail</v>
      </c>
      <c r="AF328" s="2" t="str">
        <f t="shared" si="12"/>
        <v>Angela Casey</v>
      </c>
      <c r="AG328" s="2" t="str">
        <f t="shared" si="13"/>
        <v>Angela</v>
      </c>
      <c r="AH328" s="2" t="str">
        <f t="shared" si="14"/>
        <v>Casey</v>
      </c>
      <c r="AI328" s="2" t="str">
        <f t="shared" si="15"/>
        <v>Late</v>
      </c>
      <c r="AJ328" s="2" t="str">
        <f t="shared" si="16"/>
        <v>#NAME?</v>
      </c>
    </row>
    <row r="329" ht="14.25" customHeight="1">
      <c r="A329" s="2" t="s">
        <v>1335</v>
      </c>
      <c r="B329" s="2" t="s">
        <v>501</v>
      </c>
      <c r="C329" s="2" t="s">
        <v>1336</v>
      </c>
      <c r="D329" s="2">
        <v>40.0</v>
      </c>
      <c r="E329" s="2" t="s">
        <v>45</v>
      </c>
      <c r="F329" s="2" t="s">
        <v>213</v>
      </c>
      <c r="G329" s="2" t="s">
        <v>1337</v>
      </c>
      <c r="H329" s="2" t="s">
        <v>2183</v>
      </c>
      <c r="I329" s="2" t="s">
        <v>1338</v>
      </c>
      <c r="J329" s="2" t="s">
        <v>1500</v>
      </c>
      <c r="K329" s="3">
        <v>45573.0</v>
      </c>
      <c r="L329" s="2" t="s">
        <v>1501</v>
      </c>
      <c r="M329" s="2" t="s">
        <v>227</v>
      </c>
      <c r="N329" s="2">
        <v>132.97</v>
      </c>
      <c r="O329" s="2">
        <v>2.0</v>
      </c>
      <c r="P329" s="2" t="s">
        <v>89</v>
      </c>
      <c r="Q329" s="2">
        <v>6.0</v>
      </c>
      <c r="R329" s="2">
        <v>69.0</v>
      </c>
      <c r="S329" s="3">
        <v>45578.0</v>
      </c>
      <c r="T329" s="2" t="s">
        <v>1502</v>
      </c>
      <c r="U329" s="2">
        <f t="shared" si="1"/>
        <v>5</v>
      </c>
      <c r="V329" s="2">
        <f t="shared" si="2"/>
        <v>3</v>
      </c>
      <c r="W329" s="2">
        <f t="shared" si="3"/>
        <v>265.94</v>
      </c>
      <c r="X329" s="2">
        <f t="shared" si="4"/>
        <v>334.94</v>
      </c>
      <c r="Y329" s="2">
        <f t="shared" si="5"/>
        <v>0</v>
      </c>
      <c r="Z329" s="2">
        <f t="shared" si="6"/>
        <v>265.94</v>
      </c>
      <c r="AA329" s="2">
        <f t="shared" si="7"/>
        <v>334.94</v>
      </c>
      <c r="AB329" s="2" t="str">
        <f t="shared" si="8"/>
        <v>Tuesday</v>
      </c>
      <c r="AC329" s="2" t="str">
        <f t="shared" si="9"/>
        <v>Weekday</v>
      </c>
      <c r="AD329" s="2" t="str">
        <f t="shared" si="10"/>
        <v>sarah.benson</v>
      </c>
      <c r="AE329" s="2" t="str">
        <f t="shared" si="11"/>
        <v>outlook</v>
      </c>
      <c r="AF329" s="2" t="str">
        <f t="shared" si="12"/>
        <v>Sarah Benson</v>
      </c>
      <c r="AG329" s="2" t="str">
        <f t="shared" si="13"/>
        <v>Sarah</v>
      </c>
      <c r="AH329" s="2" t="str">
        <f t="shared" si="14"/>
        <v>Benson</v>
      </c>
      <c r="AI329" s="2" t="str">
        <f t="shared" si="15"/>
        <v>Before Time</v>
      </c>
      <c r="AJ329" s="2" t="str">
        <f t="shared" si="16"/>
        <v>#NAME?</v>
      </c>
    </row>
    <row r="330" ht="14.25" customHeight="1">
      <c r="A330" s="2" t="s">
        <v>1231</v>
      </c>
      <c r="B330" s="2" t="s">
        <v>1232</v>
      </c>
      <c r="C330" s="2" t="s">
        <v>1233</v>
      </c>
      <c r="D330" s="2">
        <v>55.0</v>
      </c>
      <c r="E330" s="2" t="s">
        <v>34</v>
      </c>
      <c r="F330" s="2" t="s">
        <v>152</v>
      </c>
      <c r="G330" s="2" t="s">
        <v>1234</v>
      </c>
      <c r="H330" s="2" t="s">
        <v>2178</v>
      </c>
      <c r="I330" s="2" t="s">
        <v>1235</v>
      </c>
      <c r="J330" s="2" t="s">
        <v>1503</v>
      </c>
      <c r="K330" s="3">
        <v>45384.0</v>
      </c>
      <c r="L330" s="2" t="s">
        <v>1504</v>
      </c>
      <c r="M330" s="2" t="s">
        <v>488</v>
      </c>
      <c r="N330" s="2">
        <v>421.7</v>
      </c>
      <c r="O330" s="2">
        <v>4.0</v>
      </c>
      <c r="P330" s="2" t="s">
        <v>29</v>
      </c>
      <c r="Q330" s="2">
        <v>5.0</v>
      </c>
      <c r="R330" s="2">
        <v>55.0</v>
      </c>
      <c r="S330" s="3">
        <v>45389.0</v>
      </c>
      <c r="T330" s="2" t="s">
        <v>1505</v>
      </c>
      <c r="U330" s="2">
        <f t="shared" si="1"/>
        <v>5</v>
      </c>
      <c r="V330" s="2">
        <f t="shared" si="2"/>
        <v>17</v>
      </c>
      <c r="W330" s="2">
        <f t="shared" si="3"/>
        <v>1686.8</v>
      </c>
      <c r="X330" s="2">
        <f t="shared" si="4"/>
        <v>1741.8</v>
      </c>
      <c r="Y330" s="2">
        <f t="shared" si="5"/>
        <v>0</v>
      </c>
      <c r="Z330" s="2">
        <f t="shared" si="6"/>
        <v>1686.8</v>
      </c>
      <c r="AA330" s="2">
        <f t="shared" si="7"/>
        <v>1741.8</v>
      </c>
      <c r="AB330" s="2" t="str">
        <f t="shared" si="8"/>
        <v>Tuesday</v>
      </c>
      <c r="AC330" s="2" t="str">
        <f t="shared" si="9"/>
        <v>Weekday</v>
      </c>
      <c r="AD330" s="2" t="str">
        <f t="shared" si="10"/>
        <v>hannah.gutierrez</v>
      </c>
      <c r="AE330" s="2" t="str">
        <f t="shared" si="11"/>
        <v>yahoo</v>
      </c>
      <c r="AF330" s="2" t="str">
        <f t="shared" si="12"/>
        <v>Hannah Gutierrez</v>
      </c>
      <c r="AG330" s="2" t="str">
        <f t="shared" si="13"/>
        <v>Hannah</v>
      </c>
      <c r="AH330" s="2" t="str">
        <f t="shared" si="14"/>
        <v>Gutierrez</v>
      </c>
      <c r="AI330" s="2" t="str">
        <f t="shared" si="15"/>
        <v>InTime</v>
      </c>
      <c r="AJ330" s="2" t="str">
        <f t="shared" si="16"/>
        <v>#NAME?</v>
      </c>
    </row>
    <row r="331" ht="14.25" customHeight="1">
      <c r="A331" s="2" t="s">
        <v>1231</v>
      </c>
      <c r="B331" s="2" t="s">
        <v>1232</v>
      </c>
      <c r="C331" s="2" t="s">
        <v>1233</v>
      </c>
      <c r="D331" s="2">
        <v>55.0</v>
      </c>
      <c r="E331" s="2" t="s">
        <v>34</v>
      </c>
      <c r="F331" s="2" t="s">
        <v>152</v>
      </c>
      <c r="G331" s="2" t="s">
        <v>1234</v>
      </c>
      <c r="H331" s="2" t="s">
        <v>2178</v>
      </c>
      <c r="I331" s="2" t="s">
        <v>1235</v>
      </c>
      <c r="J331" s="2" t="s">
        <v>1506</v>
      </c>
      <c r="K331" s="3">
        <v>45388.0</v>
      </c>
      <c r="L331" s="2" t="s">
        <v>1507</v>
      </c>
      <c r="M331" s="2" t="s">
        <v>566</v>
      </c>
      <c r="N331" s="2">
        <v>477.52</v>
      </c>
      <c r="O331" s="2">
        <v>1.0</v>
      </c>
      <c r="P331" s="2" t="s">
        <v>56</v>
      </c>
      <c r="Q331" s="2">
        <v>7.0</v>
      </c>
      <c r="R331" s="2">
        <v>48.0</v>
      </c>
      <c r="S331" s="3">
        <v>45393.0</v>
      </c>
      <c r="T331" s="2" t="s">
        <v>1508</v>
      </c>
      <c r="U331" s="2">
        <f t="shared" si="1"/>
        <v>5</v>
      </c>
      <c r="V331" s="2">
        <f t="shared" si="2"/>
        <v>17</v>
      </c>
      <c r="W331" s="2">
        <f t="shared" si="3"/>
        <v>477.52</v>
      </c>
      <c r="X331" s="2">
        <f t="shared" si="4"/>
        <v>525.52</v>
      </c>
      <c r="Y331" s="2">
        <f t="shared" si="5"/>
        <v>0</v>
      </c>
      <c r="Z331" s="2">
        <f t="shared" si="6"/>
        <v>477.52</v>
      </c>
      <c r="AA331" s="2">
        <f t="shared" si="7"/>
        <v>477.52</v>
      </c>
      <c r="AB331" s="2" t="str">
        <f t="shared" si="8"/>
        <v>Saturday</v>
      </c>
      <c r="AC331" s="2" t="str">
        <f t="shared" si="9"/>
        <v>Weekend</v>
      </c>
      <c r="AD331" s="2" t="str">
        <f t="shared" si="10"/>
        <v>hannah.gutierrez</v>
      </c>
      <c r="AE331" s="2" t="str">
        <f t="shared" si="11"/>
        <v>yahoo</v>
      </c>
      <c r="AF331" s="2" t="str">
        <f t="shared" si="12"/>
        <v>Hannah Gutierrez</v>
      </c>
      <c r="AG331" s="2" t="str">
        <f t="shared" si="13"/>
        <v>Hannah</v>
      </c>
      <c r="AH331" s="2" t="str">
        <f t="shared" si="14"/>
        <v>Gutierrez</v>
      </c>
      <c r="AI331" s="2" t="str">
        <f t="shared" si="15"/>
        <v>Before Time</v>
      </c>
      <c r="AJ331" s="2" t="str">
        <f t="shared" si="16"/>
        <v>#NAME?</v>
      </c>
    </row>
    <row r="332" ht="14.25" customHeight="1">
      <c r="A332" s="2" t="s">
        <v>451</v>
      </c>
      <c r="B332" s="2" t="s">
        <v>452</v>
      </c>
      <c r="C332" s="2" t="s">
        <v>453</v>
      </c>
      <c r="D332" s="2">
        <v>63.0</v>
      </c>
      <c r="E332" s="2" t="s">
        <v>22</v>
      </c>
      <c r="F332" s="2" t="s">
        <v>133</v>
      </c>
      <c r="G332" s="2" t="s">
        <v>454</v>
      </c>
      <c r="H332" s="2" t="s">
        <v>2135</v>
      </c>
      <c r="I332" s="2" t="s">
        <v>455</v>
      </c>
      <c r="J332" s="2" t="s">
        <v>1509</v>
      </c>
      <c r="K332" s="3">
        <v>45623.0</v>
      </c>
      <c r="L332" s="2" t="s">
        <v>1510</v>
      </c>
      <c r="M332" s="2" t="s">
        <v>767</v>
      </c>
      <c r="N332" s="2">
        <v>20.0</v>
      </c>
      <c r="O332" s="2">
        <v>2.0</v>
      </c>
      <c r="P332" s="2" t="s">
        <v>56</v>
      </c>
      <c r="Q332" s="2">
        <v>5.0</v>
      </c>
      <c r="R332" s="2">
        <v>55.0</v>
      </c>
      <c r="S332" s="3">
        <v>45629.0</v>
      </c>
      <c r="T332" s="2" t="s">
        <v>1511</v>
      </c>
      <c r="U332" s="2">
        <f t="shared" si="1"/>
        <v>6</v>
      </c>
      <c r="V332" s="2">
        <f t="shared" si="2"/>
        <v>3</v>
      </c>
      <c r="W332" s="2">
        <f t="shared" si="3"/>
        <v>40</v>
      </c>
      <c r="X332" s="2">
        <f t="shared" si="4"/>
        <v>95</v>
      </c>
      <c r="Y332" s="2">
        <f t="shared" si="5"/>
        <v>0</v>
      </c>
      <c r="Z332" s="2">
        <f t="shared" si="6"/>
        <v>40</v>
      </c>
      <c r="AA332" s="2">
        <f t="shared" si="7"/>
        <v>40</v>
      </c>
      <c r="AB332" s="2" t="str">
        <f t="shared" si="8"/>
        <v>Wednesday</v>
      </c>
      <c r="AC332" s="2" t="str">
        <f t="shared" si="9"/>
        <v>Weekday</v>
      </c>
      <c r="AD332" s="2" t="str">
        <f t="shared" si="10"/>
        <v>rebecca.figueroa</v>
      </c>
      <c r="AE332" s="2" t="str">
        <f t="shared" si="11"/>
        <v>outlook</v>
      </c>
      <c r="AF332" s="2" t="str">
        <f t="shared" si="12"/>
        <v>Rebecca Figueroa</v>
      </c>
      <c r="AG332" s="2" t="str">
        <f t="shared" si="13"/>
        <v>Rebecca</v>
      </c>
      <c r="AH332" s="2" t="str">
        <f t="shared" si="14"/>
        <v>Figueroa</v>
      </c>
      <c r="AI332" s="2" t="str">
        <f t="shared" si="15"/>
        <v>Late</v>
      </c>
      <c r="AJ332" s="2" t="str">
        <f t="shared" si="16"/>
        <v>#NAME?</v>
      </c>
    </row>
    <row r="333" ht="14.25" customHeight="1">
      <c r="A333" s="2" t="s">
        <v>248</v>
      </c>
      <c r="B333" s="2" t="s">
        <v>249</v>
      </c>
      <c r="C333" s="2" t="s">
        <v>250</v>
      </c>
      <c r="D333" s="2">
        <v>60.0</v>
      </c>
      <c r="E333" s="2" t="s">
        <v>45</v>
      </c>
      <c r="F333" s="2" t="s">
        <v>23</v>
      </c>
      <c r="G333" s="2" t="s">
        <v>251</v>
      </c>
      <c r="H333" s="2" t="s">
        <v>2114</v>
      </c>
      <c r="I333" s="2" t="s">
        <v>252</v>
      </c>
      <c r="J333" s="2" t="s">
        <v>1512</v>
      </c>
      <c r="K333" s="3">
        <v>45498.0</v>
      </c>
      <c r="L333" s="2" t="s">
        <v>1513</v>
      </c>
      <c r="M333" s="2" t="s">
        <v>650</v>
      </c>
      <c r="N333" s="2">
        <v>235.63</v>
      </c>
      <c r="O333" s="2">
        <v>1.0</v>
      </c>
      <c r="P333" s="2" t="s">
        <v>89</v>
      </c>
      <c r="Q333" s="2">
        <v>1.0</v>
      </c>
      <c r="R333" s="2">
        <v>38.0</v>
      </c>
      <c r="S333" s="3">
        <v>45504.0</v>
      </c>
      <c r="T333" s="2" t="s">
        <v>1514</v>
      </c>
      <c r="U333" s="2">
        <f t="shared" si="1"/>
        <v>6</v>
      </c>
      <c r="V333" s="2">
        <f t="shared" si="2"/>
        <v>8</v>
      </c>
      <c r="W333" s="2">
        <f t="shared" si="3"/>
        <v>235.63</v>
      </c>
      <c r="X333" s="2">
        <f t="shared" si="4"/>
        <v>273.63</v>
      </c>
      <c r="Y333" s="2">
        <f t="shared" si="5"/>
        <v>0</v>
      </c>
      <c r="Z333" s="2">
        <f t="shared" si="6"/>
        <v>235.63</v>
      </c>
      <c r="AA333" s="2">
        <f t="shared" si="7"/>
        <v>273.63</v>
      </c>
      <c r="AB333" s="2" t="str">
        <f t="shared" si="8"/>
        <v>Thursday</v>
      </c>
      <c r="AC333" s="2" t="str">
        <f t="shared" si="9"/>
        <v>Weekday</v>
      </c>
      <c r="AD333" s="2" t="str">
        <f t="shared" si="10"/>
        <v>ashley.rose</v>
      </c>
      <c r="AE333" s="2" t="str">
        <f t="shared" si="11"/>
        <v>gmail</v>
      </c>
      <c r="AF333" s="2" t="str">
        <f t="shared" si="12"/>
        <v>Ashley Rose</v>
      </c>
      <c r="AG333" s="2" t="str">
        <f t="shared" si="13"/>
        <v>Ashley</v>
      </c>
      <c r="AH333" s="2" t="str">
        <f t="shared" si="14"/>
        <v>Rose</v>
      </c>
      <c r="AI333" s="2" t="str">
        <f t="shared" si="15"/>
        <v>Late</v>
      </c>
      <c r="AJ333" s="2" t="str">
        <f t="shared" si="16"/>
        <v>#NAME?</v>
      </c>
    </row>
    <row r="334" ht="14.25" customHeight="1">
      <c r="A334" s="2" t="s">
        <v>1203</v>
      </c>
      <c r="B334" s="2" t="s">
        <v>1204</v>
      </c>
      <c r="C334" s="2" t="s">
        <v>1205</v>
      </c>
      <c r="D334" s="2">
        <v>50.0</v>
      </c>
      <c r="E334" s="2" t="s">
        <v>45</v>
      </c>
      <c r="F334" s="2" t="s">
        <v>161</v>
      </c>
      <c r="G334" s="2" t="s">
        <v>1206</v>
      </c>
      <c r="H334" s="2" t="s">
        <v>2176</v>
      </c>
      <c r="I334" s="2" t="s">
        <v>1207</v>
      </c>
      <c r="J334" s="2" t="s">
        <v>1515</v>
      </c>
      <c r="K334" s="3">
        <v>45289.0</v>
      </c>
      <c r="L334" s="2" t="s">
        <v>1516</v>
      </c>
      <c r="M334" s="2" t="s">
        <v>977</v>
      </c>
      <c r="N334" s="2">
        <v>33.49</v>
      </c>
      <c r="O334" s="2">
        <v>4.0</v>
      </c>
      <c r="P334" s="2" t="s">
        <v>51</v>
      </c>
      <c r="Q334" s="2">
        <v>4.0</v>
      </c>
      <c r="R334" s="2">
        <v>67.0</v>
      </c>
      <c r="S334" s="3">
        <v>45294.0</v>
      </c>
      <c r="T334" s="2" t="s">
        <v>1517</v>
      </c>
      <c r="U334" s="2">
        <f t="shared" si="1"/>
        <v>5</v>
      </c>
      <c r="V334" s="2">
        <f t="shared" si="2"/>
        <v>8</v>
      </c>
      <c r="W334" s="2">
        <f t="shared" si="3"/>
        <v>133.96</v>
      </c>
      <c r="X334" s="2">
        <f t="shared" si="4"/>
        <v>200.96</v>
      </c>
      <c r="Y334" s="2">
        <f t="shared" si="5"/>
        <v>0</v>
      </c>
      <c r="Z334" s="2">
        <f t="shared" si="6"/>
        <v>133.96</v>
      </c>
      <c r="AA334" s="2">
        <f t="shared" si="7"/>
        <v>200.96</v>
      </c>
      <c r="AB334" s="2" t="str">
        <f t="shared" si="8"/>
        <v>Friday</v>
      </c>
      <c r="AC334" s="2" t="str">
        <f t="shared" si="9"/>
        <v>Weekday</v>
      </c>
      <c r="AD334" s="2" t="str">
        <f t="shared" si="10"/>
        <v>brendan.kelly</v>
      </c>
      <c r="AE334" s="2" t="str">
        <f t="shared" si="11"/>
        <v>rediffmail</v>
      </c>
      <c r="AF334" s="2" t="str">
        <f t="shared" si="12"/>
        <v>Brendan Kelly</v>
      </c>
      <c r="AG334" s="2" t="str">
        <f t="shared" si="13"/>
        <v>Brendan</v>
      </c>
      <c r="AH334" s="2" t="str">
        <f t="shared" si="14"/>
        <v>Kelly</v>
      </c>
      <c r="AI334" s="2" t="str">
        <f t="shared" si="15"/>
        <v>Late</v>
      </c>
      <c r="AJ334" s="2" t="str">
        <f t="shared" si="16"/>
        <v>#NAME?</v>
      </c>
    </row>
    <row r="335" ht="14.25" customHeight="1">
      <c r="A335" s="2" t="s">
        <v>326</v>
      </c>
      <c r="B335" s="2" t="s">
        <v>327</v>
      </c>
      <c r="C335" s="2" t="s">
        <v>328</v>
      </c>
      <c r="D335" s="2">
        <v>23.0</v>
      </c>
      <c r="E335" s="2" t="s">
        <v>22</v>
      </c>
      <c r="F335" s="2" t="s">
        <v>23</v>
      </c>
      <c r="G335" s="2" t="s">
        <v>329</v>
      </c>
      <c r="H335" s="2" t="s">
        <v>2122</v>
      </c>
      <c r="I335" s="2" t="s">
        <v>330</v>
      </c>
      <c r="J335" s="2" t="s">
        <v>1518</v>
      </c>
      <c r="K335" s="3">
        <v>45271.0</v>
      </c>
      <c r="L335" s="2" t="s">
        <v>1519</v>
      </c>
      <c r="M335" s="2" t="s">
        <v>507</v>
      </c>
      <c r="N335" s="2">
        <v>136.3</v>
      </c>
      <c r="O335" s="2">
        <v>4.0</v>
      </c>
      <c r="P335" s="2" t="s">
        <v>89</v>
      </c>
      <c r="Q335" s="2">
        <v>1.0</v>
      </c>
      <c r="R335" s="2">
        <v>35.0</v>
      </c>
      <c r="S335" s="3">
        <v>45275.0</v>
      </c>
      <c r="T335" s="2" t="s">
        <v>1520</v>
      </c>
      <c r="U335" s="2">
        <f t="shared" si="1"/>
        <v>4</v>
      </c>
      <c r="V335" s="2">
        <f t="shared" si="2"/>
        <v>21</v>
      </c>
      <c r="W335" s="2">
        <f t="shared" si="3"/>
        <v>545.2</v>
      </c>
      <c r="X335" s="2">
        <f t="shared" si="4"/>
        <v>580.2</v>
      </c>
      <c r="Y335" s="2">
        <f t="shared" si="5"/>
        <v>0</v>
      </c>
      <c r="Z335" s="2">
        <f t="shared" si="6"/>
        <v>545.2</v>
      </c>
      <c r="AA335" s="2">
        <f t="shared" si="7"/>
        <v>580.2</v>
      </c>
      <c r="AB335" s="2" t="str">
        <f t="shared" si="8"/>
        <v>Monday</v>
      </c>
      <c r="AC335" s="2" t="str">
        <f t="shared" si="9"/>
        <v>Weekday</v>
      </c>
      <c r="AD335" s="2" t="str">
        <f t="shared" si="10"/>
        <v>julie.meyer</v>
      </c>
      <c r="AE335" s="2" t="str">
        <f t="shared" si="11"/>
        <v>yahoo</v>
      </c>
      <c r="AF335" s="2" t="str">
        <f t="shared" si="12"/>
        <v>Julie Meyer</v>
      </c>
      <c r="AG335" s="2" t="str">
        <f t="shared" si="13"/>
        <v>Julie</v>
      </c>
      <c r="AH335" s="2" t="str">
        <f t="shared" si="14"/>
        <v>Meyer</v>
      </c>
      <c r="AI335" s="2" t="str">
        <f t="shared" si="15"/>
        <v>Late</v>
      </c>
      <c r="AJ335" s="2" t="str">
        <f t="shared" si="16"/>
        <v>#NAME?</v>
      </c>
    </row>
    <row r="336" ht="14.25" customHeight="1">
      <c r="A336" s="2" t="s">
        <v>979</v>
      </c>
      <c r="B336" s="2" t="s">
        <v>980</v>
      </c>
      <c r="C336" s="2" t="s">
        <v>981</v>
      </c>
      <c r="D336" s="2">
        <v>49.0</v>
      </c>
      <c r="E336" s="2" t="s">
        <v>22</v>
      </c>
      <c r="F336" s="2" t="s">
        <v>35</v>
      </c>
      <c r="G336" s="2" t="s">
        <v>982</v>
      </c>
      <c r="H336" s="2" t="s">
        <v>2171</v>
      </c>
      <c r="I336" s="2" t="s">
        <v>983</v>
      </c>
      <c r="J336" s="2" t="s">
        <v>1521</v>
      </c>
      <c r="K336" s="3">
        <v>45122.0</v>
      </c>
      <c r="L336" s="2" t="s">
        <v>1522</v>
      </c>
      <c r="M336" s="2" t="s">
        <v>239</v>
      </c>
      <c r="N336" s="2">
        <v>282.63</v>
      </c>
      <c r="O336" s="2">
        <v>4.0</v>
      </c>
      <c r="P336" s="2" t="s">
        <v>89</v>
      </c>
      <c r="Q336" s="2">
        <v>1.0</v>
      </c>
      <c r="R336" s="2">
        <v>48.0</v>
      </c>
      <c r="S336" s="3">
        <v>45125.0</v>
      </c>
      <c r="T336" s="2" t="s">
        <v>1523</v>
      </c>
      <c r="U336" s="2">
        <f t="shared" si="1"/>
        <v>3</v>
      </c>
      <c r="V336" s="2">
        <f t="shared" si="2"/>
        <v>10</v>
      </c>
      <c r="W336" s="2">
        <f t="shared" si="3"/>
        <v>1130.52</v>
      </c>
      <c r="X336" s="2">
        <f t="shared" si="4"/>
        <v>1178.52</v>
      </c>
      <c r="Y336" s="2">
        <f t="shared" si="5"/>
        <v>0</v>
      </c>
      <c r="Z336" s="2">
        <f t="shared" si="6"/>
        <v>1130.52</v>
      </c>
      <c r="AA336" s="2">
        <f t="shared" si="7"/>
        <v>1178.52</v>
      </c>
      <c r="AB336" s="2" t="str">
        <f t="shared" si="8"/>
        <v>Saturday</v>
      </c>
      <c r="AC336" s="2" t="str">
        <f t="shared" si="9"/>
        <v>Weekend</v>
      </c>
      <c r="AD336" s="2" t="str">
        <f t="shared" si="10"/>
        <v>natasha.michael</v>
      </c>
      <c r="AE336" s="2" t="str">
        <f t="shared" si="11"/>
        <v>gmail</v>
      </c>
      <c r="AF336" s="2" t="str">
        <f t="shared" si="12"/>
        <v>Natasha Michael</v>
      </c>
      <c r="AG336" s="2" t="str">
        <f t="shared" si="13"/>
        <v>Natasha</v>
      </c>
      <c r="AH336" s="2" t="str">
        <f t="shared" si="14"/>
        <v>Michael</v>
      </c>
      <c r="AI336" s="2" t="str">
        <f t="shared" si="15"/>
        <v>Late</v>
      </c>
      <c r="AJ336" s="2" t="str">
        <f t="shared" si="16"/>
        <v>#NAME?</v>
      </c>
    </row>
    <row r="337" ht="14.25" customHeight="1">
      <c r="A337" s="2" t="s">
        <v>832</v>
      </c>
      <c r="B337" s="2" t="s">
        <v>833</v>
      </c>
      <c r="C337" s="2" t="s">
        <v>834</v>
      </c>
      <c r="D337" s="2">
        <v>26.0</v>
      </c>
      <c r="E337" s="2" t="s">
        <v>34</v>
      </c>
      <c r="F337" s="2" t="s">
        <v>152</v>
      </c>
      <c r="G337" s="2" t="s">
        <v>835</v>
      </c>
      <c r="H337" s="2" t="s">
        <v>2166</v>
      </c>
      <c r="I337" s="2" t="s">
        <v>836</v>
      </c>
      <c r="J337" s="2" t="s">
        <v>1524</v>
      </c>
      <c r="K337" s="3">
        <v>45627.0</v>
      </c>
      <c r="L337" s="2" t="s">
        <v>1525</v>
      </c>
      <c r="M337" s="2" t="s">
        <v>166</v>
      </c>
      <c r="N337" s="2">
        <v>272.51</v>
      </c>
      <c r="O337" s="2">
        <v>5.0</v>
      </c>
      <c r="P337" s="2" t="s">
        <v>89</v>
      </c>
      <c r="Q337" s="2">
        <v>4.0</v>
      </c>
      <c r="R337" s="2">
        <v>45.0</v>
      </c>
      <c r="S337" s="3">
        <v>45630.0</v>
      </c>
      <c r="T337" s="2" t="s">
        <v>1526</v>
      </c>
      <c r="U337" s="2">
        <f t="shared" si="1"/>
        <v>3</v>
      </c>
      <c r="V337" s="2">
        <f t="shared" si="2"/>
        <v>5</v>
      </c>
      <c r="W337" s="2">
        <f t="shared" si="3"/>
        <v>1362.55</v>
      </c>
      <c r="X337" s="2">
        <f t="shared" si="4"/>
        <v>1407.55</v>
      </c>
      <c r="Y337" s="2">
        <f t="shared" si="5"/>
        <v>0</v>
      </c>
      <c r="Z337" s="2">
        <f t="shared" si="6"/>
        <v>1362.55</v>
      </c>
      <c r="AA337" s="2">
        <f t="shared" si="7"/>
        <v>1407.55</v>
      </c>
      <c r="AB337" s="2" t="str">
        <f t="shared" si="8"/>
        <v>Sunday</v>
      </c>
      <c r="AC337" s="2" t="str">
        <f t="shared" si="9"/>
        <v>Weekend</v>
      </c>
      <c r="AD337" s="2" t="str">
        <f t="shared" si="10"/>
        <v>leslie.montgomery</v>
      </c>
      <c r="AE337" s="2" t="str">
        <f t="shared" si="11"/>
        <v>gmail</v>
      </c>
      <c r="AF337" s="2" t="str">
        <f t="shared" si="12"/>
        <v>Leslie Montgomery</v>
      </c>
      <c r="AG337" s="2" t="str">
        <f t="shared" si="13"/>
        <v>Leslie</v>
      </c>
      <c r="AH337" s="2" t="str">
        <f t="shared" si="14"/>
        <v>Montgomery</v>
      </c>
      <c r="AI337" s="2" t="str">
        <f t="shared" si="15"/>
        <v>Before Time</v>
      </c>
      <c r="AJ337" s="2" t="str">
        <f t="shared" si="16"/>
        <v>#NAME?</v>
      </c>
    </row>
    <row r="338" ht="14.25" customHeight="1">
      <c r="A338" s="2" t="s">
        <v>824</v>
      </c>
      <c r="B338" s="2" t="s">
        <v>825</v>
      </c>
      <c r="C338" s="2" t="s">
        <v>826</v>
      </c>
      <c r="D338" s="2">
        <v>60.0</v>
      </c>
      <c r="E338" s="2" t="s">
        <v>22</v>
      </c>
      <c r="F338" s="2" t="s">
        <v>133</v>
      </c>
      <c r="G338" s="2" t="s">
        <v>827</v>
      </c>
      <c r="H338" s="2" t="s">
        <v>2165</v>
      </c>
      <c r="I338" s="2" t="s">
        <v>828</v>
      </c>
      <c r="J338" s="2" t="s">
        <v>1527</v>
      </c>
      <c r="K338" s="3">
        <v>45053.0</v>
      </c>
      <c r="L338" s="2" t="s">
        <v>1528</v>
      </c>
      <c r="M338" s="2" t="s">
        <v>98</v>
      </c>
      <c r="N338" s="2">
        <v>275.44</v>
      </c>
      <c r="O338" s="2">
        <v>2.0</v>
      </c>
      <c r="P338" s="2" t="s">
        <v>51</v>
      </c>
      <c r="Q338" s="2">
        <v>4.0</v>
      </c>
      <c r="R338" s="2">
        <v>54.0</v>
      </c>
      <c r="S338" s="3">
        <v>45059.0</v>
      </c>
      <c r="T338" s="2" t="s">
        <v>1529</v>
      </c>
      <c r="U338" s="2">
        <f t="shared" si="1"/>
        <v>6</v>
      </c>
      <c r="V338" s="2">
        <f t="shared" si="2"/>
        <v>11</v>
      </c>
      <c r="W338" s="2">
        <f t="shared" si="3"/>
        <v>550.88</v>
      </c>
      <c r="X338" s="2">
        <f t="shared" si="4"/>
        <v>604.88</v>
      </c>
      <c r="Y338" s="2">
        <f t="shared" si="5"/>
        <v>0</v>
      </c>
      <c r="Z338" s="2">
        <f t="shared" si="6"/>
        <v>550.88</v>
      </c>
      <c r="AA338" s="2">
        <f t="shared" si="7"/>
        <v>604.88</v>
      </c>
      <c r="AB338" s="2" t="str">
        <f t="shared" si="8"/>
        <v>Sunday</v>
      </c>
      <c r="AC338" s="2" t="str">
        <f t="shared" si="9"/>
        <v>Weekend</v>
      </c>
      <c r="AD338" s="2" t="str">
        <f t="shared" si="10"/>
        <v>james.brown</v>
      </c>
      <c r="AE338" s="2" t="str">
        <f t="shared" si="11"/>
        <v>yahoo</v>
      </c>
      <c r="AF338" s="2" t="str">
        <f t="shared" si="12"/>
        <v>James Brown</v>
      </c>
      <c r="AG338" s="2" t="str">
        <f t="shared" si="13"/>
        <v>James</v>
      </c>
      <c r="AH338" s="2" t="str">
        <f t="shared" si="14"/>
        <v>Brown</v>
      </c>
      <c r="AI338" s="2" t="str">
        <f t="shared" si="15"/>
        <v>Late</v>
      </c>
      <c r="AJ338" s="2" t="str">
        <f t="shared" si="16"/>
        <v>#NAME?</v>
      </c>
    </row>
    <row r="339" ht="14.25" customHeight="1">
      <c r="A339" s="2" t="s">
        <v>359</v>
      </c>
      <c r="B339" s="2" t="s">
        <v>360</v>
      </c>
      <c r="C339" s="2" t="s">
        <v>361</v>
      </c>
      <c r="D339" s="2">
        <v>31.0</v>
      </c>
      <c r="E339" s="2" t="s">
        <v>45</v>
      </c>
      <c r="F339" s="2" t="s">
        <v>133</v>
      </c>
      <c r="G339" s="2" t="s">
        <v>362</v>
      </c>
      <c r="H339" s="2" t="s">
        <v>2125</v>
      </c>
      <c r="I339" s="2" t="s">
        <v>363</v>
      </c>
      <c r="J339" s="2" t="s">
        <v>1530</v>
      </c>
      <c r="K339" s="3">
        <v>45148.0</v>
      </c>
      <c r="L339" s="2" t="s">
        <v>1531</v>
      </c>
      <c r="M339" s="2" t="s">
        <v>511</v>
      </c>
      <c r="N339" s="2">
        <v>441.03</v>
      </c>
      <c r="O339" s="2">
        <v>2.0</v>
      </c>
      <c r="P339" s="2" t="s">
        <v>29</v>
      </c>
      <c r="Q339" s="2">
        <v>3.0</v>
      </c>
      <c r="R339" s="2">
        <v>62.0</v>
      </c>
      <c r="S339" s="3">
        <v>45151.0</v>
      </c>
      <c r="T339" s="2" t="s">
        <v>1532</v>
      </c>
      <c r="U339" s="2">
        <f t="shared" si="1"/>
        <v>3</v>
      </c>
      <c r="V339" s="2">
        <f t="shared" si="2"/>
        <v>12</v>
      </c>
      <c r="W339" s="2">
        <f t="shared" si="3"/>
        <v>882.06</v>
      </c>
      <c r="X339" s="2">
        <f t="shared" si="4"/>
        <v>944.06</v>
      </c>
      <c r="Y339" s="2">
        <f t="shared" si="5"/>
        <v>0</v>
      </c>
      <c r="Z339" s="2">
        <f t="shared" si="6"/>
        <v>882.06</v>
      </c>
      <c r="AA339" s="2">
        <f t="shared" si="7"/>
        <v>944.06</v>
      </c>
      <c r="AB339" s="2" t="str">
        <f t="shared" si="8"/>
        <v>Thursday</v>
      </c>
      <c r="AC339" s="2" t="str">
        <f t="shared" si="9"/>
        <v>Weekday</v>
      </c>
      <c r="AD339" s="2" t="str">
        <f t="shared" si="10"/>
        <v>timothy.hicks</v>
      </c>
      <c r="AE339" s="2" t="str">
        <f t="shared" si="11"/>
        <v>gmail</v>
      </c>
      <c r="AF339" s="2" t="str">
        <f t="shared" si="12"/>
        <v>Timothy Hicks</v>
      </c>
      <c r="AG339" s="2" t="str">
        <f t="shared" si="13"/>
        <v>Timothy</v>
      </c>
      <c r="AH339" s="2" t="str">
        <f t="shared" si="14"/>
        <v>Hicks</v>
      </c>
      <c r="AI339" s="2" t="str">
        <f t="shared" si="15"/>
        <v>InTime</v>
      </c>
      <c r="AJ339" s="2" t="str">
        <f t="shared" si="16"/>
        <v>#NAME?</v>
      </c>
    </row>
    <row r="340" ht="14.25" customHeight="1">
      <c r="A340" s="2" t="s">
        <v>386</v>
      </c>
      <c r="B340" s="2" t="s">
        <v>387</v>
      </c>
      <c r="C340" s="2" t="s">
        <v>388</v>
      </c>
      <c r="D340" s="2">
        <v>40.0</v>
      </c>
      <c r="E340" s="2" t="s">
        <v>45</v>
      </c>
      <c r="F340" s="2" t="s">
        <v>161</v>
      </c>
      <c r="G340" s="2" t="s">
        <v>389</v>
      </c>
      <c r="H340" s="2" t="s">
        <v>2128</v>
      </c>
      <c r="I340" s="2" t="s">
        <v>390</v>
      </c>
      <c r="J340" s="2" t="s">
        <v>1533</v>
      </c>
      <c r="K340" s="3">
        <v>45285.0</v>
      </c>
      <c r="L340" s="2" t="s">
        <v>1534</v>
      </c>
      <c r="M340" s="2" t="s">
        <v>301</v>
      </c>
      <c r="N340" s="2">
        <v>129.75</v>
      </c>
      <c r="O340" s="2">
        <v>2.0</v>
      </c>
      <c r="P340" s="2" t="s">
        <v>51</v>
      </c>
      <c r="Q340" s="2">
        <v>1.0</v>
      </c>
      <c r="R340" s="2">
        <v>62.0</v>
      </c>
      <c r="S340" s="3">
        <v>45290.0</v>
      </c>
      <c r="T340" s="2" t="s">
        <v>1535</v>
      </c>
      <c r="U340" s="2">
        <f t="shared" si="1"/>
        <v>5</v>
      </c>
      <c r="V340" s="2">
        <f t="shared" si="2"/>
        <v>14</v>
      </c>
      <c r="W340" s="2">
        <f t="shared" si="3"/>
        <v>259.5</v>
      </c>
      <c r="X340" s="2">
        <f t="shared" si="4"/>
        <v>321.5</v>
      </c>
      <c r="Y340" s="2">
        <f t="shared" si="5"/>
        <v>0</v>
      </c>
      <c r="Z340" s="2">
        <f t="shared" si="6"/>
        <v>259.5</v>
      </c>
      <c r="AA340" s="2">
        <f t="shared" si="7"/>
        <v>321.5</v>
      </c>
      <c r="AB340" s="2" t="str">
        <f t="shared" si="8"/>
        <v>Monday</v>
      </c>
      <c r="AC340" s="2" t="str">
        <f t="shared" si="9"/>
        <v>Weekday</v>
      </c>
      <c r="AD340" s="2" t="str">
        <f t="shared" si="10"/>
        <v>jason.lopez</v>
      </c>
      <c r="AE340" s="2" t="str">
        <f t="shared" si="11"/>
        <v>outlook</v>
      </c>
      <c r="AF340" s="2" t="str">
        <f t="shared" si="12"/>
        <v>Jason Lopez</v>
      </c>
      <c r="AG340" s="2" t="str">
        <f t="shared" si="13"/>
        <v>Jason</v>
      </c>
      <c r="AH340" s="2" t="str">
        <f t="shared" si="14"/>
        <v>Lopez</v>
      </c>
      <c r="AI340" s="2" t="str">
        <f t="shared" si="15"/>
        <v>Late</v>
      </c>
      <c r="AJ340" s="2" t="str">
        <f t="shared" si="16"/>
        <v>#NAME?</v>
      </c>
    </row>
    <row r="341" ht="14.25" customHeight="1">
      <c r="A341" s="2" t="s">
        <v>1325</v>
      </c>
      <c r="B341" s="2" t="s">
        <v>1326</v>
      </c>
      <c r="C341" s="2" t="s">
        <v>388</v>
      </c>
      <c r="D341" s="2">
        <v>18.0</v>
      </c>
      <c r="E341" s="2" t="s">
        <v>34</v>
      </c>
      <c r="F341" s="2" t="s">
        <v>213</v>
      </c>
      <c r="G341" s="2" t="s">
        <v>1327</v>
      </c>
      <c r="H341" s="2" t="s">
        <v>2182</v>
      </c>
      <c r="I341" s="2" t="s">
        <v>1328</v>
      </c>
      <c r="J341" s="2" t="s">
        <v>1536</v>
      </c>
      <c r="K341" s="3">
        <v>45682.0</v>
      </c>
      <c r="L341" s="2" t="s">
        <v>1537</v>
      </c>
      <c r="M341" s="2" t="s">
        <v>566</v>
      </c>
      <c r="N341" s="2">
        <v>477.52</v>
      </c>
      <c r="O341" s="2">
        <v>3.0</v>
      </c>
      <c r="P341" s="2" t="s">
        <v>78</v>
      </c>
      <c r="Q341" s="2">
        <v>7.0</v>
      </c>
      <c r="R341" s="2">
        <v>41.0</v>
      </c>
      <c r="S341" s="3">
        <v>45686.0</v>
      </c>
      <c r="T341" s="2" t="s">
        <v>1538</v>
      </c>
      <c r="U341" s="2">
        <f t="shared" si="1"/>
        <v>4</v>
      </c>
      <c r="V341" s="2">
        <f t="shared" si="2"/>
        <v>14</v>
      </c>
      <c r="W341" s="2">
        <f t="shared" si="3"/>
        <v>1432.56</v>
      </c>
      <c r="X341" s="2">
        <f t="shared" si="4"/>
        <v>1473.56</v>
      </c>
      <c r="Y341" s="2">
        <f t="shared" si="5"/>
        <v>0</v>
      </c>
      <c r="Z341" s="2">
        <f t="shared" si="6"/>
        <v>1432.56</v>
      </c>
      <c r="AA341" s="2">
        <f t="shared" si="7"/>
        <v>1473.56</v>
      </c>
      <c r="AB341" s="2" t="str">
        <f t="shared" si="8"/>
        <v>Saturday</v>
      </c>
      <c r="AC341" s="2" t="str">
        <f t="shared" si="9"/>
        <v>Weekend</v>
      </c>
      <c r="AD341" s="2" t="str">
        <f t="shared" si="10"/>
        <v>veronica.lopez</v>
      </c>
      <c r="AE341" s="2" t="str">
        <f t="shared" si="11"/>
        <v>gmail</v>
      </c>
      <c r="AF341" s="2" t="str">
        <f t="shared" si="12"/>
        <v>Veronica Lopez</v>
      </c>
      <c r="AG341" s="2" t="str">
        <f t="shared" si="13"/>
        <v>Veronica</v>
      </c>
      <c r="AH341" s="2" t="str">
        <f t="shared" si="14"/>
        <v>Lopez</v>
      </c>
      <c r="AI341" s="2" t="str">
        <f t="shared" si="15"/>
        <v>Before Time</v>
      </c>
      <c r="AJ341" s="2" t="str">
        <f t="shared" si="16"/>
        <v>#NAME?</v>
      </c>
    </row>
    <row r="342" ht="14.25" customHeight="1">
      <c r="A342" s="2" t="s">
        <v>493</v>
      </c>
      <c r="B342" s="2" t="s">
        <v>494</v>
      </c>
      <c r="C342" s="2" t="s">
        <v>380</v>
      </c>
      <c r="D342" s="2">
        <v>57.0</v>
      </c>
      <c r="E342" s="2" t="s">
        <v>34</v>
      </c>
      <c r="F342" s="2" t="s">
        <v>213</v>
      </c>
      <c r="G342" s="2" t="s">
        <v>495</v>
      </c>
      <c r="H342" s="2" t="s">
        <v>2140</v>
      </c>
      <c r="I342" s="2" t="s">
        <v>496</v>
      </c>
      <c r="J342" s="2" t="s">
        <v>1539</v>
      </c>
      <c r="K342" s="3">
        <v>45453.0</v>
      </c>
      <c r="L342" s="2" t="s">
        <v>1540</v>
      </c>
      <c r="M342" s="2" t="s">
        <v>934</v>
      </c>
      <c r="N342" s="2">
        <v>107.47</v>
      </c>
      <c r="O342" s="2">
        <v>3.0</v>
      </c>
      <c r="P342" s="2" t="s">
        <v>89</v>
      </c>
      <c r="Q342" s="2">
        <v>4.0</v>
      </c>
      <c r="R342" s="2">
        <v>59.0</v>
      </c>
      <c r="S342" s="3">
        <v>45454.0</v>
      </c>
      <c r="T342" s="2" t="s">
        <v>1541</v>
      </c>
      <c r="U342" s="2">
        <f t="shared" si="1"/>
        <v>1</v>
      </c>
      <c r="V342" s="2">
        <f t="shared" si="2"/>
        <v>19</v>
      </c>
      <c r="W342" s="2">
        <f t="shared" si="3"/>
        <v>322.41</v>
      </c>
      <c r="X342" s="2">
        <f t="shared" si="4"/>
        <v>381.41</v>
      </c>
      <c r="Y342" s="2">
        <f t="shared" si="5"/>
        <v>0</v>
      </c>
      <c r="Z342" s="2">
        <f t="shared" si="6"/>
        <v>322.41</v>
      </c>
      <c r="AA342" s="2">
        <f t="shared" si="7"/>
        <v>381.41</v>
      </c>
      <c r="AB342" s="2" t="str">
        <f t="shared" si="8"/>
        <v>Monday</v>
      </c>
      <c r="AC342" s="2" t="str">
        <f t="shared" si="9"/>
        <v>Weekday</v>
      </c>
      <c r="AD342" s="2" t="str">
        <f t="shared" si="10"/>
        <v>sharon.thompson</v>
      </c>
      <c r="AE342" s="2" t="str">
        <f t="shared" si="11"/>
        <v>yahoo</v>
      </c>
      <c r="AF342" s="2" t="str">
        <f t="shared" si="12"/>
        <v>Sharon Thompson</v>
      </c>
      <c r="AG342" s="2" t="str">
        <f t="shared" si="13"/>
        <v>Sharon</v>
      </c>
      <c r="AH342" s="2" t="str">
        <f t="shared" si="14"/>
        <v>Thompson</v>
      </c>
      <c r="AI342" s="2" t="str">
        <f t="shared" si="15"/>
        <v>Before Time</v>
      </c>
      <c r="AJ342" s="2" t="str">
        <f t="shared" si="16"/>
        <v>#NAME?</v>
      </c>
    </row>
    <row r="343" ht="14.25" customHeight="1">
      <c r="A343" s="2" t="s">
        <v>760</v>
      </c>
      <c r="B343" s="2" t="s">
        <v>761</v>
      </c>
      <c r="C343" s="2" t="s">
        <v>762</v>
      </c>
      <c r="D343" s="2">
        <v>27.0</v>
      </c>
      <c r="E343" s="2" t="s">
        <v>22</v>
      </c>
      <c r="F343" s="2" t="s">
        <v>35</v>
      </c>
      <c r="G343" s="2" t="s">
        <v>763</v>
      </c>
      <c r="H343" s="2" t="s">
        <v>2161</v>
      </c>
      <c r="I343" s="2" t="s">
        <v>764</v>
      </c>
      <c r="J343" s="2" t="s">
        <v>1542</v>
      </c>
      <c r="K343" s="3">
        <v>45185.0</v>
      </c>
      <c r="L343" s="2" t="s">
        <v>1543</v>
      </c>
      <c r="M343" s="2" t="s">
        <v>284</v>
      </c>
      <c r="N343" s="2">
        <v>158.53</v>
      </c>
      <c r="O343" s="2">
        <v>2.0</v>
      </c>
      <c r="P343" s="2" t="s">
        <v>29</v>
      </c>
      <c r="Q343" s="2">
        <v>2.0</v>
      </c>
      <c r="R343" s="2">
        <v>56.0</v>
      </c>
      <c r="S343" s="3">
        <v>45187.0</v>
      </c>
      <c r="T343" s="2" t="s">
        <v>1544</v>
      </c>
      <c r="U343" s="2">
        <f t="shared" si="1"/>
        <v>2</v>
      </c>
      <c r="V343" s="2">
        <f t="shared" si="2"/>
        <v>23</v>
      </c>
      <c r="W343" s="2">
        <f t="shared" si="3"/>
        <v>317.06</v>
      </c>
      <c r="X343" s="2">
        <f t="shared" si="4"/>
        <v>373.06</v>
      </c>
      <c r="Y343" s="2">
        <f t="shared" si="5"/>
        <v>0</v>
      </c>
      <c r="Z343" s="2">
        <f t="shared" si="6"/>
        <v>317.06</v>
      </c>
      <c r="AA343" s="2">
        <f t="shared" si="7"/>
        <v>373.06</v>
      </c>
      <c r="AB343" s="2" t="str">
        <f t="shared" si="8"/>
        <v>Saturday</v>
      </c>
      <c r="AC343" s="2" t="str">
        <f t="shared" si="9"/>
        <v>Weekend</v>
      </c>
      <c r="AD343" s="2" t="str">
        <f t="shared" si="10"/>
        <v>kristina.haynes</v>
      </c>
      <c r="AE343" s="2" t="str">
        <f t="shared" si="11"/>
        <v>yahoo</v>
      </c>
      <c r="AF343" s="2" t="str">
        <f t="shared" si="12"/>
        <v>Kristina Haynes</v>
      </c>
      <c r="AG343" s="2" t="str">
        <f t="shared" si="13"/>
        <v>Kristina</v>
      </c>
      <c r="AH343" s="2" t="str">
        <f t="shared" si="14"/>
        <v>Haynes</v>
      </c>
      <c r="AI343" s="2" t="str">
        <f t="shared" si="15"/>
        <v>InTime</v>
      </c>
      <c r="AJ343" s="2" t="str">
        <f t="shared" si="16"/>
        <v>#NAME?</v>
      </c>
    </row>
    <row r="344" ht="14.25" customHeight="1">
      <c r="A344" s="2" t="s">
        <v>1450</v>
      </c>
      <c r="B344" s="2" t="s">
        <v>266</v>
      </c>
      <c r="C344" s="2" t="s">
        <v>1451</v>
      </c>
      <c r="D344" s="2">
        <v>30.0</v>
      </c>
      <c r="E344" s="2" t="s">
        <v>22</v>
      </c>
      <c r="F344" s="2" t="s">
        <v>213</v>
      </c>
      <c r="G344" s="2" t="s">
        <v>1452</v>
      </c>
      <c r="H344" s="2" t="s">
        <v>2172</v>
      </c>
      <c r="I344" s="2" t="s">
        <v>1453</v>
      </c>
      <c r="J344" s="2" t="s">
        <v>1545</v>
      </c>
      <c r="K344" s="3">
        <v>45423.0</v>
      </c>
      <c r="L344" s="2" t="s">
        <v>1546</v>
      </c>
      <c r="M344" s="2" t="s">
        <v>511</v>
      </c>
      <c r="N344" s="2">
        <v>441.03</v>
      </c>
      <c r="O344" s="2">
        <v>2.0</v>
      </c>
      <c r="P344" s="2" t="s">
        <v>56</v>
      </c>
      <c r="Q344" s="2">
        <v>4.0</v>
      </c>
      <c r="R344" s="2">
        <v>55.0</v>
      </c>
      <c r="S344" s="3">
        <v>45429.0</v>
      </c>
      <c r="T344" s="2" t="s">
        <v>1547</v>
      </c>
      <c r="U344" s="2">
        <f t="shared" si="1"/>
        <v>6</v>
      </c>
      <c r="V344" s="2">
        <f t="shared" si="2"/>
        <v>9</v>
      </c>
      <c r="W344" s="2">
        <f t="shared" si="3"/>
        <v>882.06</v>
      </c>
      <c r="X344" s="2">
        <f t="shared" si="4"/>
        <v>937.06</v>
      </c>
      <c r="Y344" s="2">
        <f t="shared" si="5"/>
        <v>0</v>
      </c>
      <c r="Z344" s="2">
        <f t="shared" si="6"/>
        <v>882.06</v>
      </c>
      <c r="AA344" s="2">
        <f t="shared" si="7"/>
        <v>882.06</v>
      </c>
      <c r="AB344" s="2" t="str">
        <f t="shared" si="8"/>
        <v>Saturday</v>
      </c>
      <c r="AC344" s="2" t="str">
        <f t="shared" si="9"/>
        <v>Weekend</v>
      </c>
      <c r="AD344" s="2" t="str">
        <f t="shared" si="10"/>
        <v>lauren.lane</v>
      </c>
      <c r="AE344" s="2" t="str">
        <f t="shared" si="11"/>
        <v>gmail</v>
      </c>
      <c r="AF344" s="2" t="str">
        <f t="shared" si="12"/>
        <v>Lauren Lane</v>
      </c>
      <c r="AG344" s="2" t="str">
        <f t="shared" si="13"/>
        <v>Lauren</v>
      </c>
      <c r="AH344" s="2" t="str">
        <f t="shared" si="14"/>
        <v>Lane</v>
      </c>
      <c r="AI344" s="2" t="str">
        <f t="shared" si="15"/>
        <v>Late</v>
      </c>
      <c r="AJ344" s="2" t="str">
        <f t="shared" si="16"/>
        <v>#NAME?</v>
      </c>
    </row>
    <row r="345" ht="14.25" customHeight="1">
      <c r="A345" s="2" t="s">
        <v>743</v>
      </c>
      <c r="B345" s="2" t="s">
        <v>744</v>
      </c>
      <c r="C345" s="2" t="s">
        <v>745</v>
      </c>
      <c r="D345" s="2">
        <v>43.0</v>
      </c>
      <c r="E345" s="2" t="s">
        <v>45</v>
      </c>
      <c r="F345" s="2" t="s">
        <v>152</v>
      </c>
      <c r="G345" s="2" t="s">
        <v>746</v>
      </c>
      <c r="H345" s="2" t="s">
        <v>2160</v>
      </c>
      <c r="I345" s="2" t="s">
        <v>747</v>
      </c>
      <c r="J345" s="2" t="s">
        <v>1548</v>
      </c>
      <c r="K345" s="3">
        <v>44966.0</v>
      </c>
      <c r="L345" s="2" t="s">
        <v>1549</v>
      </c>
      <c r="M345" s="2" t="s">
        <v>474</v>
      </c>
      <c r="N345" s="2">
        <v>87.09</v>
      </c>
      <c r="O345" s="2">
        <v>5.0</v>
      </c>
      <c r="P345" s="2" t="s">
        <v>56</v>
      </c>
      <c r="Q345" s="2">
        <v>7.0</v>
      </c>
      <c r="R345" s="2">
        <v>56.0</v>
      </c>
      <c r="S345" s="3">
        <v>44971.0</v>
      </c>
      <c r="T345" s="2" t="s">
        <v>1550</v>
      </c>
      <c r="U345" s="2">
        <f t="shared" si="1"/>
        <v>5</v>
      </c>
      <c r="V345" s="2">
        <f t="shared" si="2"/>
        <v>9</v>
      </c>
      <c r="W345" s="2">
        <f t="shared" si="3"/>
        <v>435.45</v>
      </c>
      <c r="X345" s="2">
        <f t="shared" si="4"/>
        <v>491.45</v>
      </c>
      <c r="Y345" s="2">
        <f t="shared" si="5"/>
        <v>0</v>
      </c>
      <c r="Z345" s="2">
        <f t="shared" si="6"/>
        <v>435.45</v>
      </c>
      <c r="AA345" s="2">
        <f t="shared" si="7"/>
        <v>435.45</v>
      </c>
      <c r="AB345" s="2" t="str">
        <f t="shared" si="8"/>
        <v>Thursday</v>
      </c>
      <c r="AC345" s="2" t="str">
        <f t="shared" si="9"/>
        <v>Weekday</v>
      </c>
      <c r="AD345" s="2" t="str">
        <f t="shared" si="10"/>
        <v>barbara.fuller</v>
      </c>
      <c r="AE345" s="2" t="str">
        <f t="shared" si="11"/>
        <v>rediffmail</v>
      </c>
      <c r="AF345" s="2" t="str">
        <f t="shared" si="12"/>
        <v>Barbara Fuller</v>
      </c>
      <c r="AG345" s="2" t="str">
        <f t="shared" si="13"/>
        <v>Barbara</v>
      </c>
      <c r="AH345" s="2" t="str">
        <f t="shared" si="14"/>
        <v>Fuller</v>
      </c>
      <c r="AI345" s="2" t="str">
        <f t="shared" si="15"/>
        <v>Before Time</v>
      </c>
      <c r="AJ345" s="2" t="str">
        <f t="shared" si="16"/>
        <v>#NAME?</v>
      </c>
    </row>
    <row r="346" ht="14.25" customHeight="1">
      <c r="A346" s="2" t="s">
        <v>229</v>
      </c>
      <c r="B346" s="2" t="s">
        <v>59</v>
      </c>
      <c r="C346" s="2" t="s">
        <v>230</v>
      </c>
      <c r="D346" s="2">
        <v>52.0</v>
      </c>
      <c r="E346" s="2" t="s">
        <v>45</v>
      </c>
      <c r="F346" s="2" t="s">
        <v>35</v>
      </c>
      <c r="G346" s="2" t="s">
        <v>231</v>
      </c>
      <c r="H346" s="2" t="s">
        <v>2113</v>
      </c>
      <c r="I346" s="2" t="s">
        <v>232</v>
      </c>
      <c r="J346" s="2" t="s">
        <v>1551</v>
      </c>
      <c r="K346" s="3">
        <v>45303.0</v>
      </c>
      <c r="L346" s="2" t="s">
        <v>1552</v>
      </c>
      <c r="M346" s="2" t="s">
        <v>175</v>
      </c>
      <c r="N346" s="2">
        <v>104.18</v>
      </c>
      <c r="O346" s="2">
        <v>4.0</v>
      </c>
      <c r="P346" s="2" t="s">
        <v>56</v>
      </c>
      <c r="Q346" s="2">
        <v>3.0</v>
      </c>
      <c r="R346" s="2">
        <v>40.0</v>
      </c>
      <c r="S346" s="3">
        <v>45308.0</v>
      </c>
      <c r="T346" s="2" t="s">
        <v>1553</v>
      </c>
      <c r="U346" s="2">
        <f t="shared" si="1"/>
        <v>5</v>
      </c>
      <c r="V346" s="2">
        <f t="shared" si="2"/>
        <v>16</v>
      </c>
      <c r="W346" s="2">
        <f t="shared" si="3"/>
        <v>416.72</v>
      </c>
      <c r="X346" s="2">
        <f t="shared" si="4"/>
        <v>456.72</v>
      </c>
      <c r="Y346" s="2">
        <f t="shared" si="5"/>
        <v>0</v>
      </c>
      <c r="Z346" s="2">
        <f t="shared" si="6"/>
        <v>416.72</v>
      </c>
      <c r="AA346" s="2">
        <f t="shared" si="7"/>
        <v>416.72</v>
      </c>
      <c r="AB346" s="2" t="str">
        <f t="shared" si="8"/>
        <v>Friday</v>
      </c>
      <c r="AC346" s="2" t="str">
        <f t="shared" si="9"/>
        <v>Weekday</v>
      </c>
      <c r="AD346" s="2" t="str">
        <f t="shared" si="10"/>
        <v>angela.evans</v>
      </c>
      <c r="AE346" s="2" t="str">
        <f t="shared" si="11"/>
        <v>outlook</v>
      </c>
      <c r="AF346" s="2" t="str">
        <f t="shared" si="12"/>
        <v>Angela Evans</v>
      </c>
      <c r="AG346" s="2" t="str">
        <f t="shared" si="13"/>
        <v>Angela</v>
      </c>
      <c r="AH346" s="2" t="str">
        <f t="shared" si="14"/>
        <v>Evans</v>
      </c>
      <c r="AI346" s="2" t="str">
        <f t="shared" si="15"/>
        <v>Late</v>
      </c>
      <c r="AJ346" s="2" t="str">
        <f t="shared" si="16"/>
        <v>#NAME?</v>
      </c>
    </row>
    <row r="347" ht="14.25" customHeight="1">
      <c r="A347" s="2" t="s">
        <v>513</v>
      </c>
      <c r="B347" s="2" t="s">
        <v>514</v>
      </c>
      <c r="C347" s="2" t="s">
        <v>515</v>
      </c>
      <c r="D347" s="2">
        <v>42.0</v>
      </c>
      <c r="E347" s="2" t="s">
        <v>45</v>
      </c>
      <c r="F347" s="2" t="s">
        <v>69</v>
      </c>
      <c r="G347" s="2" t="s">
        <v>516</v>
      </c>
      <c r="H347" s="2" t="s">
        <v>2142</v>
      </c>
      <c r="I347" s="2" t="s">
        <v>517</v>
      </c>
      <c r="J347" s="2" t="s">
        <v>1554</v>
      </c>
      <c r="K347" s="3">
        <v>45666.0</v>
      </c>
      <c r="L347" s="2" t="s">
        <v>1555</v>
      </c>
      <c r="M347" s="2" t="s">
        <v>977</v>
      </c>
      <c r="N347" s="2">
        <v>33.49</v>
      </c>
      <c r="O347" s="2">
        <v>1.0</v>
      </c>
      <c r="P347" s="2" t="s">
        <v>78</v>
      </c>
      <c r="Q347" s="2">
        <v>4.0</v>
      </c>
      <c r="R347" s="2">
        <v>61.0</v>
      </c>
      <c r="S347" s="3">
        <v>45668.0</v>
      </c>
      <c r="T347" s="2" t="s">
        <v>1446</v>
      </c>
      <c r="U347" s="2">
        <f t="shared" si="1"/>
        <v>2</v>
      </c>
      <c r="V347" s="2">
        <f t="shared" si="2"/>
        <v>17</v>
      </c>
      <c r="W347" s="2">
        <f t="shared" si="3"/>
        <v>33.49</v>
      </c>
      <c r="X347" s="2">
        <f t="shared" si="4"/>
        <v>94.49</v>
      </c>
      <c r="Y347" s="2">
        <f t="shared" si="5"/>
        <v>0</v>
      </c>
      <c r="Z347" s="2">
        <f t="shared" si="6"/>
        <v>33.49</v>
      </c>
      <c r="AA347" s="2">
        <f t="shared" si="7"/>
        <v>94.49</v>
      </c>
      <c r="AB347" s="2" t="str">
        <f t="shared" si="8"/>
        <v>Thursday</v>
      </c>
      <c r="AC347" s="2" t="str">
        <f t="shared" si="9"/>
        <v>Weekday</v>
      </c>
      <c r="AD347" s="2" t="str">
        <f t="shared" si="10"/>
        <v>katherine.weber</v>
      </c>
      <c r="AE347" s="2" t="str">
        <f t="shared" si="11"/>
        <v>outlook</v>
      </c>
      <c r="AF347" s="2" t="str">
        <f t="shared" si="12"/>
        <v>Katherine Weber</v>
      </c>
      <c r="AG347" s="2" t="str">
        <f t="shared" si="13"/>
        <v>Katherine</v>
      </c>
      <c r="AH347" s="2" t="str">
        <f t="shared" si="14"/>
        <v>Weber</v>
      </c>
      <c r="AI347" s="2" t="str">
        <f t="shared" si="15"/>
        <v>Before Time</v>
      </c>
      <c r="AJ347" s="2" t="str">
        <f t="shared" si="16"/>
        <v>#NAME?</v>
      </c>
    </row>
    <row r="348" ht="14.25" customHeight="1">
      <c r="A348" s="2" t="s">
        <v>1450</v>
      </c>
      <c r="B348" s="2" t="s">
        <v>266</v>
      </c>
      <c r="C348" s="2" t="s">
        <v>1451</v>
      </c>
      <c r="D348" s="2">
        <v>30.0</v>
      </c>
      <c r="E348" s="2" t="s">
        <v>22</v>
      </c>
      <c r="F348" s="2" t="s">
        <v>213</v>
      </c>
      <c r="G348" s="2" t="s">
        <v>1452</v>
      </c>
      <c r="H348" s="2" t="s">
        <v>2143</v>
      </c>
      <c r="I348" s="2" t="s">
        <v>1453</v>
      </c>
      <c r="J348" s="2" t="s">
        <v>1556</v>
      </c>
      <c r="K348" s="3">
        <v>45386.0</v>
      </c>
      <c r="L348" s="2" t="s">
        <v>1557</v>
      </c>
      <c r="M348" s="2" t="s">
        <v>646</v>
      </c>
      <c r="N348" s="2">
        <v>433.62</v>
      </c>
      <c r="O348" s="2">
        <v>4.0</v>
      </c>
      <c r="P348" s="2" t="s">
        <v>56</v>
      </c>
      <c r="Q348" s="2">
        <v>1.0</v>
      </c>
      <c r="R348" s="2">
        <v>56.0</v>
      </c>
      <c r="S348" s="3">
        <v>45392.0</v>
      </c>
      <c r="T348" s="2" t="s">
        <v>1558</v>
      </c>
      <c r="U348" s="2">
        <f t="shared" si="1"/>
        <v>6</v>
      </c>
      <c r="V348" s="2">
        <f t="shared" si="2"/>
        <v>6</v>
      </c>
      <c r="W348" s="2">
        <f t="shared" si="3"/>
        <v>1734.48</v>
      </c>
      <c r="X348" s="2">
        <f t="shared" si="4"/>
        <v>1790.48</v>
      </c>
      <c r="Y348" s="2">
        <f t="shared" si="5"/>
        <v>0</v>
      </c>
      <c r="Z348" s="2">
        <f t="shared" si="6"/>
        <v>1734.48</v>
      </c>
      <c r="AA348" s="2">
        <f t="shared" si="7"/>
        <v>1734.48</v>
      </c>
      <c r="AB348" s="2" t="str">
        <f t="shared" si="8"/>
        <v>Thursday</v>
      </c>
      <c r="AC348" s="2" t="str">
        <f t="shared" si="9"/>
        <v>Weekday</v>
      </c>
      <c r="AD348" s="2" t="str">
        <f t="shared" si="10"/>
        <v>lauren.lane</v>
      </c>
      <c r="AE348" s="2" t="str">
        <f t="shared" si="11"/>
        <v>gmail</v>
      </c>
      <c r="AF348" s="2" t="str">
        <f t="shared" si="12"/>
        <v>Lauren Lane</v>
      </c>
      <c r="AG348" s="2" t="str">
        <f t="shared" si="13"/>
        <v>Lauren</v>
      </c>
      <c r="AH348" s="2" t="str">
        <f t="shared" si="14"/>
        <v>Lane</v>
      </c>
      <c r="AI348" s="2" t="str">
        <f t="shared" si="15"/>
        <v>Late</v>
      </c>
      <c r="AJ348" s="2" t="str">
        <f t="shared" si="16"/>
        <v>#NAME?</v>
      </c>
    </row>
    <row r="349" ht="14.25" customHeight="1">
      <c r="A349" s="2" t="s">
        <v>1184</v>
      </c>
      <c r="B349" s="2" t="s">
        <v>33</v>
      </c>
      <c r="C349" s="2" t="s">
        <v>1185</v>
      </c>
      <c r="D349" s="2">
        <v>34.0</v>
      </c>
      <c r="E349" s="2" t="s">
        <v>45</v>
      </c>
      <c r="F349" s="2" t="s">
        <v>213</v>
      </c>
      <c r="G349" s="2" t="s">
        <v>1186</v>
      </c>
      <c r="H349" s="2" t="s">
        <v>2175</v>
      </c>
      <c r="I349" s="2" t="s">
        <v>1187</v>
      </c>
      <c r="J349" s="2" t="s">
        <v>1559</v>
      </c>
      <c r="K349" s="3">
        <v>45085.0</v>
      </c>
      <c r="L349" s="2" t="s">
        <v>1560</v>
      </c>
      <c r="M349" s="2" t="s">
        <v>192</v>
      </c>
      <c r="N349" s="2">
        <v>20.7</v>
      </c>
      <c r="O349" s="2">
        <v>1.0</v>
      </c>
      <c r="P349" s="2" t="s">
        <v>56</v>
      </c>
      <c r="Q349" s="2">
        <v>5.0</v>
      </c>
      <c r="R349" s="2">
        <v>51.0</v>
      </c>
      <c r="S349" s="3">
        <v>45086.0</v>
      </c>
      <c r="T349" s="2" t="s">
        <v>1561</v>
      </c>
      <c r="U349" s="2">
        <f t="shared" si="1"/>
        <v>1</v>
      </c>
      <c r="V349" s="2">
        <f t="shared" si="2"/>
        <v>23</v>
      </c>
      <c r="W349" s="2">
        <f t="shared" si="3"/>
        <v>20.7</v>
      </c>
      <c r="X349" s="2">
        <f t="shared" si="4"/>
        <v>71.7</v>
      </c>
      <c r="Y349" s="2">
        <f t="shared" si="5"/>
        <v>0</v>
      </c>
      <c r="Z349" s="2">
        <f t="shared" si="6"/>
        <v>20.7</v>
      </c>
      <c r="AA349" s="2">
        <f t="shared" si="7"/>
        <v>20.7</v>
      </c>
      <c r="AB349" s="2" t="str">
        <f t="shared" si="8"/>
        <v>Thursday</v>
      </c>
      <c r="AC349" s="2" t="str">
        <f t="shared" si="9"/>
        <v>Weekday</v>
      </c>
      <c r="AD349" s="2" t="str">
        <f t="shared" si="10"/>
        <v>thomas.owens</v>
      </c>
      <c r="AE349" s="2" t="str">
        <f t="shared" si="11"/>
        <v>outlook</v>
      </c>
      <c r="AF349" s="2" t="str">
        <f t="shared" si="12"/>
        <v>Thomas Owens</v>
      </c>
      <c r="AG349" s="2" t="str">
        <f t="shared" si="13"/>
        <v>Thomas</v>
      </c>
      <c r="AH349" s="2" t="str">
        <f t="shared" si="14"/>
        <v>Owens</v>
      </c>
      <c r="AI349" s="2" t="str">
        <f t="shared" si="15"/>
        <v>Before Time</v>
      </c>
      <c r="AJ349" s="2" t="str">
        <f t="shared" si="16"/>
        <v>#NAME?</v>
      </c>
    </row>
    <row r="350" ht="14.25" customHeight="1">
      <c r="A350" s="2" t="s">
        <v>436</v>
      </c>
      <c r="B350" s="2" t="s">
        <v>92</v>
      </c>
      <c r="C350" s="2" t="s">
        <v>437</v>
      </c>
      <c r="D350" s="2">
        <v>36.0</v>
      </c>
      <c r="E350" s="2" t="s">
        <v>34</v>
      </c>
      <c r="F350" s="2" t="s">
        <v>23</v>
      </c>
      <c r="G350" s="2" t="s">
        <v>438</v>
      </c>
      <c r="H350" s="2" t="s">
        <v>2133</v>
      </c>
      <c r="I350" s="2" t="s">
        <v>439</v>
      </c>
      <c r="J350" s="2" t="s">
        <v>1562</v>
      </c>
      <c r="K350" s="3">
        <v>45028.0</v>
      </c>
      <c r="L350" s="2" t="s">
        <v>1563</v>
      </c>
      <c r="M350" s="2" t="s">
        <v>511</v>
      </c>
      <c r="N350" s="2">
        <v>441.03</v>
      </c>
      <c r="O350" s="2">
        <v>2.0</v>
      </c>
      <c r="P350" s="2" t="s">
        <v>89</v>
      </c>
      <c r="Q350" s="2">
        <v>4.0</v>
      </c>
      <c r="R350" s="2">
        <v>60.0</v>
      </c>
      <c r="S350" s="3">
        <v>45033.0</v>
      </c>
      <c r="T350" s="2" t="s">
        <v>1564</v>
      </c>
      <c r="U350" s="2">
        <f t="shared" si="1"/>
        <v>5</v>
      </c>
      <c r="V350" s="2">
        <f t="shared" si="2"/>
        <v>0</v>
      </c>
      <c r="W350" s="2">
        <f t="shared" si="3"/>
        <v>882.06</v>
      </c>
      <c r="X350" s="2">
        <f t="shared" si="4"/>
        <v>942.06</v>
      </c>
      <c r="Y350" s="2">
        <f t="shared" si="5"/>
        <v>0</v>
      </c>
      <c r="Z350" s="2">
        <f t="shared" si="6"/>
        <v>882.06</v>
      </c>
      <c r="AA350" s="2">
        <f t="shared" si="7"/>
        <v>942.06</v>
      </c>
      <c r="AB350" s="2" t="str">
        <f t="shared" si="8"/>
        <v>Wednesday</v>
      </c>
      <c r="AC350" s="2" t="str">
        <f t="shared" si="9"/>
        <v>Weekday</v>
      </c>
      <c r="AD350" s="2" t="str">
        <f t="shared" si="10"/>
        <v>marcus.rogers</v>
      </c>
      <c r="AE350" s="2" t="str">
        <f t="shared" si="11"/>
        <v>outlook</v>
      </c>
      <c r="AF350" s="2" t="str">
        <f t="shared" si="12"/>
        <v>Marcus Rogers</v>
      </c>
      <c r="AG350" s="2" t="str">
        <f t="shared" si="13"/>
        <v>Marcus</v>
      </c>
      <c r="AH350" s="2" t="str">
        <f t="shared" si="14"/>
        <v>Rogers</v>
      </c>
      <c r="AI350" s="2" t="str">
        <f t="shared" si="15"/>
        <v>Late</v>
      </c>
      <c r="AJ350" s="2" t="str">
        <f t="shared" si="16"/>
        <v>#NAME?</v>
      </c>
    </row>
    <row r="351" ht="14.25" customHeight="1">
      <c r="A351" s="2" t="s">
        <v>1203</v>
      </c>
      <c r="B351" s="2" t="s">
        <v>1204</v>
      </c>
      <c r="C351" s="2" t="s">
        <v>1205</v>
      </c>
      <c r="D351" s="2">
        <v>50.0</v>
      </c>
      <c r="E351" s="2" t="s">
        <v>45</v>
      </c>
      <c r="F351" s="2" t="s">
        <v>161</v>
      </c>
      <c r="G351" s="2" t="s">
        <v>1206</v>
      </c>
      <c r="H351" s="2" t="s">
        <v>2176</v>
      </c>
      <c r="I351" s="2" t="s">
        <v>1207</v>
      </c>
      <c r="J351" s="2" t="s">
        <v>1565</v>
      </c>
      <c r="K351" s="3">
        <v>45183.0</v>
      </c>
      <c r="L351" s="2" t="s">
        <v>1566</v>
      </c>
      <c r="M351" s="2" t="s">
        <v>646</v>
      </c>
      <c r="N351" s="2">
        <v>433.62</v>
      </c>
      <c r="O351" s="2">
        <v>2.0</v>
      </c>
      <c r="P351" s="2" t="s">
        <v>56</v>
      </c>
      <c r="Q351" s="2">
        <v>1.0</v>
      </c>
      <c r="R351" s="2">
        <v>46.0</v>
      </c>
      <c r="S351" s="3">
        <v>45186.0</v>
      </c>
      <c r="T351" s="2" t="s">
        <v>1567</v>
      </c>
      <c r="U351" s="2">
        <f t="shared" si="1"/>
        <v>3</v>
      </c>
      <c r="V351" s="2">
        <f t="shared" si="2"/>
        <v>23</v>
      </c>
      <c r="W351" s="2">
        <f t="shared" si="3"/>
        <v>867.24</v>
      </c>
      <c r="X351" s="2">
        <f t="shared" si="4"/>
        <v>913.24</v>
      </c>
      <c r="Y351" s="2">
        <f t="shared" si="5"/>
        <v>0</v>
      </c>
      <c r="Z351" s="2">
        <f t="shared" si="6"/>
        <v>867.24</v>
      </c>
      <c r="AA351" s="2">
        <f t="shared" si="7"/>
        <v>867.24</v>
      </c>
      <c r="AB351" s="2" t="str">
        <f t="shared" si="8"/>
        <v>Thursday</v>
      </c>
      <c r="AC351" s="2" t="str">
        <f t="shared" si="9"/>
        <v>Weekday</v>
      </c>
      <c r="AD351" s="2" t="str">
        <f t="shared" si="10"/>
        <v>brendan.kelly</v>
      </c>
      <c r="AE351" s="2" t="str">
        <f t="shared" si="11"/>
        <v>rediffmail</v>
      </c>
      <c r="AF351" s="2" t="str">
        <f t="shared" si="12"/>
        <v>Brendan Kelly</v>
      </c>
      <c r="AG351" s="2" t="str">
        <f t="shared" si="13"/>
        <v>Brendan</v>
      </c>
      <c r="AH351" s="2" t="str">
        <f t="shared" si="14"/>
        <v>Kelly</v>
      </c>
      <c r="AI351" s="2" t="str">
        <f t="shared" si="15"/>
        <v>Late</v>
      </c>
      <c r="AJ351" s="2" t="str">
        <f t="shared" si="16"/>
        <v>#NAME?</v>
      </c>
    </row>
    <row r="352" ht="14.25" customHeight="1">
      <c r="A352" s="2" t="s">
        <v>202</v>
      </c>
      <c r="B352" s="2" t="s">
        <v>203</v>
      </c>
      <c r="C352" s="2" t="s">
        <v>204</v>
      </c>
      <c r="D352" s="2">
        <v>39.0</v>
      </c>
      <c r="E352" s="2" t="s">
        <v>34</v>
      </c>
      <c r="F352" s="2" t="s">
        <v>152</v>
      </c>
      <c r="G352" s="2" t="s">
        <v>205</v>
      </c>
      <c r="H352" s="2" t="s">
        <v>2110</v>
      </c>
      <c r="I352" s="2" t="s">
        <v>206</v>
      </c>
      <c r="J352" s="2" t="s">
        <v>1568</v>
      </c>
      <c r="K352" s="3">
        <v>45387.0</v>
      </c>
      <c r="L352" s="2" t="s">
        <v>1569</v>
      </c>
      <c r="M352" s="2" t="s">
        <v>679</v>
      </c>
      <c r="N352" s="2">
        <v>424.82</v>
      </c>
      <c r="O352" s="2">
        <v>5.0</v>
      </c>
      <c r="P352" s="2" t="s">
        <v>89</v>
      </c>
      <c r="Q352" s="2">
        <v>7.0</v>
      </c>
      <c r="R352" s="2">
        <v>37.0</v>
      </c>
      <c r="S352" s="3">
        <v>45393.0</v>
      </c>
      <c r="T352" s="2" t="s">
        <v>1570</v>
      </c>
      <c r="U352" s="2">
        <f t="shared" si="1"/>
        <v>6</v>
      </c>
      <c r="V352" s="2">
        <f t="shared" si="2"/>
        <v>2</v>
      </c>
      <c r="W352" s="2">
        <f t="shared" si="3"/>
        <v>2124.1</v>
      </c>
      <c r="X352" s="2">
        <f t="shared" si="4"/>
        <v>2161.1</v>
      </c>
      <c r="Y352" s="2">
        <f t="shared" si="5"/>
        <v>0</v>
      </c>
      <c r="Z352" s="2">
        <f t="shared" si="6"/>
        <v>2124.1</v>
      </c>
      <c r="AA352" s="2">
        <f t="shared" si="7"/>
        <v>2161.1</v>
      </c>
      <c r="AB352" s="2" t="str">
        <f t="shared" si="8"/>
        <v>Friday</v>
      </c>
      <c r="AC352" s="2" t="str">
        <f t="shared" si="9"/>
        <v>Weekday</v>
      </c>
      <c r="AD352" s="2" t="str">
        <f t="shared" si="10"/>
        <v>christian.clayton</v>
      </c>
      <c r="AE352" s="2" t="str">
        <f t="shared" si="11"/>
        <v>yahoo</v>
      </c>
      <c r="AF352" s="2" t="str">
        <f t="shared" si="12"/>
        <v>Christian Clayton</v>
      </c>
      <c r="AG352" s="2" t="str">
        <f t="shared" si="13"/>
        <v>Christian</v>
      </c>
      <c r="AH352" s="2" t="str">
        <f t="shared" si="14"/>
        <v>Clayton</v>
      </c>
      <c r="AI352" s="2" t="str">
        <f t="shared" si="15"/>
        <v>Before Time</v>
      </c>
      <c r="AJ352" s="2" t="str">
        <f t="shared" si="16"/>
        <v>#NAME?</v>
      </c>
    </row>
    <row r="353" ht="14.25" customHeight="1">
      <c r="A353" s="2" t="s">
        <v>664</v>
      </c>
      <c r="B353" s="2" t="s">
        <v>665</v>
      </c>
      <c r="C353" s="2" t="s">
        <v>666</v>
      </c>
      <c r="D353" s="2">
        <v>38.0</v>
      </c>
      <c r="E353" s="2" t="s">
        <v>34</v>
      </c>
      <c r="F353" s="2" t="s">
        <v>213</v>
      </c>
      <c r="G353" s="2" t="s">
        <v>667</v>
      </c>
      <c r="H353" s="2" t="s">
        <v>2152</v>
      </c>
      <c r="I353" s="2" t="s">
        <v>668</v>
      </c>
      <c r="J353" s="2" t="s">
        <v>1571</v>
      </c>
      <c r="K353" s="3">
        <v>45496.0</v>
      </c>
      <c r="L353" s="2" t="s">
        <v>1572</v>
      </c>
      <c r="M353" s="2" t="s">
        <v>646</v>
      </c>
      <c r="N353" s="2">
        <v>433.62</v>
      </c>
      <c r="O353" s="2">
        <v>3.0</v>
      </c>
      <c r="P353" s="2" t="s">
        <v>89</v>
      </c>
      <c r="Q353" s="2">
        <v>2.0</v>
      </c>
      <c r="R353" s="2">
        <v>39.0</v>
      </c>
      <c r="S353" s="3">
        <v>45499.0</v>
      </c>
      <c r="T353" s="2" t="s">
        <v>1573</v>
      </c>
      <c r="U353" s="2">
        <f t="shared" si="1"/>
        <v>3</v>
      </c>
      <c r="V353" s="2">
        <f t="shared" si="2"/>
        <v>6</v>
      </c>
      <c r="W353" s="2">
        <f t="shared" si="3"/>
        <v>1300.86</v>
      </c>
      <c r="X353" s="2">
        <f t="shared" si="4"/>
        <v>1339.86</v>
      </c>
      <c r="Y353" s="2">
        <f t="shared" si="5"/>
        <v>0</v>
      </c>
      <c r="Z353" s="2">
        <f t="shared" si="6"/>
        <v>1300.86</v>
      </c>
      <c r="AA353" s="2">
        <f t="shared" si="7"/>
        <v>1339.86</v>
      </c>
      <c r="AB353" s="2" t="str">
        <f t="shared" si="8"/>
        <v>Tuesday</v>
      </c>
      <c r="AC353" s="2" t="str">
        <f t="shared" si="9"/>
        <v>Weekday</v>
      </c>
      <c r="AD353" s="2" t="str">
        <f t="shared" si="10"/>
        <v>christy.chang</v>
      </c>
      <c r="AE353" s="2" t="str">
        <f t="shared" si="11"/>
        <v>outlook</v>
      </c>
      <c r="AF353" s="2" t="str">
        <f t="shared" si="12"/>
        <v>Christy Chang</v>
      </c>
      <c r="AG353" s="2" t="str">
        <f t="shared" si="13"/>
        <v>Christy</v>
      </c>
      <c r="AH353" s="2" t="str">
        <f t="shared" si="14"/>
        <v>Chang</v>
      </c>
      <c r="AI353" s="2" t="str">
        <f t="shared" si="15"/>
        <v>Late</v>
      </c>
      <c r="AJ353" s="2" t="str">
        <f t="shared" si="16"/>
        <v>#NAME?</v>
      </c>
    </row>
    <row r="354" ht="14.25" customHeight="1">
      <c r="A354" s="2" t="s">
        <v>840</v>
      </c>
      <c r="B354" s="2" t="s">
        <v>841</v>
      </c>
      <c r="C354" s="2" t="s">
        <v>380</v>
      </c>
      <c r="D354" s="2">
        <v>37.0</v>
      </c>
      <c r="E354" s="2" t="s">
        <v>45</v>
      </c>
      <c r="F354" s="2" t="s">
        <v>213</v>
      </c>
      <c r="G354" s="2" t="s">
        <v>842</v>
      </c>
      <c r="H354" s="2" t="s">
        <v>2167</v>
      </c>
      <c r="I354" s="2" t="s">
        <v>843</v>
      </c>
      <c r="J354" s="2" t="s">
        <v>1574</v>
      </c>
      <c r="K354" s="3">
        <v>45187.0</v>
      </c>
      <c r="L354" s="2" t="s">
        <v>1575</v>
      </c>
      <c r="M354" s="2" t="s">
        <v>650</v>
      </c>
      <c r="N354" s="2">
        <v>235.63</v>
      </c>
      <c r="O354" s="2">
        <v>1.0</v>
      </c>
      <c r="P354" s="2" t="s">
        <v>78</v>
      </c>
      <c r="Q354" s="2">
        <v>5.0</v>
      </c>
      <c r="R354" s="2">
        <v>59.0</v>
      </c>
      <c r="S354" s="3">
        <v>45192.0</v>
      </c>
      <c r="T354" s="2" t="s">
        <v>1576</v>
      </c>
      <c r="U354" s="2">
        <f t="shared" si="1"/>
        <v>5</v>
      </c>
      <c r="V354" s="2">
        <f t="shared" si="2"/>
        <v>20</v>
      </c>
      <c r="W354" s="2">
        <f t="shared" si="3"/>
        <v>235.63</v>
      </c>
      <c r="X354" s="2">
        <f t="shared" si="4"/>
        <v>294.63</v>
      </c>
      <c r="Y354" s="2">
        <f t="shared" si="5"/>
        <v>0</v>
      </c>
      <c r="Z354" s="2">
        <f t="shared" si="6"/>
        <v>235.63</v>
      </c>
      <c r="AA354" s="2">
        <f t="shared" si="7"/>
        <v>294.63</v>
      </c>
      <c r="AB354" s="2" t="str">
        <f t="shared" si="8"/>
        <v>Monday</v>
      </c>
      <c r="AC354" s="2" t="str">
        <f t="shared" si="9"/>
        <v>Weekday</v>
      </c>
      <c r="AD354" s="2" t="str">
        <f t="shared" si="10"/>
        <v>susan.thompson</v>
      </c>
      <c r="AE354" s="2" t="str">
        <f t="shared" si="11"/>
        <v>outlook</v>
      </c>
      <c r="AF354" s="2" t="str">
        <f t="shared" si="12"/>
        <v>Susan Thompson</v>
      </c>
      <c r="AG354" s="2" t="str">
        <f t="shared" si="13"/>
        <v>Susan</v>
      </c>
      <c r="AH354" s="2" t="str">
        <f t="shared" si="14"/>
        <v>Thompson</v>
      </c>
      <c r="AI354" s="2" t="str">
        <f t="shared" si="15"/>
        <v>InTime</v>
      </c>
      <c r="AJ354" s="2" t="str">
        <f t="shared" si="16"/>
        <v>#NAME?</v>
      </c>
    </row>
    <row r="355" ht="14.25" customHeight="1">
      <c r="A355" s="2" t="s">
        <v>1335</v>
      </c>
      <c r="B355" s="2" t="s">
        <v>501</v>
      </c>
      <c r="C355" s="2" t="s">
        <v>1336</v>
      </c>
      <c r="D355" s="2">
        <v>40.0</v>
      </c>
      <c r="E355" s="2" t="s">
        <v>45</v>
      </c>
      <c r="F355" s="2" t="s">
        <v>213</v>
      </c>
      <c r="G355" s="2" t="s">
        <v>1337</v>
      </c>
      <c r="H355" s="2" t="s">
        <v>2183</v>
      </c>
      <c r="I355" s="2" t="s">
        <v>1338</v>
      </c>
      <c r="J355" s="2" t="s">
        <v>1577</v>
      </c>
      <c r="K355" s="3">
        <v>45190.0</v>
      </c>
      <c r="L355" s="2" t="s">
        <v>1578</v>
      </c>
      <c r="M355" s="2" t="s">
        <v>488</v>
      </c>
      <c r="N355" s="2">
        <v>421.7</v>
      </c>
      <c r="O355" s="2">
        <v>5.0</v>
      </c>
      <c r="P355" s="2" t="s">
        <v>51</v>
      </c>
      <c r="Q355" s="2">
        <v>6.0</v>
      </c>
      <c r="R355" s="2">
        <v>58.0</v>
      </c>
      <c r="S355" s="3">
        <v>45197.0</v>
      </c>
      <c r="T355" s="2" t="s">
        <v>1579</v>
      </c>
      <c r="U355" s="2">
        <f t="shared" si="1"/>
        <v>7</v>
      </c>
      <c r="V355" s="2">
        <f t="shared" si="2"/>
        <v>13</v>
      </c>
      <c r="W355" s="2">
        <f t="shared" si="3"/>
        <v>2108.5</v>
      </c>
      <c r="X355" s="2">
        <f t="shared" si="4"/>
        <v>2166.5</v>
      </c>
      <c r="Y355" s="2">
        <f t="shared" si="5"/>
        <v>0</v>
      </c>
      <c r="Z355" s="2">
        <f t="shared" si="6"/>
        <v>2108.5</v>
      </c>
      <c r="AA355" s="2">
        <f t="shared" si="7"/>
        <v>2166.5</v>
      </c>
      <c r="AB355" s="2" t="str">
        <f t="shared" si="8"/>
        <v>Thursday</v>
      </c>
      <c r="AC355" s="2" t="str">
        <f t="shared" si="9"/>
        <v>Weekday</v>
      </c>
      <c r="AD355" s="2" t="str">
        <f t="shared" si="10"/>
        <v>sarah.benson</v>
      </c>
      <c r="AE355" s="2" t="str">
        <f t="shared" si="11"/>
        <v>outlook</v>
      </c>
      <c r="AF355" s="2" t="str">
        <f t="shared" si="12"/>
        <v>Sarah Benson</v>
      </c>
      <c r="AG355" s="2" t="str">
        <f t="shared" si="13"/>
        <v>Sarah</v>
      </c>
      <c r="AH355" s="2" t="str">
        <f t="shared" si="14"/>
        <v>Benson</v>
      </c>
      <c r="AI355" s="2" t="str">
        <f t="shared" si="15"/>
        <v>Late</v>
      </c>
      <c r="AJ355" s="2" t="str">
        <f t="shared" si="16"/>
        <v>#NAME?</v>
      </c>
    </row>
    <row r="356" ht="14.25" customHeight="1">
      <c r="A356" s="2" t="s">
        <v>493</v>
      </c>
      <c r="B356" s="2" t="s">
        <v>494</v>
      </c>
      <c r="C356" s="2" t="s">
        <v>380</v>
      </c>
      <c r="D356" s="2">
        <v>57.0</v>
      </c>
      <c r="E356" s="2" t="s">
        <v>34</v>
      </c>
      <c r="F356" s="2" t="s">
        <v>213</v>
      </c>
      <c r="G356" s="2" t="s">
        <v>495</v>
      </c>
      <c r="H356" s="2" t="s">
        <v>2140</v>
      </c>
      <c r="I356" s="2" t="s">
        <v>496</v>
      </c>
      <c r="J356" s="2" t="s">
        <v>1580</v>
      </c>
      <c r="K356" s="3">
        <v>45479.0</v>
      </c>
      <c r="L356" s="2" t="s">
        <v>1581</v>
      </c>
      <c r="M356" s="2" t="s">
        <v>333</v>
      </c>
      <c r="N356" s="2">
        <v>77.84</v>
      </c>
      <c r="O356" s="2">
        <v>4.0</v>
      </c>
      <c r="P356" s="2" t="s">
        <v>78</v>
      </c>
      <c r="Q356" s="2">
        <v>2.0</v>
      </c>
      <c r="R356" s="2">
        <v>59.0</v>
      </c>
      <c r="S356" s="3">
        <v>45485.0</v>
      </c>
      <c r="T356" s="2" t="s">
        <v>1582</v>
      </c>
      <c r="U356" s="2">
        <f t="shared" si="1"/>
        <v>6</v>
      </c>
      <c r="V356" s="2">
        <f t="shared" si="2"/>
        <v>9</v>
      </c>
      <c r="W356" s="2">
        <f t="shared" si="3"/>
        <v>311.36</v>
      </c>
      <c r="X356" s="2">
        <f t="shared" si="4"/>
        <v>370.36</v>
      </c>
      <c r="Y356" s="2">
        <f t="shared" si="5"/>
        <v>0</v>
      </c>
      <c r="Z356" s="2">
        <f t="shared" si="6"/>
        <v>311.36</v>
      </c>
      <c r="AA356" s="2">
        <f t="shared" si="7"/>
        <v>370.36</v>
      </c>
      <c r="AB356" s="2" t="str">
        <f t="shared" si="8"/>
        <v>Saturday</v>
      </c>
      <c r="AC356" s="2" t="str">
        <f t="shared" si="9"/>
        <v>Weekend</v>
      </c>
      <c r="AD356" s="2" t="str">
        <f t="shared" si="10"/>
        <v>sharon.thompson</v>
      </c>
      <c r="AE356" s="2" t="str">
        <f t="shared" si="11"/>
        <v>yahoo</v>
      </c>
      <c r="AF356" s="2" t="str">
        <f t="shared" si="12"/>
        <v>Sharon Thompson</v>
      </c>
      <c r="AG356" s="2" t="str">
        <f t="shared" si="13"/>
        <v>Sharon</v>
      </c>
      <c r="AH356" s="2" t="str">
        <f t="shared" si="14"/>
        <v>Thompson</v>
      </c>
      <c r="AI356" s="2" t="str">
        <f t="shared" si="15"/>
        <v>Late</v>
      </c>
      <c r="AJ356" s="2" t="str">
        <f t="shared" si="16"/>
        <v>#NAME?</v>
      </c>
    </row>
    <row r="357" ht="14.25" customHeight="1">
      <c r="A357" s="2" t="s">
        <v>1231</v>
      </c>
      <c r="B357" s="2" t="s">
        <v>1232</v>
      </c>
      <c r="C357" s="2" t="s">
        <v>1233</v>
      </c>
      <c r="D357" s="2">
        <v>55.0</v>
      </c>
      <c r="E357" s="2" t="s">
        <v>34</v>
      </c>
      <c r="F357" s="2" t="s">
        <v>152</v>
      </c>
      <c r="G357" s="2" t="s">
        <v>1234</v>
      </c>
      <c r="H357" s="2" t="s">
        <v>2178</v>
      </c>
      <c r="I357" s="2" t="s">
        <v>1235</v>
      </c>
      <c r="J357" s="2" t="s">
        <v>1583</v>
      </c>
      <c r="K357" s="3">
        <v>44982.0</v>
      </c>
      <c r="L357" s="2" t="s">
        <v>1584</v>
      </c>
      <c r="M357" s="2" t="s">
        <v>474</v>
      </c>
      <c r="N357" s="2">
        <v>87.09</v>
      </c>
      <c r="O357" s="2">
        <v>2.0</v>
      </c>
      <c r="P357" s="2" t="s">
        <v>51</v>
      </c>
      <c r="Q357" s="2">
        <v>3.0</v>
      </c>
      <c r="R357" s="2">
        <v>62.0</v>
      </c>
      <c r="S357" s="3">
        <v>44987.0</v>
      </c>
      <c r="T357" s="2" t="s">
        <v>1585</v>
      </c>
      <c r="U357" s="2">
        <f t="shared" si="1"/>
        <v>5</v>
      </c>
      <c r="V357" s="2">
        <f t="shared" si="2"/>
        <v>4</v>
      </c>
      <c r="W357" s="2">
        <f t="shared" si="3"/>
        <v>174.18</v>
      </c>
      <c r="X357" s="2">
        <f t="shared" si="4"/>
        <v>236.18</v>
      </c>
      <c r="Y357" s="2">
        <f t="shared" si="5"/>
        <v>0</v>
      </c>
      <c r="Z357" s="2">
        <f t="shared" si="6"/>
        <v>174.18</v>
      </c>
      <c r="AA357" s="2">
        <f t="shared" si="7"/>
        <v>236.18</v>
      </c>
      <c r="AB357" s="2" t="str">
        <f t="shared" si="8"/>
        <v>Saturday</v>
      </c>
      <c r="AC357" s="2" t="str">
        <f t="shared" si="9"/>
        <v>Weekend</v>
      </c>
      <c r="AD357" s="2" t="str">
        <f t="shared" si="10"/>
        <v>hannah.gutierrez</v>
      </c>
      <c r="AE357" s="2" t="str">
        <f t="shared" si="11"/>
        <v>yahoo</v>
      </c>
      <c r="AF357" s="2" t="str">
        <f t="shared" si="12"/>
        <v>Hannah Gutierrez</v>
      </c>
      <c r="AG357" s="2" t="str">
        <f t="shared" si="13"/>
        <v>Hannah</v>
      </c>
      <c r="AH357" s="2" t="str">
        <f t="shared" si="14"/>
        <v>Gutierrez</v>
      </c>
      <c r="AI357" s="2" t="str">
        <f t="shared" si="15"/>
        <v>Late</v>
      </c>
      <c r="AJ357" s="2" t="str">
        <f t="shared" si="16"/>
        <v>#NAME?</v>
      </c>
    </row>
    <row r="358" ht="14.25" customHeight="1">
      <c r="A358" s="2" t="s">
        <v>1311</v>
      </c>
      <c r="B358" s="2" t="s">
        <v>1312</v>
      </c>
      <c r="C358" s="2" t="s">
        <v>1313</v>
      </c>
      <c r="D358" s="2">
        <v>43.0</v>
      </c>
      <c r="E358" s="2" t="s">
        <v>22</v>
      </c>
      <c r="F358" s="2" t="s">
        <v>133</v>
      </c>
      <c r="G358" s="2" t="s">
        <v>1314</v>
      </c>
      <c r="H358" s="2" t="s">
        <v>2181</v>
      </c>
      <c r="I358" s="2" t="s">
        <v>1315</v>
      </c>
      <c r="J358" s="2" t="s">
        <v>1586</v>
      </c>
      <c r="K358" s="3">
        <v>45397.0</v>
      </c>
      <c r="L358" s="2" t="s">
        <v>1587</v>
      </c>
      <c r="M358" s="2" t="s">
        <v>175</v>
      </c>
      <c r="N358" s="2">
        <v>104.18</v>
      </c>
      <c r="O358" s="2">
        <v>3.0</v>
      </c>
      <c r="P358" s="2" t="s">
        <v>89</v>
      </c>
      <c r="Q358" s="2">
        <v>6.0</v>
      </c>
      <c r="R358" s="2">
        <v>60.0</v>
      </c>
      <c r="S358" s="3">
        <v>45398.0</v>
      </c>
      <c r="T358" s="2" t="s">
        <v>1588</v>
      </c>
      <c r="U358" s="2">
        <f t="shared" si="1"/>
        <v>1</v>
      </c>
      <c r="V358" s="2">
        <f t="shared" si="2"/>
        <v>1</v>
      </c>
      <c r="W358" s="2">
        <f t="shared" si="3"/>
        <v>312.54</v>
      </c>
      <c r="X358" s="2">
        <f t="shared" si="4"/>
        <v>372.54</v>
      </c>
      <c r="Y358" s="2">
        <f t="shared" si="5"/>
        <v>0</v>
      </c>
      <c r="Z358" s="2">
        <f t="shared" si="6"/>
        <v>312.54</v>
      </c>
      <c r="AA358" s="2">
        <f t="shared" si="7"/>
        <v>372.54</v>
      </c>
      <c r="AB358" s="2" t="str">
        <f t="shared" si="8"/>
        <v>Monday</v>
      </c>
      <c r="AC358" s="2" t="str">
        <f t="shared" si="9"/>
        <v>Weekday</v>
      </c>
      <c r="AD358" s="2" t="str">
        <f t="shared" si="10"/>
        <v>jared.horn</v>
      </c>
      <c r="AE358" s="2" t="str">
        <f t="shared" si="11"/>
        <v>outlook</v>
      </c>
      <c r="AF358" s="2" t="str">
        <f t="shared" si="12"/>
        <v>Jared Horn</v>
      </c>
      <c r="AG358" s="2" t="str">
        <f t="shared" si="13"/>
        <v>Jared</v>
      </c>
      <c r="AH358" s="2" t="str">
        <f t="shared" si="14"/>
        <v>Horn</v>
      </c>
      <c r="AI358" s="2" t="str">
        <f t="shared" si="15"/>
        <v>Before Time</v>
      </c>
      <c r="AJ358" s="2" t="str">
        <f t="shared" si="16"/>
        <v>#NAME?</v>
      </c>
    </row>
    <row r="359" ht="14.25" customHeight="1">
      <c r="A359" s="2" t="s">
        <v>816</v>
      </c>
      <c r="B359" s="2" t="s">
        <v>817</v>
      </c>
      <c r="C359" s="2" t="s">
        <v>818</v>
      </c>
      <c r="D359" s="2">
        <v>42.0</v>
      </c>
      <c r="E359" s="2" t="s">
        <v>22</v>
      </c>
      <c r="F359" s="2" t="s">
        <v>69</v>
      </c>
      <c r="G359" s="2" t="s">
        <v>819</v>
      </c>
      <c r="H359" s="2" t="s">
        <v>2164</v>
      </c>
      <c r="I359" s="2" t="s">
        <v>820</v>
      </c>
      <c r="J359" s="2" t="s">
        <v>1589</v>
      </c>
      <c r="K359" s="3">
        <v>45474.0</v>
      </c>
      <c r="L359" s="2" t="s">
        <v>1590</v>
      </c>
      <c r="M359" s="2" t="s">
        <v>934</v>
      </c>
      <c r="N359" s="2">
        <v>107.47</v>
      </c>
      <c r="O359" s="2">
        <v>3.0</v>
      </c>
      <c r="P359" s="2" t="s">
        <v>56</v>
      </c>
      <c r="Q359" s="2">
        <v>4.0</v>
      </c>
      <c r="R359" s="2">
        <v>63.0</v>
      </c>
      <c r="S359" s="3">
        <v>45481.0</v>
      </c>
      <c r="T359" s="2" t="s">
        <v>1591</v>
      </c>
      <c r="U359" s="2">
        <f t="shared" si="1"/>
        <v>7</v>
      </c>
      <c r="V359" s="2">
        <f t="shared" si="2"/>
        <v>5</v>
      </c>
      <c r="W359" s="2">
        <f t="shared" si="3"/>
        <v>322.41</v>
      </c>
      <c r="X359" s="2">
        <f t="shared" si="4"/>
        <v>385.41</v>
      </c>
      <c r="Y359" s="2">
        <f t="shared" si="5"/>
        <v>0</v>
      </c>
      <c r="Z359" s="2">
        <f t="shared" si="6"/>
        <v>322.41</v>
      </c>
      <c r="AA359" s="2">
        <f t="shared" si="7"/>
        <v>322.41</v>
      </c>
      <c r="AB359" s="2" t="str">
        <f t="shared" si="8"/>
        <v>Monday</v>
      </c>
      <c r="AC359" s="2" t="str">
        <f t="shared" si="9"/>
        <v>Weekday</v>
      </c>
      <c r="AD359" s="2" t="str">
        <f t="shared" si="10"/>
        <v>edward.black</v>
      </c>
      <c r="AE359" s="2" t="str">
        <f t="shared" si="11"/>
        <v>gmail</v>
      </c>
      <c r="AF359" s="2" t="str">
        <f t="shared" si="12"/>
        <v>Edward Black</v>
      </c>
      <c r="AG359" s="2" t="str">
        <f t="shared" si="13"/>
        <v>Edward</v>
      </c>
      <c r="AH359" s="2" t="str">
        <f t="shared" si="14"/>
        <v>Black</v>
      </c>
      <c r="AI359" s="2" t="str">
        <f t="shared" si="15"/>
        <v>Late</v>
      </c>
      <c r="AJ359" s="2" t="str">
        <f t="shared" si="16"/>
        <v>#NAME?</v>
      </c>
    </row>
    <row r="360" ht="14.25" customHeight="1">
      <c r="A360" s="2" t="s">
        <v>1072</v>
      </c>
      <c r="B360" s="2" t="s">
        <v>211</v>
      </c>
      <c r="C360" s="2" t="s">
        <v>1073</v>
      </c>
      <c r="D360" s="2">
        <v>55.0</v>
      </c>
      <c r="E360" s="2" t="s">
        <v>34</v>
      </c>
      <c r="F360" s="2" t="s">
        <v>152</v>
      </c>
      <c r="G360" s="2" t="s">
        <v>1074</v>
      </c>
      <c r="H360" s="2" t="s">
        <v>2170</v>
      </c>
      <c r="I360" s="2" t="s">
        <v>1075</v>
      </c>
      <c r="J360" s="2" t="s">
        <v>1592</v>
      </c>
      <c r="K360" s="3">
        <v>45045.0</v>
      </c>
      <c r="L360" s="2" t="s">
        <v>1593</v>
      </c>
      <c r="M360" s="2" t="s">
        <v>107</v>
      </c>
      <c r="N360" s="2">
        <v>48.45</v>
      </c>
      <c r="O360" s="2">
        <v>3.0</v>
      </c>
      <c r="P360" s="2" t="s">
        <v>56</v>
      </c>
      <c r="Q360" s="2">
        <v>6.0</v>
      </c>
      <c r="R360" s="2">
        <v>58.0</v>
      </c>
      <c r="S360" s="3">
        <v>45046.0</v>
      </c>
      <c r="T360" s="2" t="s">
        <v>1594</v>
      </c>
      <c r="U360" s="2">
        <f t="shared" si="1"/>
        <v>1</v>
      </c>
      <c r="V360" s="2">
        <f t="shared" si="2"/>
        <v>6</v>
      </c>
      <c r="W360" s="2">
        <f t="shared" si="3"/>
        <v>145.35</v>
      </c>
      <c r="X360" s="2">
        <f t="shared" si="4"/>
        <v>203.35</v>
      </c>
      <c r="Y360" s="2">
        <f t="shared" si="5"/>
        <v>0</v>
      </c>
      <c r="Z360" s="2">
        <f t="shared" si="6"/>
        <v>145.35</v>
      </c>
      <c r="AA360" s="2">
        <f t="shared" si="7"/>
        <v>145.35</v>
      </c>
      <c r="AB360" s="2" t="str">
        <f t="shared" si="8"/>
        <v>Saturday</v>
      </c>
      <c r="AC360" s="2" t="str">
        <f t="shared" si="9"/>
        <v>Weekend</v>
      </c>
      <c r="AD360" s="2" t="str">
        <f t="shared" si="10"/>
        <v>mark.summers</v>
      </c>
      <c r="AE360" s="2" t="str">
        <f t="shared" si="11"/>
        <v>outlook</v>
      </c>
      <c r="AF360" s="2" t="str">
        <f t="shared" si="12"/>
        <v>Mark Summers</v>
      </c>
      <c r="AG360" s="2" t="str">
        <f t="shared" si="13"/>
        <v>Mark</v>
      </c>
      <c r="AH360" s="2" t="str">
        <f t="shared" si="14"/>
        <v>Summers</v>
      </c>
      <c r="AI360" s="2" t="str">
        <f t="shared" si="15"/>
        <v>Before Time</v>
      </c>
      <c r="AJ360" s="2" t="str">
        <f t="shared" si="16"/>
        <v>#NAME?</v>
      </c>
    </row>
    <row r="361" ht="14.25" customHeight="1">
      <c r="A361" s="2" t="s">
        <v>428</v>
      </c>
      <c r="B361" s="2" t="s">
        <v>429</v>
      </c>
      <c r="C361" s="2" t="s">
        <v>430</v>
      </c>
      <c r="D361" s="2">
        <v>28.0</v>
      </c>
      <c r="E361" s="2" t="s">
        <v>45</v>
      </c>
      <c r="F361" s="2" t="s">
        <v>69</v>
      </c>
      <c r="G361" s="2" t="s">
        <v>431</v>
      </c>
      <c r="H361" s="2" t="s">
        <v>2132</v>
      </c>
      <c r="I361" s="2" t="s">
        <v>432</v>
      </c>
      <c r="J361" s="2" t="s">
        <v>1595</v>
      </c>
      <c r="K361" s="3">
        <v>45600.0</v>
      </c>
      <c r="L361" s="2" t="s">
        <v>1596</v>
      </c>
      <c r="M361" s="2" t="s">
        <v>119</v>
      </c>
      <c r="N361" s="2">
        <v>257.06</v>
      </c>
      <c r="O361" s="2">
        <v>4.0</v>
      </c>
      <c r="P361" s="2" t="s">
        <v>89</v>
      </c>
      <c r="Q361" s="2">
        <v>6.0</v>
      </c>
      <c r="R361" s="2">
        <v>69.0</v>
      </c>
      <c r="S361" s="3">
        <v>45603.0</v>
      </c>
      <c r="T361" s="2" t="s">
        <v>1597</v>
      </c>
      <c r="U361" s="2">
        <f t="shared" si="1"/>
        <v>3</v>
      </c>
      <c r="V361" s="2">
        <f t="shared" si="2"/>
        <v>11</v>
      </c>
      <c r="W361" s="2">
        <f t="shared" si="3"/>
        <v>1028.24</v>
      </c>
      <c r="X361" s="2">
        <f t="shared" si="4"/>
        <v>1097.24</v>
      </c>
      <c r="Y361" s="2">
        <f t="shared" si="5"/>
        <v>0</v>
      </c>
      <c r="Z361" s="2">
        <f t="shared" si="6"/>
        <v>1028.24</v>
      </c>
      <c r="AA361" s="2">
        <f t="shared" si="7"/>
        <v>1097.24</v>
      </c>
      <c r="AB361" s="2" t="str">
        <f t="shared" si="8"/>
        <v>Monday</v>
      </c>
      <c r="AC361" s="2" t="str">
        <f t="shared" si="9"/>
        <v>Weekday</v>
      </c>
      <c r="AD361" s="2" t="str">
        <f t="shared" si="10"/>
        <v>mary.knight</v>
      </c>
      <c r="AE361" s="2" t="str">
        <f t="shared" si="11"/>
        <v>yahoo</v>
      </c>
      <c r="AF361" s="2" t="str">
        <f t="shared" si="12"/>
        <v>Mary Knight</v>
      </c>
      <c r="AG361" s="2" t="str">
        <f t="shared" si="13"/>
        <v>Mary</v>
      </c>
      <c r="AH361" s="2" t="str">
        <f t="shared" si="14"/>
        <v>Knight</v>
      </c>
      <c r="AI361" s="2" t="str">
        <f t="shared" si="15"/>
        <v>Before Time</v>
      </c>
      <c r="AJ361" s="2" t="str">
        <f t="shared" si="16"/>
        <v>#NAME?</v>
      </c>
    </row>
    <row r="362" ht="14.25" customHeight="1">
      <c r="A362" s="2" t="s">
        <v>539</v>
      </c>
      <c r="B362" s="2" t="s">
        <v>540</v>
      </c>
      <c r="C362" s="2" t="s">
        <v>541</v>
      </c>
      <c r="D362" s="2">
        <v>33.0</v>
      </c>
      <c r="E362" s="2" t="s">
        <v>45</v>
      </c>
      <c r="F362" s="2" t="s">
        <v>161</v>
      </c>
      <c r="G362" s="2" t="s">
        <v>542</v>
      </c>
      <c r="H362" s="2" t="s">
        <v>2145</v>
      </c>
      <c r="I362" s="2" t="s">
        <v>543</v>
      </c>
      <c r="J362" s="2" t="s">
        <v>1598</v>
      </c>
      <c r="K362" s="3">
        <v>45553.0</v>
      </c>
      <c r="L362" s="2" t="s">
        <v>1599</v>
      </c>
      <c r="M362" s="2" t="s">
        <v>583</v>
      </c>
      <c r="N362" s="2">
        <v>403.03</v>
      </c>
      <c r="O362" s="2">
        <v>4.0</v>
      </c>
      <c r="P362" s="2" t="s">
        <v>89</v>
      </c>
      <c r="Q362" s="2">
        <v>7.0</v>
      </c>
      <c r="R362" s="2">
        <v>65.0</v>
      </c>
      <c r="S362" s="3">
        <v>45556.0</v>
      </c>
      <c r="T362" s="2" t="s">
        <v>1600</v>
      </c>
      <c r="U362" s="2">
        <f t="shared" si="1"/>
        <v>3</v>
      </c>
      <c r="V362" s="2">
        <f t="shared" si="2"/>
        <v>19</v>
      </c>
      <c r="W362" s="2">
        <f t="shared" si="3"/>
        <v>1612.12</v>
      </c>
      <c r="X362" s="2">
        <f t="shared" si="4"/>
        <v>1677.12</v>
      </c>
      <c r="Y362" s="2">
        <f t="shared" si="5"/>
        <v>0</v>
      </c>
      <c r="Z362" s="2">
        <f t="shared" si="6"/>
        <v>1612.12</v>
      </c>
      <c r="AA362" s="2">
        <f t="shared" si="7"/>
        <v>1677.12</v>
      </c>
      <c r="AB362" s="2" t="str">
        <f t="shared" si="8"/>
        <v>Wednesday</v>
      </c>
      <c r="AC362" s="2" t="str">
        <f t="shared" si="9"/>
        <v>Weekday</v>
      </c>
      <c r="AD362" s="2" t="str">
        <f t="shared" si="10"/>
        <v>jodi.whitney</v>
      </c>
      <c r="AE362" s="2" t="str">
        <f t="shared" si="11"/>
        <v>yahoo</v>
      </c>
      <c r="AF362" s="2" t="str">
        <f t="shared" si="12"/>
        <v>Jodi Whitney</v>
      </c>
      <c r="AG362" s="2" t="str">
        <f t="shared" si="13"/>
        <v>Jodi</v>
      </c>
      <c r="AH362" s="2" t="str">
        <f t="shared" si="14"/>
        <v>Whitney</v>
      </c>
      <c r="AI362" s="2" t="str">
        <f t="shared" si="15"/>
        <v>Before Time</v>
      </c>
      <c r="AJ362" s="2" t="str">
        <f t="shared" si="16"/>
        <v>#NAME?</v>
      </c>
    </row>
    <row r="363" ht="14.25" customHeight="1">
      <c r="A363" s="2" t="s">
        <v>664</v>
      </c>
      <c r="B363" s="2" t="s">
        <v>665</v>
      </c>
      <c r="C363" s="2" t="s">
        <v>666</v>
      </c>
      <c r="D363" s="2">
        <v>38.0</v>
      </c>
      <c r="E363" s="2" t="s">
        <v>34</v>
      </c>
      <c r="F363" s="2" t="s">
        <v>213</v>
      </c>
      <c r="G363" s="2" t="s">
        <v>667</v>
      </c>
      <c r="H363" s="2" t="s">
        <v>2152</v>
      </c>
      <c r="I363" s="2" t="s">
        <v>668</v>
      </c>
      <c r="J363" s="2" t="s">
        <v>1601</v>
      </c>
      <c r="K363" s="3">
        <v>45059.0</v>
      </c>
      <c r="L363" s="2" t="s">
        <v>1602</v>
      </c>
      <c r="M363" s="2" t="s">
        <v>107</v>
      </c>
      <c r="N363" s="2">
        <v>48.45</v>
      </c>
      <c r="O363" s="2">
        <v>1.0</v>
      </c>
      <c r="P363" s="2" t="s">
        <v>89</v>
      </c>
      <c r="Q363" s="2">
        <v>2.0</v>
      </c>
      <c r="R363" s="2">
        <v>41.0</v>
      </c>
      <c r="S363" s="3">
        <v>45062.0</v>
      </c>
      <c r="T363" s="2" t="s">
        <v>1603</v>
      </c>
      <c r="U363" s="2">
        <f t="shared" si="1"/>
        <v>3</v>
      </c>
      <c r="V363" s="2">
        <f t="shared" si="2"/>
        <v>15</v>
      </c>
      <c r="W363" s="2">
        <f t="shared" si="3"/>
        <v>48.45</v>
      </c>
      <c r="X363" s="2">
        <f t="shared" si="4"/>
        <v>89.45</v>
      </c>
      <c r="Y363" s="2">
        <f t="shared" si="5"/>
        <v>0</v>
      </c>
      <c r="Z363" s="2">
        <f t="shared" si="6"/>
        <v>48.45</v>
      </c>
      <c r="AA363" s="2">
        <f t="shared" si="7"/>
        <v>89.45</v>
      </c>
      <c r="AB363" s="2" t="str">
        <f t="shared" si="8"/>
        <v>Saturday</v>
      </c>
      <c r="AC363" s="2" t="str">
        <f t="shared" si="9"/>
        <v>Weekend</v>
      </c>
      <c r="AD363" s="2" t="str">
        <f t="shared" si="10"/>
        <v>christy.chang</v>
      </c>
      <c r="AE363" s="2" t="str">
        <f t="shared" si="11"/>
        <v>outlook</v>
      </c>
      <c r="AF363" s="2" t="str">
        <f t="shared" si="12"/>
        <v>Christy Chang</v>
      </c>
      <c r="AG363" s="2" t="str">
        <f t="shared" si="13"/>
        <v>Christy</v>
      </c>
      <c r="AH363" s="2" t="str">
        <f t="shared" si="14"/>
        <v>Chang</v>
      </c>
      <c r="AI363" s="2" t="str">
        <f t="shared" si="15"/>
        <v>Late</v>
      </c>
      <c r="AJ363" s="2" t="str">
        <f t="shared" si="16"/>
        <v>#NAME?</v>
      </c>
    </row>
    <row r="364" ht="14.25" customHeight="1">
      <c r="A364" s="2" t="s">
        <v>672</v>
      </c>
      <c r="B364" s="2" t="s">
        <v>673</v>
      </c>
      <c r="C364" s="2" t="s">
        <v>674</v>
      </c>
      <c r="D364" s="2">
        <v>68.0</v>
      </c>
      <c r="E364" s="2" t="s">
        <v>22</v>
      </c>
      <c r="F364" s="2" t="s">
        <v>213</v>
      </c>
      <c r="G364" s="2" t="s">
        <v>675</v>
      </c>
      <c r="H364" s="2" t="s">
        <v>2153</v>
      </c>
      <c r="I364" s="2" t="s">
        <v>676</v>
      </c>
      <c r="J364" s="2" t="s">
        <v>1604</v>
      </c>
      <c r="K364" s="3">
        <v>45007.0</v>
      </c>
      <c r="L364" s="2" t="s">
        <v>1605</v>
      </c>
      <c r="M364" s="2" t="s">
        <v>411</v>
      </c>
      <c r="N364" s="2">
        <v>44.5</v>
      </c>
      <c r="O364" s="2">
        <v>5.0</v>
      </c>
      <c r="P364" s="2" t="s">
        <v>89</v>
      </c>
      <c r="Q364" s="2">
        <v>4.0</v>
      </c>
      <c r="R364" s="2">
        <v>55.0</v>
      </c>
      <c r="S364" s="3">
        <v>45012.0</v>
      </c>
      <c r="T364" s="2" t="s">
        <v>1606</v>
      </c>
      <c r="U364" s="2">
        <f t="shared" si="1"/>
        <v>5</v>
      </c>
      <c r="V364" s="2">
        <f t="shared" si="2"/>
        <v>14</v>
      </c>
      <c r="W364" s="2">
        <f t="shared" si="3"/>
        <v>222.5</v>
      </c>
      <c r="X364" s="2">
        <f t="shared" si="4"/>
        <v>277.5</v>
      </c>
      <c r="Y364" s="2">
        <f t="shared" si="5"/>
        <v>0</v>
      </c>
      <c r="Z364" s="2">
        <f t="shared" si="6"/>
        <v>222.5</v>
      </c>
      <c r="AA364" s="2">
        <f t="shared" si="7"/>
        <v>277.5</v>
      </c>
      <c r="AB364" s="2" t="str">
        <f t="shared" si="8"/>
        <v>Wednesday</v>
      </c>
      <c r="AC364" s="2" t="str">
        <f t="shared" si="9"/>
        <v>Weekday</v>
      </c>
      <c r="AD364" s="2" t="str">
        <f t="shared" si="10"/>
        <v>troy.gomez</v>
      </c>
      <c r="AE364" s="2" t="str">
        <f t="shared" si="11"/>
        <v>outlook</v>
      </c>
      <c r="AF364" s="2" t="str">
        <f t="shared" si="12"/>
        <v>Troy Gomez</v>
      </c>
      <c r="AG364" s="2" t="str">
        <f t="shared" si="13"/>
        <v>Troy</v>
      </c>
      <c r="AH364" s="2" t="str">
        <f t="shared" si="14"/>
        <v>Gomez</v>
      </c>
      <c r="AI364" s="2" t="str">
        <f t="shared" si="15"/>
        <v>Late</v>
      </c>
      <c r="AJ364" s="2" t="str">
        <f t="shared" si="16"/>
        <v>#NAME?</v>
      </c>
    </row>
    <row r="365" ht="14.25" customHeight="1">
      <c r="A365" s="2" t="s">
        <v>1607</v>
      </c>
      <c r="B365" s="2" t="s">
        <v>266</v>
      </c>
      <c r="C365" s="2" t="s">
        <v>1608</v>
      </c>
      <c r="D365" s="2">
        <v>62.0</v>
      </c>
      <c r="E365" s="2" t="s">
        <v>34</v>
      </c>
      <c r="F365" s="2" t="s">
        <v>35</v>
      </c>
      <c r="G365" s="2" t="s">
        <v>1609</v>
      </c>
      <c r="H365" s="2" t="s">
        <v>2186</v>
      </c>
      <c r="I365" s="2" t="s">
        <v>1610</v>
      </c>
      <c r="J365" s="2" t="s">
        <v>1611</v>
      </c>
      <c r="K365" s="3">
        <v>45678.0</v>
      </c>
      <c r="L365" s="2" t="s">
        <v>1612</v>
      </c>
      <c r="M365" s="2" t="s">
        <v>243</v>
      </c>
      <c r="N365" s="2">
        <v>128.14</v>
      </c>
      <c r="O365" s="2">
        <v>5.0</v>
      </c>
      <c r="P365" s="2" t="s">
        <v>78</v>
      </c>
      <c r="Q365" s="2">
        <v>7.0</v>
      </c>
      <c r="R365" s="2">
        <v>68.0</v>
      </c>
      <c r="S365" s="3">
        <v>45685.0</v>
      </c>
      <c r="T365" s="2" t="s">
        <v>1613</v>
      </c>
      <c r="U365" s="2">
        <f t="shared" si="1"/>
        <v>7</v>
      </c>
      <c r="V365" s="2">
        <f t="shared" si="2"/>
        <v>7</v>
      </c>
      <c r="W365" s="2">
        <f t="shared" si="3"/>
        <v>640.7</v>
      </c>
      <c r="X365" s="2">
        <f t="shared" si="4"/>
        <v>708.7</v>
      </c>
      <c r="Y365" s="2">
        <f t="shared" si="5"/>
        <v>0</v>
      </c>
      <c r="Z365" s="2">
        <f t="shared" si="6"/>
        <v>640.7</v>
      </c>
      <c r="AA365" s="2">
        <f t="shared" si="7"/>
        <v>708.7</v>
      </c>
      <c r="AB365" s="2" t="str">
        <f t="shared" si="8"/>
        <v>Tuesday</v>
      </c>
      <c r="AC365" s="2" t="str">
        <f t="shared" si="9"/>
        <v>Weekday</v>
      </c>
      <c r="AD365" s="2" t="str">
        <f t="shared" si="10"/>
        <v>lauren.crane</v>
      </c>
      <c r="AE365" s="2" t="str">
        <f t="shared" si="11"/>
        <v>yahoo</v>
      </c>
      <c r="AF365" s="2" t="str">
        <f t="shared" si="12"/>
        <v>Lauren Crane</v>
      </c>
      <c r="AG365" s="2" t="str">
        <f t="shared" si="13"/>
        <v>Lauren</v>
      </c>
      <c r="AH365" s="2" t="str">
        <f t="shared" si="14"/>
        <v>Crane</v>
      </c>
      <c r="AI365" s="2" t="str">
        <f t="shared" si="15"/>
        <v>InTime</v>
      </c>
      <c r="AJ365" s="2" t="str">
        <f t="shared" si="16"/>
        <v>#NAME?</v>
      </c>
    </row>
    <row r="366" ht="14.25" customHeight="1">
      <c r="A366" s="2" t="s">
        <v>743</v>
      </c>
      <c r="B366" s="2" t="s">
        <v>744</v>
      </c>
      <c r="C366" s="2" t="s">
        <v>745</v>
      </c>
      <c r="D366" s="2">
        <v>43.0</v>
      </c>
      <c r="E366" s="2" t="s">
        <v>45</v>
      </c>
      <c r="F366" s="2" t="s">
        <v>152</v>
      </c>
      <c r="G366" s="2" t="s">
        <v>746</v>
      </c>
      <c r="H366" s="2" t="s">
        <v>2160</v>
      </c>
      <c r="I366" s="2" t="s">
        <v>747</v>
      </c>
      <c r="J366" s="2" t="s">
        <v>1614</v>
      </c>
      <c r="K366" s="3">
        <v>44978.0</v>
      </c>
      <c r="L366" s="2" t="s">
        <v>1615</v>
      </c>
      <c r="M366" s="2" t="s">
        <v>423</v>
      </c>
      <c r="N366" s="2">
        <v>369.03</v>
      </c>
      <c r="O366" s="2">
        <v>2.0</v>
      </c>
      <c r="P366" s="2" t="s">
        <v>89</v>
      </c>
      <c r="Q366" s="2">
        <v>6.0</v>
      </c>
      <c r="R366" s="2">
        <v>55.0</v>
      </c>
      <c r="S366" s="3">
        <v>44981.0</v>
      </c>
      <c r="T366" s="2" t="s">
        <v>1616</v>
      </c>
      <c r="U366" s="2">
        <f t="shared" si="1"/>
        <v>3</v>
      </c>
      <c r="V366" s="2">
        <f t="shared" si="2"/>
        <v>6</v>
      </c>
      <c r="W366" s="2">
        <f t="shared" si="3"/>
        <v>738.06</v>
      </c>
      <c r="X366" s="2">
        <f t="shared" si="4"/>
        <v>793.06</v>
      </c>
      <c r="Y366" s="2">
        <f t="shared" si="5"/>
        <v>0</v>
      </c>
      <c r="Z366" s="2">
        <f t="shared" si="6"/>
        <v>738.06</v>
      </c>
      <c r="AA366" s="2">
        <f t="shared" si="7"/>
        <v>793.06</v>
      </c>
      <c r="AB366" s="2" t="str">
        <f t="shared" si="8"/>
        <v>Tuesday</v>
      </c>
      <c r="AC366" s="2" t="str">
        <f t="shared" si="9"/>
        <v>Weekday</v>
      </c>
      <c r="AD366" s="2" t="str">
        <f t="shared" si="10"/>
        <v>barbara.fuller</v>
      </c>
      <c r="AE366" s="2" t="str">
        <f t="shared" si="11"/>
        <v>rediffmail</v>
      </c>
      <c r="AF366" s="2" t="str">
        <f t="shared" si="12"/>
        <v>Barbara Fuller</v>
      </c>
      <c r="AG366" s="2" t="str">
        <f t="shared" si="13"/>
        <v>Barbara</v>
      </c>
      <c r="AH366" s="2" t="str">
        <f t="shared" si="14"/>
        <v>Fuller</v>
      </c>
      <c r="AI366" s="2" t="str">
        <f t="shared" si="15"/>
        <v>Before Time</v>
      </c>
      <c r="AJ366" s="2" t="str">
        <f t="shared" si="16"/>
        <v>#NAME?</v>
      </c>
    </row>
    <row r="367" ht="14.25" customHeight="1">
      <c r="A367" s="2" t="s">
        <v>1231</v>
      </c>
      <c r="B367" s="2" t="s">
        <v>1232</v>
      </c>
      <c r="C367" s="2" t="s">
        <v>1233</v>
      </c>
      <c r="D367" s="2">
        <v>55.0</v>
      </c>
      <c r="E367" s="2" t="s">
        <v>34</v>
      </c>
      <c r="F367" s="2" t="s">
        <v>152</v>
      </c>
      <c r="G367" s="2" t="s">
        <v>1234</v>
      </c>
      <c r="H367" s="2" t="s">
        <v>2178</v>
      </c>
      <c r="I367" s="2" t="s">
        <v>1235</v>
      </c>
      <c r="J367" s="2" t="s">
        <v>1617</v>
      </c>
      <c r="K367" s="3">
        <v>45421.0</v>
      </c>
      <c r="L367" s="2" t="s">
        <v>1618</v>
      </c>
      <c r="M367" s="2" t="s">
        <v>119</v>
      </c>
      <c r="N367" s="2">
        <v>257.06</v>
      </c>
      <c r="O367" s="2">
        <v>1.0</v>
      </c>
      <c r="P367" s="2" t="s">
        <v>78</v>
      </c>
      <c r="Q367" s="2">
        <v>4.0</v>
      </c>
      <c r="R367" s="2">
        <v>42.0</v>
      </c>
      <c r="S367" s="3">
        <v>45423.0</v>
      </c>
      <c r="T367" s="2" t="s">
        <v>1619</v>
      </c>
      <c r="U367" s="2">
        <f t="shared" si="1"/>
        <v>2</v>
      </c>
      <c r="V367" s="2">
        <f t="shared" si="2"/>
        <v>5</v>
      </c>
      <c r="W367" s="2">
        <f t="shared" si="3"/>
        <v>257.06</v>
      </c>
      <c r="X367" s="2">
        <f t="shared" si="4"/>
        <v>299.06</v>
      </c>
      <c r="Y367" s="2">
        <f t="shared" si="5"/>
        <v>0</v>
      </c>
      <c r="Z367" s="2">
        <f t="shared" si="6"/>
        <v>257.06</v>
      </c>
      <c r="AA367" s="2">
        <f t="shared" si="7"/>
        <v>299.06</v>
      </c>
      <c r="AB367" s="2" t="str">
        <f t="shared" si="8"/>
        <v>Thursday</v>
      </c>
      <c r="AC367" s="2" t="str">
        <f t="shared" si="9"/>
        <v>Weekday</v>
      </c>
      <c r="AD367" s="2" t="str">
        <f t="shared" si="10"/>
        <v>hannah.gutierrez</v>
      </c>
      <c r="AE367" s="2" t="str">
        <f t="shared" si="11"/>
        <v>yahoo</v>
      </c>
      <c r="AF367" s="2" t="str">
        <f t="shared" si="12"/>
        <v>Hannah Gutierrez</v>
      </c>
      <c r="AG367" s="2" t="str">
        <f t="shared" si="13"/>
        <v>Hannah</v>
      </c>
      <c r="AH367" s="2" t="str">
        <f t="shared" si="14"/>
        <v>Gutierrez</v>
      </c>
      <c r="AI367" s="2" t="str">
        <f t="shared" si="15"/>
        <v>Before Time</v>
      </c>
      <c r="AJ367" s="2" t="str">
        <f t="shared" si="16"/>
        <v>#NAME?</v>
      </c>
    </row>
    <row r="368" ht="14.25" customHeight="1">
      <c r="A368" s="2" t="s">
        <v>194</v>
      </c>
      <c r="B368" s="2" t="s">
        <v>195</v>
      </c>
      <c r="C368" s="2" t="s">
        <v>196</v>
      </c>
      <c r="D368" s="2">
        <v>23.0</v>
      </c>
      <c r="E368" s="2" t="s">
        <v>22</v>
      </c>
      <c r="F368" s="2" t="s">
        <v>83</v>
      </c>
      <c r="G368" s="2" t="s">
        <v>197</v>
      </c>
      <c r="H368" s="2" t="s">
        <v>2109</v>
      </c>
      <c r="I368" s="2" t="s">
        <v>198</v>
      </c>
      <c r="J368" s="2" t="s">
        <v>1620</v>
      </c>
      <c r="K368" s="3">
        <v>45225.0</v>
      </c>
      <c r="L368" s="2" t="s">
        <v>1621</v>
      </c>
      <c r="M368" s="2" t="s">
        <v>864</v>
      </c>
      <c r="N368" s="2">
        <v>292.15</v>
      </c>
      <c r="O368" s="2">
        <v>3.0</v>
      </c>
      <c r="P368" s="2" t="s">
        <v>56</v>
      </c>
      <c r="Q368" s="2">
        <v>3.0</v>
      </c>
      <c r="R368" s="2">
        <v>51.0</v>
      </c>
      <c r="S368" s="3">
        <v>45227.0</v>
      </c>
      <c r="T368" s="2" t="s">
        <v>1622</v>
      </c>
      <c r="U368" s="2">
        <f t="shared" si="1"/>
        <v>2</v>
      </c>
      <c r="V368" s="2">
        <f t="shared" si="2"/>
        <v>8</v>
      </c>
      <c r="W368" s="2">
        <f t="shared" si="3"/>
        <v>876.45</v>
      </c>
      <c r="X368" s="2">
        <f t="shared" si="4"/>
        <v>927.45</v>
      </c>
      <c r="Y368" s="2">
        <f t="shared" si="5"/>
        <v>0</v>
      </c>
      <c r="Z368" s="2">
        <f t="shared" si="6"/>
        <v>876.45</v>
      </c>
      <c r="AA368" s="2">
        <f t="shared" si="7"/>
        <v>876.45</v>
      </c>
      <c r="AB368" s="2" t="str">
        <f t="shared" si="8"/>
        <v>Thursday</v>
      </c>
      <c r="AC368" s="2" t="str">
        <f t="shared" si="9"/>
        <v>Weekday</v>
      </c>
      <c r="AD368" s="2" t="str">
        <f t="shared" si="10"/>
        <v>deborah.bates</v>
      </c>
      <c r="AE368" s="2" t="str">
        <f t="shared" si="11"/>
        <v>yahoo</v>
      </c>
      <c r="AF368" s="2" t="str">
        <f t="shared" si="12"/>
        <v>Deborah Bates</v>
      </c>
      <c r="AG368" s="2" t="str">
        <f t="shared" si="13"/>
        <v>Deborah</v>
      </c>
      <c r="AH368" s="2" t="str">
        <f t="shared" si="14"/>
        <v>Bates</v>
      </c>
      <c r="AI368" s="2" t="str">
        <f t="shared" si="15"/>
        <v>Before Time</v>
      </c>
      <c r="AJ368" s="2" t="str">
        <f t="shared" si="16"/>
        <v>#NAME?</v>
      </c>
    </row>
    <row r="369" ht="14.25" customHeight="1">
      <c r="A369" s="2" t="s">
        <v>1239</v>
      </c>
      <c r="B369" s="2" t="s">
        <v>59</v>
      </c>
      <c r="C369" s="2" t="s">
        <v>1240</v>
      </c>
      <c r="D369" s="2">
        <v>40.0</v>
      </c>
      <c r="E369" s="2" t="s">
        <v>22</v>
      </c>
      <c r="F369" s="2" t="s">
        <v>69</v>
      </c>
      <c r="G369" s="2" t="s">
        <v>1241</v>
      </c>
      <c r="H369" s="2" t="s">
        <v>2179</v>
      </c>
      <c r="I369" s="2" t="s">
        <v>1242</v>
      </c>
      <c r="J369" s="2" t="s">
        <v>1623</v>
      </c>
      <c r="K369" s="3">
        <v>45193.0</v>
      </c>
      <c r="L369" s="2" t="s">
        <v>1624</v>
      </c>
      <c r="M369" s="2" t="s">
        <v>239</v>
      </c>
      <c r="N369" s="2">
        <v>282.63</v>
      </c>
      <c r="O369" s="2">
        <v>2.0</v>
      </c>
      <c r="P369" s="2" t="s">
        <v>51</v>
      </c>
      <c r="Q369" s="2">
        <v>6.0</v>
      </c>
      <c r="R369" s="2">
        <v>62.0</v>
      </c>
      <c r="S369" s="3">
        <v>45194.0</v>
      </c>
      <c r="T369" s="2" t="s">
        <v>1625</v>
      </c>
      <c r="U369" s="2">
        <f t="shared" si="1"/>
        <v>1</v>
      </c>
      <c r="V369" s="2">
        <f t="shared" si="2"/>
        <v>15</v>
      </c>
      <c r="W369" s="2">
        <f t="shared" si="3"/>
        <v>565.26</v>
      </c>
      <c r="X369" s="2">
        <f t="shared" si="4"/>
        <v>627.26</v>
      </c>
      <c r="Y369" s="2">
        <f t="shared" si="5"/>
        <v>0</v>
      </c>
      <c r="Z369" s="2">
        <f t="shared" si="6"/>
        <v>565.26</v>
      </c>
      <c r="AA369" s="2">
        <f t="shared" si="7"/>
        <v>627.26</v>
      </c>
      <c r="AB369" s="2" t="str">
        <f t="shared" si="8"/>
        <v>Sunday</v>
      </c>
      <c r="AC369" s="2" t="str">
        <f t="shared" si="9"/>
        <v>Weekend</v>
      </c>
      <c r="AD369" s="2" t="str">
        <f t="shared" si="10"/>
        <v>angela.casey</v>
      </c>
      <c r="AE369" s="2" t="str">
        <f t="shared" si="11"/>
        <v>gmail</v>
      </c>
      <c r="AF369" s="2" t="str">
        <f t="shared" si="12"/>
        <v>Angela Casey</v>
      </c>
      <c r="AG369" s="2" t="str">
        <f t="shared" si="13"/>
        <v>Angela</v>
      </c>
      <c r="AH369" s="2" t="str">
        <f t="shared" si="14"/>
        <v>Casey</v>
      </c>
      <c r="AI369" s="2" t="str">
        <f t="shared" si="15"/>
        <v>Before Time</v>
      </c>
      <c r="AJ369" s="2" t="str">
        <f t="shared" si="16"/>
        <v>#NAME?</v>
      </c>
    </row>
    <row r="370" ht="14.25" customHeight="1">
      <c r="A370" s="2" t="s">
        <v>158</v>
      </c>
      <c r="B370" s="2" t="s">
        <v>159</v>
      </c>
      <c r="C370" s="2" t="s">
        <v>160</v>
      </c>
      <c r="D370" s="2">
        <v>46.0</v>
      </c>
      <c r="E370" s="2" t="s">
        <v>22</v>
      </c>
      <c r="F370" s="2" t="s">
        <v>161</v>
      </c>
      <c r="G370" s="2" t="s">
        <v>162</v>
      </c>
      <c r="H370" s="2" t="s">
        <v>2105</v>
      </c>
      <c r="I370" s="2" t="s">
        <v>163</v>
      </c>
      <c r="J370" s="2" t="s">
        <v>1626</v>
      </c>
      <c r="K370" s="3">
        <v>45473.0</v>
      </c>
      <c r="L370" s="2" t="s">
        <v>1627</v>
      </c>
      <c r="M370" s="2" t="s">
        <v>166</v>
      </c>
      <c r="N370" s="2">
        <v>272.51</v>
      </c>
      <c r="O370" s="2">
        <v>3.0</v>
      </c>
      <c r="P370" s="2" t="s">
        <v>29</v>
      </c>
      <c r="Q370" s="2">
        <v>5.0</v>
      </c>
      <c r="R370" s="2">
        <v>66.0</v>
      </c>
      <c r="S370" s="3">
        <v>45479.0</v>
      </c>
      <c r="T370" s="2" t="s">
        <v>1628</v>
      </c>
      <c r="U370" s="2">
        <f t="shared" si="1"/>
        <v>6</v>
      </c>
      <c r="V370" s="2">
        <f t="shared" si="2"/>
        <v>11</v>
      </c>
      <c r="W370" s="2">
        <f t="shared" si="3"/>
        <v>817.53</v>
      </c>
      <c r="X370" s="2">
        <f t="shared" si="4"/>
        <v>883.53</v>
      </c>
      <c r="Y370" s="2">
        <f t="shared" si="5"/>
        <v>0</v>
      </c>
      <c r="Z370" s="2">
        <f t="shared" si="6"/>
        <v>817.53</v>
      </c>
      <c r="AA370" s="2">
        <f t="shared" si="7"/>
        <v>883.53</v>
      </c>
      <c r="AB370" s="2" t="str">
        <f t="shared" si="8"/>
        <v>Sunday</v>
      </c>
      <c r="AC370" s="2" t="str">
        <f t="shared" si="9"/>
        <v>Weekend</v>
      </c>
      <c r="AD370" s="2" t="str">
        <f t="shared" si="10"/>
        <v>erin.miller</v>
      </c>
      <c r="AE370" s="2" t="str">
        <f t="shared" si="11"/>
        <v>gmail</v>
      </c>
      <c r="AF370" s="2" t="str">
        <f t="shared" si="12"/>
        <v>Erin Miller</v>
      </c>
      <c r="AG370" s="2" t="str">
        <f t="shared" si="13"/>
        <v>Erin</v>
      </c>
      <c r="AH370" s="2" t="str">
        <f t="shared" si="14"/>
        <v>Miller</v>
      </c>
      <c r="AI370" s="2" t="str">
        <f t="shared" si="15"/>
        <v>Late</v>
      </c>
      <c r="AJ370" s="2" t="str">
        <f t="shared" si="16"/>
        <v>#NAME?</v>
      </c>
    </row>
    <row r="371" ht="14.25" customHeight="1">
      <c r="A371" s="2" t="s">
        <v>413</v>
      </c>
      <c r="B371" s="2" t="s">
        <v>414</v>
      </c>
      <c r="C371" s="2" t="s">
        <v>415</v>
      </c>
      <c r="D371" s="2">
        <v>52.0</v>
      </c>
      <c r="E371" s="2" t="s">
        <v>45</v>
      </c>
      <c r="F371" s="2" t="s">
        <v>213</v>
      </c>
      <c r="G371" s="2" t="s">
        <v>416</v>
      </c>
      <c r="H371" s="2" t="s">
        <v>2131</v>
      </c>
      <c r="I371" s="2" t="s">
        <v>417</v>
      </c>
      <c r="J371" s="2" t="s">
        <v>1629</v>
      </c>
      <c r="K371" s="3">
        <v>44975.0</v>
      </c>
      <c r="L371" s="2" t="s">
        <v>1630</v>
      </c>
      <c r="M371" s="2" t="s">
        <v>74</v>
      </c>
      <c r="N371" s="2">
        <v>330.11</v>
      </c>
      <c r="O371" s="2">
        <v>2.0</v>
      </c>
      <c r="P371" s="2" t="s">
        <v>56</v>
      </c>
      <c r="Q371" s="2">
        <v>3.0</v>
      </c>
      <c r="R371" s="2">
        <v>55.0</v>
      </c>
      <c r="S371" s="3">
        <v>44976.0</v>
      </c>
      <c r="T371" s="2" t="s">
        <v>1631</v>
      </c>
      <c r="U371" s="2">
        <f t="shared" si="1"/>
        <v>1</v>
      </c>
      <c r="V371" s="2">
        <f t="shared" si="2"/>
        <v>8</v>
      </c>
      <c r="W371" s="2">
        <f t="shared" si="3"/>
        <v>660.22</v>
      </c>
      <c r="X371" s="2">
        <f t="shared" si="4"/>
        <v>715.22</v>
      </c>
      <c r="Y371" s="2">
        <f t="shared" si="5"/>
        <v>0</v>
      </c>
      <c r="Z371" s="2">
        <f t="shared" si="6"/>
        <v>660.22</v>
      </c>
      <c r="AA371" s="2">
        <f t="shared" si="7"/>
        <v>660.22</v>
      </c>
      <c r="AB371" s="2" t="str">
        <f t="shared" si="8"/>
        <v>Saturday</v>
      </c>
      <c r="AC371" s="2" t="str">
        <f t="shared" si="9"/>
        <v>Weekend</v>
      </c>
      <c r="AD371" s="2" t="str">
        <f t="shared" si="10"/>
        <v>amanda.howard</v>
      </c>
      <c r="AE371" s="2" t="str">
        <f t="shared" si="11"/>
        <v>outlook</v>
      </c>
      <c r="AF371" s="2" t="str">
        <f t="shared" si="12"/>
        <v>Amanda Howard</v>
      </c>
      <c r="AG371" s="2" t="str">
        <f t="shared" si="13"/>
        <v>Amanda</v>
      </c>
      <c r="AH371" s="2" t="str">
        <f t="shared" si="14"/>
        <v>Howard</v>
      </c>
      <c r="AI371" s="2" t="str">
        <f t="shared" si="15"/>
        <v>Before Time</v>
      </c>
      <c r="AJ371" s="2" t="str">
        <f t="shared" si="16"/>
        <v>#NAME?</v>
      </c>
    </row>
    <row r="372" ht="14.25" customHeight="1">
      <c r="A372" s="2" t="s">
        <v>149</v>
      </c>
      <c r="B372" s="2" t="s">
        <v>150</v>
      </c>
      <c r="C372" s="2" t="s">
        <v>151</v>
      </c>
      <c r="D372" s="2">
        <v>24.0</v>
      </c>
      <c r="E372" s="2" t="s">
        <v>22</v>
      </c>
      <c r="F372" s="2" t="s">
        <v>152</v>
      </c>
      <c r="G372" s="2" t="s">
        <v>153</v>
      </c>
      <c r="H372" s="2" t="s">
        <v>2104</v>
      </c>
      <c r="I372" s="2" t="s">
        <v>154</v>
      </c>
      <c r="J372" s="2" t="s">
        <v>1632</v>
      </c>
      <c r="K372" s="3">
        <v>45485.0</v>
      </c>
      <c r="L372" s="2" t="s">
        <v>1633</v>
      </c>
      <c r="M372" s="2" t="s">
        <v>227</v>
      </c>
      <c r="N372" s="2">
        <v>132.97</v>
      </c>
      <c r="O372" s="2">
        <v>2.0</v>
      </c>
      <c r="P372" s="2" t="s">
        <v>51</v>
      </c>
      <c r="Q372" s="2">
        <v>4.0</v>
      </c>
      <c r="R372" s="2">
        <v>40.0</v>
      </c>
      <c r="S372" s="3">
        <v>45487.0</v>
      </c>
      <c r="T372" s="2" t="s">
        <v>1634</v>
      </c>
      <c r="U372" s="2">
        <f t="shared" si="1"/>
        <v>2</v>
      </c>
      <c r="V372" s="2">
        <f t="shared" si="2"/>
        <v>0</v>
      </c>
      <c r="W372" s="2">
        <f t="shared" si="3"/>
        <v>265.94</v>
      </c>
      <c r="X372" s="2">
        <f t="shared" si="4"/>
        <v>305.94</v>
      </c>
      <c r="Y372" s="2">
        <f t="shared" si="5"/>
        <v>0</v>
      </c>
      <c r="Z372" s="2">
        <f t="shared" si="6"/>
        <v>265.94</v>
      </c>
      <c r="AA372" s="2">
        <f t="shared" si="7"/>
        <v>305.94</v>
      </c>
      <c r="AB372" s="2" t="str">
        <f t="shared" si="8"/>
        <v>Friday</v>
      </c>
      <c r="AC372" s="2" t="str">
        <f t="shared" si="9"/>
        <v>Weekday</v>
      </c>
      <c r="AD372" s="2" t="str">
        <f t="shared" si="10"/>
        <v>joshua.campbell</v>
      </c>
      <c r="AE372" s="2" t="str">
        <f t="shared" si="11"/>
        <v>gmail</v>
      </c>
      <c r="AF372" s="2" t="str">
        <f t="shared" si="12"/>
        <v>Joshua Campbell</v>
      </c>
      <c r="AG372" s="2" t="str">
        <f t="shared" si="13"/>
        <v>Joshua</v>
      </c>
      <c r="AH372" s="2" t="str">
        <f t="shared" si="14"/>
        <v>Campbell</v>
      </c>
      <c r="AI372" s="2" t="str">
        <f t="shared" si="15"/>
        <v>Before Time</v>
      </c>
      <c r="AJ372" s="2" t="str">
        <f t="shared" si="16"/>
        <v>#NAME?</v>
      </c>
    </row>
    <row r="373" ht="14.25" customHeight="1">
      <c r="A373" s="2" t="s">
        <v>528</v>
      </c>
      <c r="B373" s="2" t="s">
        <v>529</v>
      </c>
      <c r="C373" s="2" t="s">
        <v>530</v>
      </c>
      <c r="D373" s="2">
        <v>32.0</v>
      </c>
      <c r="E373" s="2" t="s">
        <v>45</v>
      </c>
      <c r="F373" s="2" t="s">
        <v>83</v>
      </c>
      <c r="G373" s="2" t="s">
        <v>531</v>
      </c>
      <c r="H373" s="2" t="s">
        <v>2144</v>
      </c>
      <c r="I373" s="2" t="s">
        <v>532</v>
      </c>
      <c r="J373" s="2" t="s">
        <v>1635</v>
      </c>
      <c r="K373" s="3">
        <v>45006.0</v>
      </c>
      <c r="L373" s="2" t="s">
        <v>1636</v>
      </c>
      <c r="M373" s="2" t="s">
        <v>474</v>
      </c>
      <c r="N373" s="2">
        <v>87.09</v>
      </c>
      <c r="O373" s="2">
        <v>2.0</v>
      </c>
      <c r="P373" s="2" t="s">
        <v>56</v>
      </c>
      <c r="Q373" s="2">
        <v>4.0</v>
      </c>
      <c r="R373" s="2">
        <v>67.0</v>
      </c>
      <c r="S373" s="3">
        <v>45010.0</v>
      </c>
      <c r="T373" s="2" t="s">
        <v>1637</v>
      </c>
      <c r="U373" s="2">
        <f t="shared" si="1"/>
        <v>4</v>
      </c>
      <c r="V373" s="2">
        <f t="shared" si="2"/>
        <v>10</v>
      </c>
      <c r="W373" s="2">
        <f t="shared" si="3"/>
        <v>174.18</v>
      </c>
      <c r="X373" s="2">
        <f t="shared" si="4"/>
        <v>241.18</v>
      </c>
      <c r="Y373" s="2">
        <f t="shared" si="5"/>
        <v>0</v>
      </c>
      <c r="Z373" s="2">
        <f t="shared" si="6"/>
        <v>174.18</v>
      </c>
      <c r="AA373" s="2">
        <f t="shared" si="7"/>
        <v>174.18</v>
      </c>
      <c r="AB373" s="2" t="str">
        <f t="shared" si="8"/>
        <v>Tuesday</v>
      </c>
      <c r="AC373" s="2" t="str">
        <f t="shared" si="9"/>
        <v>Weekday</v>
      </c>
      <c r="AD373" s="2" t="str">
        <f t="shared" si="10"/>
        <v>brandon.cruz</v>
      </c>
      <c r="AE373" s="2" t="str">
        <f t="shared" si="11"/>
        <v>gmail</v>
      </c>
      <c r="AF373" s="2" t="str">
        <f t="shared" si="12"/>
        <v>Brandon Cruz</v>
      </c>
      <c r="AG373" s="2" t="str">
        <f t="shared" si="13"/>
        <v>Brandon</v>
      </c>
      <c r="AH373" s="2" t="str">
        <f t="shared" si="14"/>
        <v>Cruz</v>
      </c>
      <c r="AI373" s="2" t="str">
        <f t="shared" si="15"/>
        <v>InTime</v>
      </c>
      <c r="AJ373" s="2" t="str">
        <f t="shared" si="16"/>
        <v>#NAME?</v>
      </c>
    </row>
    <row r="374" ht="14.25" customHeight="1">
      <c r="A374" s="2" t="s">
        <v>326</v>
      </c>
      <c r="B374" s="2" t="s">
        <v>327</v>
      </c>
      <c r="C374" s="2" t="s">
        <v>328</v>
      </c>
      <c r="D374" s="2">
        <v>23.0</v>
      </c>
      <c r="E374" s="2" t="s">
        <v>22</v>
      </c>
      <c r="F374" s="2" t="s">
        <v>23</v>
      </c>
      <c r="G374" s="2" t="s">
        <v>329</v>
      </c>
      <c r="H374" s="2" t="s">
        <v>2122</v>
      </c>
      <c r="I374" s="2" t="s">
        <v>330</v>
      </c>
      <c r="J374" s="2" t="s">
        <v>1638</v>
      </c>
      <c r="K374" s="3">
        <v>45622.0</v>
      </c>
      <c r="L374" s="2" t="s">
        <v>1639</v>
      </c>
      <c r="M374" s="2" t="s">
        <v>934</v>
      </c>
      <c r="N374" s="2">
        <v>107.47</v>
      </c>
      <c r="O374" s="2">
        <v>5.0</v>
      </c>
      <c r="P374" s="2" t="s">
        <v>29</v>
      </c>
      <c r="Q374" s="2">
        <v>4.0</v>
      </c>
      <c r="R374" s="2">
        <v>37.0</v>
      </c>
      <c r="S374" s="3">
        <v>45628.0</v>
      </c>
      <c r="T374" s="2" t="s">
        <v>1640</v>
      </c>
      <c r="U374" s="2">
        <f t="shared" si="1"/>
        <v>6</v>
      </c>
      <c r="V374" s="2">
        <f t="shared" si="2"/>
        <v>4</v>
      </c>
      <c r="W374" s="2">
        <f t="shared" si="3"/>
        <v>537.35</v>
      </c>
      <c r="X374" s="2">
        <f t="shared" si="4"/>
        <v>574.35</v>
      </c>
      <c r="Y374" s="2">
        <f t="shared" si="5"/>
        <v>0</v>
      </c>
      <c r="Z374" s="2">
        <f t="shared" si="6"/>
        <v>537.35</v>
      </c>
      <c r="AA374" s="2">
        <f t="shared" si="7"/>
        <v>574.35</v>
      </c>
      <c r="AB374" s="2" t="str">
        <f t="shared" si="8"/>
        <v>Tuesday</v>
      </c>
      <c r="AC374" s="2" t="str">
        <f t="shared" si="9"/>
        <v>Weekday</v>
      </c>
      <c r="AD374" s="2" t="str">
        <f t="shared" si="10"/>
        <v>julie.meyer</v>
      </c>
      <c r="AE374" s="2" t="str">
        <f t="shared" si="11"/>
        <v>yahoo</v>
      </c>
      <c r="AF374" s="2" t="str">
        <f t="shared" si="12"/>
        <v>Julie Meyer</v>
      </c>
      <c r="AG374" s="2" t="str">
        <f t="shared" si="13"/>
        <v>Julie</v>
      </c>
      <c r="AH374" s="2" t="str">
        <f t="shared" si="14"/>
        <v>Meyer</v>
      </c>
      <c r="AI374" s="2" t="str">
        <f t="shared" si="15"/>
        <v>Late</v>
      </c>
      <c r="AJ374" s="2" t="str">
        <f t="shared" si="16"/>
        <v>#NAME?</v>
      </c>
    </row>
    <row r="375" ht="14.25" customHeight="1">
      <c r="A375" s="2" t="s">
        <v>724</v>
      </c>
      <c r="B375" s="2" t="s">
        <v>725</v>
      </c>
      <c r="C375" s="2" t="s">
        <v>726</v>
      </c>
      <c r="D375" s="2">
        <v>30.0</v>
      </c>
      <c r="E375" s="2" t="s">
        <v>22</v>
      </c>
      <c r="F375" s="2" t="s">
        <v>152</v>
      </c>
      <c r="G375" s="2" t="s">
        <v>727</v>
      </c>
      <c r="H375" s="2" t="s">
        <v>2158</v>
      </c>
      <c r="I375" s="2" t="s">
        <v>728</v>
      </c>
      <c r="J375" s="2" t="s">
        <v>1641</v>
      </c>
      <c r="K375" s="3">
        <v>45417.0</v>
      </c>
      <c r="L375" s="2" t="s">
        <v>1642</v>
      </c>
      <c r="M375" s="2" t="s">
        <v>934</v>
      </c>
      <c r="N375" s="2">
        <v>107.47</v>
      </c>
      <c r="O375" s="2">
        <v>5.0</v>
      </c>
      <c r="P375" s="2" t="s">
        <v>89</v>
      </c>
      <c r="Q375" s="2">
        <v>4.0</v>
      </c>
      <c r="R375" s="2">
        <v>47.0</v>
      </c>
      <c r="S375" s="3">
        <v>45424.0</v>
      </c>
      <c r="T375" s="2" t="s">
        <v>1643</v>
      </c>
      <c r="U375" s="2">
        <f t="shared" si="1"/>
        <v>7</v>
      </c>
      <c r="V375" s="2">
        <f t="shared" si="2"/>
        <v>17</v>
      </c>
      <c r="W375" s="2">
        <f t="shared" si="3"/>
        <v>537.35</v>
      </c>
      <c r="X375" s="2">
        <f t="shared" si="4"/>
        <v>584.35</v>
      </c>
      <c r="Y375" s="2">
        <f t="shared" si="5"/>
        <v>0</v>
      </c>
      <c r="Z375" s="2">
        <f t="shared" si="6"/>
        <v>537.35</v>
      </c>
      <c r="AA375" s="2">
        <f t="shared" si="7"/>
        <v>584.35</v>
      </c>
      <c r="AB375" s="2" t="str">
        <f t="shared" si="8"/>
        <v>Sunday</v>
      </c>
      <c r="AC375" s="2" t="str">
        <f t="shared" si="9"/>
        <v>Weekend</v>
      </c>
      <c r="AD375" s="2" t="str">
        <f t="shared" si="10"/>
        <v>melissa.levy</v>
      </c>
      <c r="AE375" s="2" t="str">
        <f t="shared" si="11"/>
        <v>rediffmail</v>
      </c>
      <c r="AF375" s="2" t="str">
        <f t="shared" si="12"/>
        <v>Melissa Levy</v>
      </c>
      <c r="AG375" s="2" t="str">
        <f t="shared" si="13"/>
        <v>Melissa</v>
      </c>
      <c r="AH375" s="2" t="str">
        <f t="shared" si="14"/>
        <v>Levy</v>
      </c>
      <c r="AI375" s="2" t="str">
        <f t="shared" si="15"/>
        <v>Late</v>
      </c>
      <c r="AJ375" s="2" t="str">
        <f t="shared" si="16"/>
        <v>#NAME?</v>
      </c>
    </row>
    <row r="376" ht="14.25" customHeight="1">
      <c r="A376" s="2" t="s">
        <v>639</v>
      </c>
      <c r="B376" s="2" t="s">
        <v>640</v>
      </c>
      <c r="C376" s="2" t="s">
        <v>641</v>
      </c>
      <c r="D376" s="2">
        <v>45.0</v>
      </c>
      <c r="E376" s="2" t="s">
        <v>45</v>
      </c>
      <c r="F376" s="2" t="s">
        <v>83</v>
      </c>
      <c r="G376" s="2" t="s">
        <v>642</v>
      </c>
      <c r="H376" s="2" t="s">
        <v>2151</v>
      </c>
      <c r="I376" s="2" t="s">
        <v>643</v>
      </c>
      <c r="J376" s="2" t="s">
        <v>1644</v>
      </c>
      <c r="K376" s="3">
        <v>45446.0</v>
      </c>
      <c r="L376" s="2" t="s">
        <v>1645</v>
      </c>
      <c r="M376" s="2" t="s">
        <v>556</v>
      </c>
      <c r="N376" s="2">
        <v>133.62</v>
      </c>
      <c r="O376" s="2">
        <v>1.0</v>
      </c>
      <c r="P376" s="2" t="s">
        <v>51</v>
      </c>
      <c r="Q376" s="2">
        <v>5.0</v>
      </c>
      <c r="R376" s="2">
        <v>39.0</v>
      </c>
      <c r="S376" s="3">
        <v>45451.0</v>
      </c>
      <c r="T376" s="2" t="s">
        <v>1646</v>
      </c>
      <c r="U376" s="2">
        <f t="shared" si="1"/>
        <v>5</v>
      </c>
      <c r="V376" s="2">
        <f t="shared" si="2"/>
        <v>18</v>
      </c>
      <c r="W376" s="2">
        <f t="shared" si="3"/>
        <v>133.62</v>
      </c>
      <c r="X376" s="2">
        <f t="shared" si="4"/>
        <v>172.62</v>
      </c>
      <c r="Y376" s="2">
        <f t="shared" si="5"/>
        <v>0</v>
      </c>
      <c r="Z376" s="2">
        <f t="shared" si="6"/>
        <v>133.62</v>
      </c>
      <c r="AA376" s="2">
        <f t="shared" si="7"/>
        <v>172.62</v>
      </c>
      <c r="AB376" s="2" t="str">
        <f t="shared" si="8"/>
        <v>Monday</v>
      </c>
      <c r="AC376" s="2" t="str">
        <f t="shared" si="9"/>
        <v>Weekday</v>
      </c>
      <c r="AD376" s="2" t="str">
        <f t="shared" si="10"/>
        <v>beth.mason</v>
      </c>
      <c r="AE376" s="2" t="str">
        <f t="shared" si="11"/>
        <v>outlook</v>
      </c>
      <c r="AF376" s="2" t="str">
        <f t="shared" si="12"/>
        <v>Beth Mason</v>
      </c>
      <c r="AG376" s="2" t="str">
        <f t="shared" si="13"/>
        <v>Beth</v>
      </c>
      <c r="AH376" s="2" t="str">
        <f t="shared" si="14"/>
        <v>Mason</v>
      </c>
      <c r="AI376" s="2" t="str">
        <f t="shared" si="15"/>
        <v>InTime</v>
      </c>
      <c r="AJ376" s="2" t="str">
        <f t="shared" si="16"/>
        <v>#NAME?</v>
      </c>
    </row>
    <row r="377" ht="14.25" customHeight="1">
      <c r="A377" s="2" t="s">
        <v>428</v>
      </c>
      <c r="B377" s="2" t="s">
        <v>429</v>
      </c>
      <c r="C377" s="2" t="s">
        <v>430</v>
      </c>
      <c r="D377" s="2">
        <v>28.0</v>
      </c>
      <c r="E377" s="2" t="s">
        <v>45</v>
      </c>
      <c r="F377" s="2" t="s">
        <v>69</v>
      </c>
      <c r="G377" s="2" t="s">
        <v>431</v>
      </c>
      <c r="H377" s="2" t="s">
        <v>2132</v>
      </c>
      <c r="I377" s="2" t="s">
        <v>432</v>
      </c>
      <c r="J377" s="2" t="s">
        <v>1647</v>
      </c>
      <c r="K377" s="3">
        <v>45247.0</v>
      </c>
      <c r="L377" s="2" t="s">
        <v>1648</v>
      </c>
      <c r="M377" s="2" t="s">
        <v>98</v>
      </c>
      <c r="N377" s="2">
        <v>275.44</v>
      </c>
      <c r="O377" s="2">
        <v>2.0</v>
      </c>
      <c r="P377" s="2" t="s">
        <v>78</v>
      </c>
      <c r="Q377" s="2">
        <v>3.0</v>
      </c>
      <c r="R377" s="2">
        <v>43.0</v>
      </c>
      <c r="S377" s="3">
        <v>45251.0</v>
      </c>
      <c r="T377" s="2" t="s">
        <v>1649</v>
      </c>
      <c r="U377" s="2">
        <f t="shared" si="1"/>
        <v>4</v>
      </c>
      <c r="V377" s="2">
        <f t="shared" si="2"/>
        <v>23</v>
      </c>
      <c r="W377" s="2">
        <f t="shared" si="3"/>
        <v>550.88</v>
      </c>
      <c r="X377" s="2">
        <f t="shared" si="4"/>
        <v>593.88</v>
      </c>
      <c r="Y377" s="2">
        <f t="shared" si="5"/>
        <v>0</v>
      </c>
      <c r="Z377" s="2">
        <f t="shared" si="6"/>
        <v>550.88</v>
      </c>
      <c r="AA377" s="2">
        <f t="shared" si="7"/>
        <v>593.88</v>
      </c>
      <c r="AB377" s="2" t="str">
        <f t="shared" si="8"/>
        <v>Friday</v>
      </c>
      <c r="AC377" s="2" t="str">
        <f t="shared" si="9"/>
        <v>Weekday</v>
      </c>
      <c r="AD377" s="2" t="str">
        <f t="shared" si="10"/>
        <v>mary.knight</v>
      </c>
      <c r="AE377" s="2" t="str">
        <f t="shared" si="11"/>
        <v>yahoo</v>
      </c>
      <c r="AF377" s="2" t="str">
        <f t="shared" si="12"/>
        <v>Mary Knight</v>
      </c>
      <c r="AG377" s="2" t="str">
        <f t="shared" si="13"/>
        <v>Mary</v>
      </c>
      <c r="AH377" s="2" t="str">
        <f t="shared" si="14"/>
        <v>Knight</v>
      </c>
      <c r="AI377" s="2" t="str">
        <f t="shared" si="15"/>
        <v>Late</v>
      </c>
      <c r="AJ377" s="2" t="str">
        <f t="shared" si="16"/>
        <v>#NAME?</v>
      </c>
    </row>
    <row r="378" ht="14.25" customHeight="1">
      <c r="A378" s="2" t="s">
        <v>918</v>
      </c>
      <c r="B378" s="2" t="s">
        <v>919</v>
      </c>
      <c r="C378" s="2" t="s">
        <v>920</v>
      </c>
      <c r="D378" s="2">
        <v>24.0</v>
      </c>
      <c r="E378" s="2" t="s">
        <v>45</v>
      </c>
      <c r="F378" s="2" t="s">
        <v>213</v>
      </c>
      <c r="G378" s="2" t="s">
        <v>921</v>
      </c>
      <c r="H378" s="2" t="s">
        <v>2169</v>
      </c>
      <c r="I378" s="2" t="s">
        <v>922</v>
      </c>
      <c r="J378" s="2" t="s">
        <v>1650</v>
      </c>
      <c r="K378" s="3">
        <v>45113.0</v>
      </c>
      <c r="L378" s="2" t="s">
        <v>1651</v>
      </c>
      <c r="M378" s="2" t="s">
        <v>74</v>
      </c>
      <c r="N378" s="2">
        <v>330.11</v>
      </c>
      <c r="O378" s="2">
        <v>3.0</v>
      </c>
      <c r="P378" s="2" t="s">
        <v>51</v>
      </c>
      <c r="Q378" s="2">
        <v>2.0</v>
      </c>
      <c r="R378" s="2">
        <v>56.0</v>
      </c>
      <c r="S378" s="3">
        <v>45117.0</v>
      </c>
      <c r="T378" s="2" t="s">
        <v>1652</v>
      </c>
      <c r="U378" s="2">
        <f t="shared" si="1"/>
        <v>4</v>
      </c>
      <c r="V378" s="2">
        <f t="shared" si="2"/>
        <v>6</v>
      </c>
      <c r="W378" s="2">
        <f t="shared" si="3"/>
        <v>990.33</v>
      </c>
      <c r="X378" s="2">
        <f t="shared" si="4"/>
        <v>1046.33</v>
      </c>
      <c r="Y378" s="2">
        <f t="shared" si="5"/>
        <v>0</v>
      </c>
      <c r="Z378" s="2">
        <f t="shared" si="6"/>
        <v>990.33</v>
      </c>
      <c r="AA378" s="2">
        <f t="shared" si="7"/>
        <v>1046.33</v>
      </c>
      <c r="AB378" s="2" t="str">
        <f t="shared" si="8"/>
        <v>Thursday</v>
      </c>
      <c r="AC378" s="2" t="str">
        <f t="shared" si="9"/>
        <v>Weekday</v>
      </c>
      <c r="AD378" s="2" t="str">
        <f t="shared" si="10"/>
        <v>rachael.robinson</v>
      </c>
      <c r="AE378" s="2" t="str">
        <f t="shared" si="11"/>
        <v>rediffmail</v>
      </c>
      <c r="AF378" s="2" t="str">
        <f t="shared" si="12"/>
        <v>Rachael Robinson</v>
      </c>
      <c r="AG378" s="2" t="str">
        <f t="shared" si="13"/>
        <v>Rachael</v>
      </c>
      <c r="AH378" s="2" t="str">
        <f t="shared" si="14"/>
        <v>Robinson</v>
      </c>
      <c r="AI378" s="2" t="str">
        <f t="shared" si="15"/>
        <v>Late</v>
      </c>
      <c r="AJ378" s="2" t="str">
        <f t="shared" si="16"/>
        <v>#NAME?</v>
      </c>
    </row>
    <row r="379" ht="14.25" customHeight="1">
      <c r="A379" s="2" t="s">
        <v>428</v>
      </c>
      <c r="B379" s="2" t="s">
        <v>429</v>
      </c>
      <c r="C379" s="2" t="s">
        <v>430</v>
      </c>
      <c r="D379" s="2">
        <v>28.0</v>
      </c>
      <c r="E379" s="2" t="s">
        <v>45</v>
      </c>
      <c r="F379" s="2" t="s">
        <v>69</v>
      </c>
      <c r="G379" s="2" t="s">
        <v>431</v>
      </c>
      <c r="H379" s="2" t="s">
        <v>2132</v>
      </c>
      <c r="I379" s="2" t="s">
        <v>432</v>
      </c>
      <c r="J379" s="2" t="s">
        <v>1653</v>
      </c>
      <c r="K379" s="3">
        <v>45307.0</v>
      </c>
      <c r="L379" s="2" t="s">
        <v>1654</v>
      </c>
      <c r="M379" s="2" t="s">
        <v>166</v>
      </c>
      <c r="N379" s="2">
        <v>272.51</v>
      </c>
      <c r="O379" s="2">
        <v>3.0</v>
      </c>
      <c r="P379" s="2" t="s">
        <v>29</v>
      </c>
      <c r="Q379" s="2">
        <v>6.0</v>
      </c>
      <c r="R379" s="2">
        <v>44.0</v>
      </c>
      <c r="S379" s="3">
        <v>45310.0</v>
      </c>
      <c r="T379" s="2" t="s">
        <v>1655</v>
      </c>
      <c r="U379" s="2">
        <f t="shared" si="1"/>
        <v>3</v>
      </c>
      <c r="V379" s="2">
        <f t="shared" si="2"/>
        <v>12</v>
      </c>
      <c r="W379" s="2">
        <f t="shared" si="3"/>
        <v>817.53</v>
      </c>
      <c r="X379" s="2">
        <f t="shared" si="4"/>
        <v>861.53</v>
      </c>
      <c r="Y379" s="2">
        <f t="shared" si="5"/>
        <v>0</v>
      </c>
      <c r="Z379" s="2">
        <f t="shared" si="6"/>
        <v>817.53</v>
      </c>
      <c r="AA379" s="2">
        <f t="shared" si="7"/>
        <v>861.53</v>
      </c>
      <c r="AB379" s="2" t="str">
        <f t="shared" si="8"/>
        <v>Tuesday</v>
      </c>
      <c r="AC379" s="2" t="str">
        <f t="shared" si="9"/>
        <v>Weekday</v>
      </c>
      <c r="AD379" s="2" t="str">
        <f t="shared" si="10"/>
        <v>mary.knight</v>
      </c>
      <c r="AE379" s="2" t="str">
        <f t="shared" si="11"/>
        <v>yahoo</v>
      </c>
      <c r="AF379" s="2" t="str">
        <f t="shared" si="12"/>
        <v>Mary Knight</v>
      </c>
      <c r="AG379" s="2" t="str">
        <f t="shared" si="13"/>
        <v>Mary</v>
      </c>
      <c r="AH379" s="2" t="str">
        <f t="shared" si="14"/>
        <v>Knight</v>
      </c>
      <c r="AI379" s="2" t="str">
        <f t="shared" si="15"/>
        <v>Before Time</v>
      </c>
      <c r="AJ379" s="2" t="str">
        <f t="shared" si="16"/>
        <v>#NAME?</v>
      </c>
    </row>
    <row r="380" ht="14.25" customHeight="1">
      <c r="A380" s="2" t="s">
        <v>698</v>
      </c>
      <c r="B380" s="2" t="s">
        <v>699</v>
      </c>
      <c r="C380" s="2" t="s">
        <v>700</v>
      </c>
      <c r="D380" s="2">
        <v>26.0</v>
      </c>
      <c r="E380" s="2" t="s">
        <v>45</v>
      </c>
      <c r="F380" s="2" t="s">
        <v>69</v>
      </c>
      <c r="G380" s="2" t="s">
        <v>701</v>
      </c>
      <c r="H380" s="2" t="s">
        <v>2155</v>
      </c>
      <c r="I380" s="2" t="s">
        <v>702</v>
      </c>
      <c r="J380" s="2" t="s">
        <v>1656</v>
      </c>
      <c r="K380" s="3">
        <v>45238.0</v>
      </c>
      <c r="L380" s="2" t="s">
        <v>1657</v>
      </c>
      <c r="M380" s="2" t="s">
        <v>128</v>
      </c>
      <c r="N380" s="2">
        <v>175.93</v>
      </c>
      <c r="O380" s="2">
        <v>4.0</v>
      </c>
      <c r="P380" s="2" t="s">
        <v>78</v>
      </c>
      <c r="Q380" s="2">
        <v>6.0</v>
      </c>
      <c r="R380" s="2">
        <v>54.0</v>
      </c>
      <c r="S380" s="3">
        <v>45240.0</v>
      </c>
      <c r="T380" s="2" t="s">
        <v>1658</v>
      </c>
      <c r="U380" s="2">
        <f t="shared" si="1"/>
        <v>2</v>
      </c>
      <c r="V380" s="2">
        <f t="shared" si="2"/>
        <v>10</v>
      </c>
      <c r="W380" s="2">
        <f t="shared" si="3"/>
        <v>703.72</v>
      </c>
      <c r="X380" s="2">
        <f t="shared" si="4"/>
        <v>757.72</v>
      </c>
      <c r="Y380" s="2">
        <f t="shared" si="5"/>
        <v>0</v>
      </c>
      <c r="Z380" s="2">
        <f t="shared" si="6"/>
        <v>703.72</v>
      </c>
      <c r="AA380" s="2">
        <f t="shared" si="7"/>
        <v>757.72</v>
      </c>
      <c r="AB380" s="2" t="str">
        <f t="shared" si="8"/>
        <v>Wednesday</v>
      </c>
      <c r="AC380" s="2" t="str">
        <f t="shared" si="9"/>
        <v>Weekday</v>
      </c>
      <c r="AD380" s="2" t="str">
        <f t="shared" si="10"/>
        <v>gregory.lee</v>
      </c>
      <c r="AE380" s="2" t="str">
        <f t="shared" si="11"/>
        <v>rediffmail</v>
      </c>
      <c r="AF380" s="2" t="str">
        <f t="shared" si="12"/>
        <v>Gregory Lee</v>
      </c>
      <c r="AG380" s="2" t="str">
        <f t="shared" si="13"/>
        <v>Gregory</v>
      </c>
      <c r="AH380" s="2" t="str">
        <f t="shared" si="14"/>
        <v>Lee</v>
      </c>
      <c r="AI380" s="2" t="str">
        <f t="shared" si="15"/>
        <v>Before Time</v>
      </c>
      <c r="AJ380" s="2" t="str">
        <f t="shared" si="16"/>
        <v>#NAME?</v>
      </c>
    </row>
    <row r="381" ht="14.25" customHeight="1">
      <c r="A381" s="2" t="s">
        <v>1607</v>
      </c>
      <c r="B381" s="2" t="s">
        <v>266</v>
      </c>
      <c r="C381" s="2" t="s">
        <v>1608</v>
      </c>
      <c r="D381" s="2">
        <v>62.0</v>
      </c>
      <c r="E381" s="2" t="s">
        <v>34</v>
      </c>
      <c r="F381" s="2" t="s">
        <v>35</v>
      </c>
      <c r="G381" s="2" t="s">
        <v>1609</v>
      </c>
      <c r="H381" s="2" t="s">
        <v>2186</v>
      </c>
      <c r="I381" s="2" t="s">
        <v>1610</v>
      </c>
      <c r="J381" s="2" t="s">
        <v>1659</v>
      </c>
      <c r="K381" s="3">
        <v>45459.0</v>
      </c>
      <c r="L381" s="2" t="s">
        <v>1660</v>
      </c>
      <c r="M381" s="2" t="s">
        <v>423</v>
      </c>
      <c r="N381" s="2">
        <v>369.03</v>
      </c>
      <c r="O381" s="2">
        <v>3.0</v>
      </c>
      <c r="P381" s="2" t="s">
        <v>29</v>
      </c>
      <c r="Q381" s="2">
        <v>6.0</v>
      </c>
      <c r="R381" s="2">
        <v>57.0</v>
      </c>
      <c r="S381" s="3">
        <v>45461.0</v>
      </c>
      <c r="T381" s="2" t="s">
        <v>1661</v>
      </c>
      <c r="U381" s="2">
        <f t="shared" si="1"/>
        <v>2</v>
      </c>
      <c r="V381" s="2">
        <f t="shared" si="2"/>
        <v>9</v>
      </c>
      <c r="W381" s="2">
        <f t="shared" si="3"/>
        <v>1107.09</v>
      </c>
      <c r="X381" s="2">
        <f t="shared" si="4"/>
        <v>1164.09</v>
      </c>
      <c r="Y381" s="2">
        <f t="shared" si="5"/>
        <v>0</v>
      </c>
      <c r="Z381" s="2">
        <f t="shared" si="6"/>
        <v>1107.09</v>
      </c>
      <c r="AA381" s="2">
        <f t="shared" si="7"/>
        <v>1164.09</v>
      </c>
      <c r="AB381" s="2" t="str">
        <f t="shared" si="8"/>
        <v>Sunday</v>
      </c>
      <c r="AC381" s="2" t="str">
        <f t="shared" si="9"/>
        <v>Weekend</v>
      </c>
      <c r="AD381" s="2" t="str">
        <f t="shared" si="10"/>
        <v>lauren.crane</v>
      </c>
      <c r="AE381" s="2" t="str">
        <f t="shared" si="11"/>
        <v>yahoo</v>
      </c>
      <c r="AF381" s="2" t="str">
        <f t="shared" si="12"/>
        <v>Lauren Crane</v>
      </c>
      <c r="AG381" s="2" t="str">
        <f t="shared" si="13"/>
        <v>Lauren</v>
      </c>
      <c r="AH381" s="2" t="str">
        <f t="shared" si="14"/>
        <v>Crane</v>
      </c>
      <c r="AI381" s="2" t="str">
        <f t="shared" si="15"/>
        <v>Before Time</v>
      </c>
      <c r="AJ381" s="2" t="str">
        <f t="shared" si="16"/>
        <v>#NAME?</v>
      </c>
    </row>
    <row r="382" ht="14.25" customHeight="1">
      <c r="A382" s="2" t="s">
        <v>1335</v>
      </c>
      <c r="B382" s="2" t="s">
        <v>501</v>
      </c>
      <c r="C382" s="2" t="s">
        <v>1336</v>
      </c>
      <c r="D382" s="2">
        <v>40.0</v>
      </c>
      <c r="E382" s="2" t="s">
        <v>45</v>
      </c>
      <c r="F382" s="2" t="s">
        <v>213</v>
      </c>
      <c r="G382" s="2" t="s">
        <v>1337</v>
      </c>
      <c r="H382" s="2" t="s">
        <v>2183</v>
      </c>
      <c r="I382" s="2" t="s">
        <v>1338</v>
      </c>
      <c r="J382" s="2" t="s">
        <v>1662</v>
      </c>
      <c r="K382" s="3">
        <v>45040.0</v>
      </c>
      <c r="L382" s="2" t="s">
        <v>1663</v>
      </c>
      <c r="M382" s="2" t="s">
        <v>337</v>
      </c>
      <c r="N382" s="2">
        <v>372.62</v>
      </c>
      <c r="O382" s="2">
        <v>2.0</v>
      </c>
      <c r="P382" s="2" t="s">
        <v>78</v>
      </c>
      <c r="Q382" s="2">
        <v>2.0</v>
      </c>
      <c r="R382" s="2">
        <v>47.0</v>
      </c>
      <c r="S382" s="3">
        <v>45041.0</v>
      </c>
      <c r="T382" s="2" t="s">
        <v>1664</v>
      </c>
      <c r="U382" s="2">
        <f t="shared" si="1"/>
        <v>1</v>
      </c>
      <c r="V382" s="2">
        <f t="shared" si="2"/>
        <v>11</v>
      </c>
      <c r="W382" s="2">
        <f t="shared" si="3"/>
        <v>745.24</v>
      </c>
      <c r="X382" s="2">
        <f t="shared" si="4"/>
        <v>792.24</v>
      </c>
      <c r="Y382" s="2">
        <f t="shared" si="5"/>
        <v>0</v>
      </c>
      <c r="Z382" s="2">
        <f t="shared" si="6"/>
        <v>745.24</v>
      </c>
      <c r="AA382" s="2">
        <f t="shared" si="7"/>
        <v>792.24</v>
      </c>
      <c r="AB382" s="2" t="str">
        <f t="shared" si="8"/>
        <v>Monday</v>
      </c>
      <c r="AC382" s="2" t="str">
        <f t="shared" si="9"/>
        <v>Weekday</v>
      </c>
      <c r="AD382" s="2" t="str">
        <f t="shared" si="10"/>
        <v>sarah.benson</v>
      </c>
      <c r="AE382" s="2" t="str">
        <f t="shared" si="11"/>
        <v>outlook</v>
      </c>
      <c r="AF382" s="2" t="str">
        <f t="shared" si="12"/>
        <v>Sarah Benson</v>
      </c>
      <c r="AG382" s="2" t="str">
        <f t="shared" si="13"/>
        <v>Sarah</v>
      </c>
      <c r="AH382" s="2" t="str">
        <f t="shared" si="14"/>
        <v>Benson</v>
      </c>
      <c r="AI382" s="2" t="str">
        <f t="shared" si="15"/>
        <v>Before Time</v>
      </c>
      <c r="AJ382" s="2" t="str">
        <f t="shared" si="16"/>
        <v>#NAME?</v>
      </c>
    </row>
    <row r="383" ht="14.25" customHeight="1">
      <c r="A383" s="2" t="s">
        <v>342</v>
      </c>
      <c r="B383" s="2" t="s">
        <v>343</v>
      </c>
      <c r="C383" s="2" t="s">
        <v>344</v>
      </c>
      <c r="D383" s="2">
        <v>70.0</v>
      </c>
      <c r="E383" s="2" t="s">
        <v>22</v>
      </c>
      <c r="F383" s="2" t="s">
        <v>161</v>
      </c>
      <c r="G383" s="2" t="s">
        <v>345</v>
      </c>
      <c r="H383" s="2" t="s">
        <v>2123</v>
      </c>
      <c r="I383" s="2" t="s">
        <v>346</v>
      </c>
      <c r="J383" s="2" t="s">
        <v>1665</v>
      </c>
      <c r="K383" s="3">
        <v>45270.0</v>
      </c>
      <c r="L383" s="2" t="s">
        <v>1666</v>
      </c>
      <c r="M383" s="2" t="s">
        <v>411</v>
      </c>
      <c r="N383" s="2">
        <v>44.5</v>
      </c>
      <c r="O383" s="2">
        <v>1.0</v>
      </c>
      <c r="P383" s="2" t="s">
        <v>56</v>
      </c>
      <c r="Q383" s="2">
        <v>1.0</v>
      </c>
      <c r="R383" s="2">
        <v>37.0</v>
      </c>
      <c r="S383" s="3">
        <v>45277.0</v>
      </c>
      <c r="T383" s="2" t="s">
        <v>1667</v>
      </c>
      <c r="U383" s="2">
        <f t="shared" si="1"/>
        <v>7</v>
      </c>
      <c r="V383" s="2">
        <f t="shared" si="2"/>
        <v>10</v>
      </c>
      <c r="W383" s="2">
        <f t="shared" si="3"/>
        <v>44.5</v>
      </c>
      <c r="X383" s="2">
        <f t="shared" si="4"/>
        <v>81.5</v>
      </c>
      <c r="Y383" s="2">
        <f t="shared" si="5"/>
        <v>0</v>
      </c>
      <c r="Z383" s="2">
        <f t="shared" si="6"/>
        <v>44.5</v>
      </c>
      <c r="AA383" s="2">
        <f t="shared" si="7"/>
        <v>44.5</v>
      </c>
      <c r="AB383" s="2" t="str">
        <f t="shared" si="8"/>
        <v>Sunday</v>
      </c>
      <c r="AC383" s="2" t="str">
        <f t="shared" si="9"/>
        <v>Weekend</v>
      </c>
      <c r="AD383" s="2" t="str">
        <f t="shared" si="10"/>
        <v>donna.oneill</v>
      </c>
      <c r="AE383" s="2" t="str">
        <f t="shared" si="11"/>
        <v>yahoo</v>
      </c>
      <c r="AF383" s="2" t="str">
        <f t="shared" si="12"/>
        <v>Donna Oneill</v>
      </c>
      <c r="AG383" s="2" t="str">
        <f t="shared" si="13"/>
        <v>Donna</v>
      </c>
      <c r="AH383" s="2" t="str">
        <f t="shared" si="14"/>
        <v>Oneill</v>
      </c>
      <c r="AI383" s="2" t="str">
        <f t="shared" si="15"/>
        <v>Late</v>
      </c>
      <c r="AJ383" s="2" t="str">
        <f t="shared" si="16"/>
        <v>#NAME?</v>
      </c>
    </row>
    <row r="384" ht="14.25" customHeight="1">
      <c r="A384" s="2" t="s">
        <v>468</v>
      </c>
      <c r="B384" s="2" t="s">
        <v>101</v>
      </c>
      <c r="C384" s="2" t="s">
        <v>469</v>
      </c>
      <c r="D384" s="2">
        <v>33.0</v>
      </c>
      <c r="E384" s="2" t="s">
        <v>22</v>
      </c>
      <c r="F384" s="2" t="s">
        <v>161</v>
      </c>
      <c r="G384" s="2" t="s">
        <v>470</v>
      </c>
      <c r="H384" s="2" t="s">
        <v>2137</v>
      </c>
      <c r="I384" s="2" t="s">
        <v>471</v>
      </c>
      <c r="J384" s="2" t="s">
        <v>1668</v>
      </c>
      <c r="K384" s="3">
        <v>45060.0</v>
      </c>
      <c r="L384" s="2" t="s">
        <v>1669</v>
      </c>
      <c r="M384" s="2" t="s">
        <v>280</v>
      </c>
      <c r="N384" s="2">
        <v>157.64</v>
      </c>
      <c r="O384" s="2">
        <v>1.0</v>
      </c>
      <c r="P384" s="2" t="s">
        <v>89</v>
      </c>
      <c r="Q384" s="2">
        <v>7.0</v>
      </c>
      <c r="R384" s="2">
        <v>48.0</v>
      </c>
      <c r="S384" s="3">
        <v>45067.0</v>
      </c>
      <c r="T384" s="2" t="s">
        <v>1670</v>
      </c>
      <c r="U384" s="2">
        <f t="shared" si="1"/>
        <v>7</v>
      </c>
      <c r="V384" s="2">
        <f t="shared" si="2"/>
        <v>22</v>
      </c>
      <c r="W384" s="2">
        <f t="shared" si="3"/>
        <v>157.64</v>
      </c>
      <c r="X384" s="2">
        <f t="shared" si="4"/>
        <v>205.64</v>
      </c>
      <c r="Y384" s="2">
        <f t="shared" si="5"/>
        <v>0</v>
      </c>
      <c r="Z384" s="2">
        <f t="shared" si="6"/>
        <v>157.64</v>
      </c>
      <c r="AA384" s="2">
        <f t="shared" si="7"/>
        <v>205.64</v>
      </c>
      <c r="AB384" s="2" t="str">
        <f t="shared" si="8"/>
        <v>Sunday</v>
      </c>
      <c r="AC384" s="2" t="str">
        <f t="shared" si="9"/>
        <v>Weekend</v>
      </c>
      <c r="AD384" s="2" t="str">
        <f t="shared" si="10"/>
        <v>debra.hayes</v>
      </c>
      <c r="AE384" s="2" t="str">
        <f t="shared" si="11"/>
        <v>yahoo</v>
      </c>
      <c r="AF384" s="2" t="str">
        <f t="shared" si="12"/>
        <v>Debra Hayes</v>
      </c>
      <c r="AG384" s="2" t="str">
        <f t="shared" si="13"/>
        <v>Debra</v>
      </c>
      <c r="AH384" s="2" t="str">
        <f t="shared" si="14"/>
        <v>Hayes</v>
      </c>
      <c r="AI384" s="2" t="str">
        <f t="shared" si="15"/>
        <v>InTime</v>
      </c>
      <c r="AJ384" s="2" t="str">
        <f t="shared" si="16"/>
        <v>#NAME?</v>
      </c>
    </row>
    <row r="385" ht="14.25" customHeight="1">
      <c r="A385" s="2" t="s">
        <v>185</v>
      </c>
      <c r="B385" s="2" t="s">
        <v>186</v>
      </c>
      <c r="C385" s="2" t="s">
        <v>187</v>
      </c>
      <c r="D385" s="2">
        <v>34.0</v>
      </c>
      <c r="E385" s="2" t="s">
        <v>22</v>
      </c>
      <c r="F385" s="2" t="s">
        <v>83</v>
      </c>
      <c r="G385" s="2" t="s">
        <v>188</v>
      </c>
      <c r="H385" s="2" t="s">
        <v>2108</v>
      </c>
      <c r="I385" s="2" t="s">
        <v>189</v>
      </c>
      <c r="J385" s="2" t="s">
        <v>1671</v>
      </c>
      <c r="K385" s="3">
        <v>45243.0</v>
      </c>
      <c r="L385" s="2" t="s">
        <v>1672</v>
      </c>
      <c r="M385" s="2" t="s">
        <v>192</v>
      </c>
      <c r="N385" s="2">
        <v>20.7</v>
      </c>
      <c r="O385" s="2">
        <v>3.0</v>
      </c>
      <c r="P385" s="2" t="s">
        <v>29</v>
      </c>
      <c r="Q385" s="2">
        <v>5.0</v>
      </c>
      <c r="R385" s="2">
        <v>46.0</v>
      </c>
      <c r="S385" s="3">
        <v>45245.0</v>
      </c>
      <c r="T385" s="2" t="s">
        <v>1673</v>
      </c>
      <c r="U385" s="2">
        <f t="shared" si="1"/>
        <v>2</v>
      </c>
      <c r="V385" s="2">
        <f t="shared" si="2"/>
        <v>9</v>
      </c>
      <c r="W385" s="2">
        <f t="shared" si="3"/>
        <v>62.1</v>
      </c>
      <c r="X385" s="2">
        <f t="shared" si="4"/>
        <v>108.1</v>
      </c>
      <c r="Y385" s="2">
        <f t="shared" si="5"/>
        <v>0</v>
      </c>
      <c r="Z385" s="2">
        <f t="shared" si="6"/>
        <v>62.1</v>
      </c>
      <c r="AA385" s="2">
        <f t="shared" si="7"/>
        <v>108.1</v>
      </c>
      <c r="AB385" s="2" t="str">
        <f t="shared" si="8"/>
        <v>Monday</v>
      </c>
      <c r="AC385" s="2" t="str">
        <f t="shared" si="9"/>
        <v>Weekday</v>
      </c>
      <c r="AD385" s="2" t="str">
        <f t="shared" si="10"/>
        <v>traci.jones</v>
      </c>
      <c r="AE385" s="2" t="str">
        <f t="shared" si="11"/>
        <v>yahoo</v>
      </c>
      <c r="AF385" s="2" t="str">
        <f t="shared" si="12"/>
        <v>Traci Jones</v>
      </c>
      <c r="AG385" s="2" t="str">
        <f t="shared" si="13"/>
        <v>Traci</v>
      </c>
      <c r="AH385" s="2" t="str">
        <f t="shared" si="14"/>
        <v>Jones</v>
      </c>
      <c r="AI385" s="2" t="str">
        <f t="shared" si="15"/>
        <v>Before Time</v>
      </c>
      <c r="AJ385" s="2" t="str">
        <f t="shared" si="16"/>
        <v>#NAME?</v>
      </c>
    </row>
    <row r="386" ht="14.25" customHeight="1">
      <c r="A386" s="2" t="s">
        <v>632</v>
      </c>
      <c r="B386" s="2" t="s">
        <v>141</v>
      </c>
      <c r="C386" s="2" t="s">
        <v>633</v>
      </c>
      <c r="D386" s="2">
        <v>44.0</v>
      </c>
      <c r="E386" s="2" t="s">
        <v>45</v>
      </c>
      <c r="F386" s="2" t="s">
        <v>83</v>
      </c>
      <c r="G386" s="2" t="s">
        <v>634</v>
      </c>
      <c r="H386" s="2" t="s">
        <v>2150</v>
      </c>
      <c r="I386" s="2" t="s">
        <v>635</v>
      </c>
      <c r="J386" s="2" t="s">
        <v>1674</v>
      </c>
      <c r="K386" s="3">
        <v>45264.0</v>
      </c>
      <c r="L386" s="2" t="s">
        <v>1675</v>
      </c>
      <c r="M386" s="2" t="s">
        <v>243</v>
      </c>
      <c r="N386" s="2">
        <v>128.14</v>
      </c>
      <c r="O386" s="2">
        <v>3.0</v>
      </c>
      <c r="P386" s="2" t="s">
        <v>78</v>
      </c>
      <c r="Q386" s="2">
        <v>2.0</v>
      </c>
      <c r="R386" s="2">
        <v>49.0</v>
      </c>
      <c r="S386" s="3">
        <v>45270.0</v>
      </c>
      <c r="T386" s="2" t="s">
        <v>1676</v>
      </c>
      <c r="U386" s="2">
        <f t="shared" si="1"/>
        <v>6</v>
      </c>
      <c r="V386" s="2">
        <f t="shared" si="2"/>
        <v>9</v>
      </c>
      <c r="W386" s="2">
        <f t="shared" si="3"/>
        <v>384.42</v>
      </c>
      <c r="X386" s="2">
        <f t="shared" si="4"/>
        <v>433.42</v>
      </c>
      <c r="Y386" s="2">
        <f t="shared" si="5"/>
        <v>0</v>
      </c>
      <c r="Z386" s="2">
        <f t="shared" si="6"/>
        <v>384.42</v>
      </c>
      <c r="AA386" s="2">
        <f t="shared" si="7"/>
        <v>433.42</v>
      </c>
      <c r="AB386" s="2" t="str">
        <f t="shared" si="8"/>
        <v>Monday</v>
      </c>
      <c r="AC386" s="2" t="str">
        <f t="shared" si="9"/>
        <v>Weekday</v>
      </c>
      <c r="AD386" s="2" t="str">
        <f t="shared" si="10"/>
        <v>amy.ellis</v>
      </c>
      <c r="AE386" s="2" t="str">
        <f t="shared" si="11"/>
        <v>gmail</v>
      </c>
      <c r="AF386" s="2" t="str">
        <f t="shared" si="12"/>
        <v>Amy Ellis</v>
      </c>
      <c r="AG386" s="2" t="str">
        <f t="shared" si="13"/>
        <v>Amy</v>
      </c>
      <c r="AH386" s="2" t="str">
        <f t="shared" si="14"/>
        <v>Ellis</v>
      </c>
      <c r="AI386" s="2" t="str">
        <f t="shared" si="15"/>
        <v>Late</v>
      </c>
      <c r="AJ386" s="2" t="str">
        <f t="shared" si="16"/>
        <v>#NAME?</v>
      </c>
    </row>
    <row r="387" ht="14.25" customHeight="1">
      <c r="A387" s="2" t="s">
        <v>639</v>
      </c>
      <c r="B387" s="2" t="s">
        <v>640</v>
      </c>
      <c r="C387" s="2" t="s">
        <v>641</v>
      </c>
      <c r="D387" s="2">
        <v>45.0</v>
      </c>
      <c r="E387" s="2" t="s">
        <v>45</v>
      </c>
      <c r="F387" s="2" t="s">
        <v>83</v>
      </c>
      <c r="G387" s="2" t="s">
        <v>642</v>
      </c>
      <c r="H387" s="2" t="s">
        <v>2151</v>
      </c>
      <c r="I387" s="2" t="s">
        <v>643</v>
      </c>
      <c r="J387" s="2" t="s">
        <v>1677</v>
      </c>
      <c r="K387" s="3">
        <v>45404.0</v>
      </c>
      <c r="L387" s="2" t="s">
        <v>1678</v>
      </c>
      <c r="M387" s="2" t="s">
        <v>280</v>
      </c>
      <c r="N387" s="2">
        <v>157.64</v>
      </c>
      <c r="O387" s="2">
        <v>3.0</v>
      </c>
      <c r="P387" s="2" t="s">
        <v>29</v>
      </c>
      <c r="Q387" s="2">
        <v>4.0</v>
      </c>
      <c r="R387" s="2">
        <v>66.0</v>
      </c>
      <c r="S387" s="3">
        <v>45405.0</v>
      </c>
      <c r="T387" s="2" t="s">
        <v>1392</v>
      </c>
      <c r="U387" s="2">
        <f t="shared" si="1"/>
        <v>1</v>
      </c>
      <c r="V387" s="2">
        <f t="shared" si="2"/>
        <v>21</v>
      </c>
      <c r="W387" s="2">
        <f t="shared" si="3"/>
        <v>472.92</v>
      </c>
      <c r="X387" s="2">
        <f t="shared" si="4"/>
        <v>538.92</v>
      </c>
      <c r="Y387" s="2">
        <f t="shared" si="5"/>
        <v>0</v>
      </c>
      <c r="Z387" s="2">
        <f t="shared" si="6"/>
        <v>472.92</v>
      </c>
      <c r="AA387" s="2">
        <f t="shared" si="7"/>
        <v>538.92</v>
      </c>
      <c r="AB387" s="2" t="str">
        <f t="shared" si="8"/>
        <v>Monday</v>
      </c>
      <c r="AC387" s="2" t="str">
        <f t="shared" si="9"/>
        <v>Weekday</v>
      </c>
      <c r="AD387" s="2" t="str">
        <f t="shared" si="10"/>
        <v>beth.mason</v>
      </c>
      <c r="AE387" s="2" t="str">
        <f t="shared" si="11"/>
        <v>outlook</v>
      </c>
      <c r="AF387" s="2" t="str">
        <f t="shared" si="12"/>
        <v>Beth Mason</v>
      </c>
      <c r="AG387" s="2" t="str">
        <f t="shared" si="13"/>
        <v>Beth</v>
      </c>
      <c r="AH387" s="2" t="str">
        <f t="shared" si="14"/>
        <v>Mason</v>
      </c>
      <c r="AI387" s="2" t="str">
        <f t="shared" si="15"/>
        <v>Before Time</v>
      </c>
      <c r="AJ387" s="2" t="str">
        <f t="shared" si="16"/>
        <v>#NAME?</v>
      </c>
    </row>
    <row r="388" ht="14.25" customHeight="1">
      <c r="A388" s="2" t="s">
        <v>31</v>
      </c>
      <c r="B388" s="2" t="s">
        <v>32</v>
      </c>
      <c r="C388" s="2" t="s">
        <v>33</v>
      </c>
      <c r="D388" s="2">
        <v>53.0</v>
      </c>
      <c r="E388" s="2" t="s">
        <v>34</v>
      </c>
      <c r="F388" s="2" t="s">
        <v>35</v>
      </c>
      <c r="G388" s="2" t="s">
        <v>36</v>
      </c>
      <c r="H388" s="2" t="s">
        <v>2093</v>
      </c>
      <c r="I388" s="2" t="s">
        <v>37</v>
      </c>
      <c r="J388" s="2" t="s">
        <v>1679</v>
      </c>
      <c r="K388" s="3">
        <v>45469.0</v>
      </c>
      <c r="L388" s="2" t="s">
        <v>1680</v>
      </c>
      <c r="M388" s="2" t="s">
        <v>337</v>
      </c>
      <c r="N388" s="2">
        <v>372.62</v>
      </c>
      <c r="O388" s="2">
        <v>1.0</v>
      </c>
      <c r="P388" s="2" t="s">
        <v>89</v>
      </c>
      <c r="Q388" s="2">
        <v>1.0</v>
      </c>
      <c r="R388" s="2">
        <v>66.0</v>
      </c>
      <c r="S388" s="3">
        <v>45471.0</v>
      </c>
      <c r="T388" s="2" t="s">
        <v>1681</v>
      </c>
      <c r="U388" s="2">
        <f t="shared" si="1"/>
        <v>2</v>
      </c>
      <c r="V388" s="2">
        <f t="shared" si="2"/>
        <v>15</v>
      </c>
      <c r="W388" s="2">
        <f t="shared" si="3"/>
        <v>372.62</v>
      </c>
      <c r="X388" s="2">
        <f t="shared" si="4"/>
        <v>438.62</v>
      </c>
      <c r="Y388" s="2">
        <f t="shared" si="5"/>
        <v>0</v>
      </c>
      <c r="Z388" s="2">
        <f t="shared" si="6"/>
        <v>372.62</v>
      </c>
      <c r="AA388" s="2">
        <f t="shared" si="7"/>
        <v>438.62</v>
      </c>
      <c r="AB388" s="2" t="str">
        <f t="shared" si="8"/>
        <v>Wednesday</v>
      </c>
      <c r="AC388" s="2" t="str">
        <f t="shared" si="9"/>
        <v>Weekday</v>
      </c>
      <c r="AD388" s="2" t="str">
        <f t="shared" si="10"/>
        <v>anthony.thomas</v>
      </c>
      <c r="AE388" s="2" t="str">
        <f t="shared" si="11"/>
        <v>rediffmail</v>
      </c>
      <c r="AF388" s="2" t="str">
        <f t="shared" si="12"/>
        <v>Anthony Thomas</v>
      </c>
      <c r="AG388" s="2" t="str">
        <f t="shared" si="13"/>
        <v>Anthony</v>
      </c>
      <c r="AH388" s="2" t="str">
        <f t="shared" si="14"/>
        <v>Thomas</v>
      </c>
      <c r="AI388" s="2" t="str">
        <f t="shared" si="15"/>
        <v>Late</v>
      </c>
      <c r="AJ388" s="2" t="str">
        <f t="shared" si="16"/>
        <v>#NAME?</v>
      </c>
    </row>
    <row r="389" ht="14.25" customHeight="1">
      <c r="A389" s="2" t="s">
        <v>1607</v>
      </c>
      <c r="B389" s="2" t="s">
        <v>266</v>
      </c>
      <c r="C389" s="2" t="s">
        <v>1608</v>
      </c>
      <c r="D389" s="2">
        <v>62.0</v>
      </c>
      <c r="E389" s="2" t="s">
        <v>34</v>
      </c>
      <c r="F389" s="2" t="s">
        <v>35</v>
      </c>
      <c r="G389" s="2" t="s">
        <v>1609</v>
      </c>
      <c r="H389" s="2" t="s">
        <v>2186</v>
      </c>
      <c r="I389" s="2" t="s">
        <v>1610</v>
      </c>
      <c r="J389" s="2" t="s">
        <v>1682</v>
      </c>
      <c r="K389" s="3">
        <v>45116.0</v>
      </c>
      <c r="L389" s="2" t="s">
        <v>1683</v>
      </c>
      <c r="M389" s="2" t="s">
        <v>88</v>
      </c>
      <c r="N389" s="2">
        <v>363.64</v>
      </c>
      <c r="O389" s="2">
        <v>4.0</v>
      </c>
      <c r="P389" s="2" t="s">
        <v>56</v>
      </c>
      <c r="Q389" s="2">
        <v>6.0</v>
      </c>
      <c r="R389" s="2">
        <v>56.0</v>
      </c>
      <c r="S389" s="3">
        <v>45121.0</v>
      </c>
      <c r="T389" s="2" t="s">
        <v>1684</v>
      </c>
      <c r="U389" s="2">
        <f t="shared" si="1"/>
        <v>5</v>
      </c>
      <c r="V389" s="2">
        <f t="shared" si="2"/>
        <v>17</v>
      </c>
      <c r="W389" s="2">
        <f t="shared" si="3"/>
        <v>1454.56</v>
      </c>
      <c r="X389" s="2">
        <f t="shared" si="4"/>
        <v>1510.56</v>
      </c>
      <c r="Y389" s="2">
        <f t="shared" si="5"/>
        <v>0</v>
      </c>
      <c r="Z389" s="2">
        <f t="shared" si="6"/>
        <v>1454.56</v>
      </c>
      <c r="AA389" s="2">
        <f t="shared" si="7"/>
        <v>1454.56</v>
      </c>
      <c r="AB389" s="2" t="str">
        <f t="shared" si="8"/>
        <v>Sunday</v>
      </c>
      <c r="AC389" s="2" t="str">
        <f t="shared" si="9"/>
        <v>Weekend</v>
      </c>
      <c r="AD389" s="2" t="str">
        <f t="shared" si="10"/>
        <v>lauren.crane</v>
      </c>
      <c r="AE389" s="2" t="str">
        <f t="shared" si="11"/>
        <v>yahoo</v>
      </c>
      <c r="AF389" s="2" t="str">
        <f t="shared" si="12"/>
        <v>Lauren Crane</v>
      </c>
      <c r="AG389" s="2" t="str">
        <f t="shared" si="13"/>
        <v>Lauren</v>
      </c>
      <c r="AH389" s="2" t="str">
        <f t="shared" si="14"/>
        <v>Crane</v>
      </c>
      <c r="AI389" s="2" t="str">
        <f t="shared" si="15"/>
        <v>Before Time</v>
      </c>
      <c r="AJ389" s="2" t="str">
        <f t="shared" si="16"/>
        <v>#NAME?</v>
      </c>
    </row>
    <row r="390" ht="14.25" customHeight="1">
      <c r="A390" s="2" t="s">
        <v>229</v>
      </c>
      <c r="B390" s="2" t="s">
        <v>59</v>
      </c>
      <c r="C390" s="2" t="s">
        <v>230</v>
      </c>
      <c r="D390" s="2">
        <v>52.0</v>
      </c>
      <c r="E390" s="2" t="s">
        <v>45</v>
      </c>
      <c r="F390" s="2" t="s">
        <v>35</v>
      </c>
      <c r="G390" s="2" t="s">
        <v>231</v>
      </c>
      <c r="H390" s="2" t="s">
        <v>2113</v>
      </c>
      <c r="I390" s="2" t="s">
        <v>232</v>
      </c>
      <c r="J390" s="2" t="s">
        <v>1685</v>
      </c>
      <c r="K390" s="3">
        <v>45397.0</v>
      </c>
      <c r="L390" s="2" t="s">
        <v>1686</v>
      </c>
      <c r="M390" s="2" t="s">
        <v>466</v>
      </c>
      <c r="N390" s="2">
        <v>286.07</v>
      </c>
      <c r="O390" s="2">
        <v>5.0</v>
      </c>
      <c r="P390" s="2" t="s">
        <v>56</v>
      </c>
      <c r="Q390" s="2">
        <v>1.0</v>
      </c>
      <c r="R390" s="2">
        <v>41.0</v>
      </c>
      <c r="S390" s="3">
        <v>45404.0</v>
      </c>
      <c r="T390" s="2" t="s">
        <v>1687</v>
      </c>
      <c r="U390" s="2">
        <f t="shared" si="1"/>
        <v>7</v>
      </c>
      <c r="V390" s="2">
        <f t="shared" si="2"/>
        <v>2</v>
      </c>
      <c r="W390" s="2">
        <f t="shared" si="3"/>
        <v>1430.35</v>
      </c>
      <c r="X390" s="2">
        <f t="shared" si="4"/>
        <v>1471.35</v>
      </c>
      <c r="Y390" s="2">
        <f t="shared" si="5"/>
        <v>0</v>
      </c>
      <c r="Z390" s="2">
        <f t="shared" si="6"/>
        <v>1430.35</v>
      </c>
      <c r="AA390" s="2">
        <f t="shared" si="7"/>
        <v>1430.35</v>
      </c>
      <c r="AB390" s="2" t="str">
        <f t="shared" si="8"/>
        <v>Monday</v>
      </c>
      <c r="AC390" s="2" t="str">
        <f t="shared" si="9"/>
        <v>Weekday</v>
      </c>
      <c r="AD390" s="2" t="str">
        <f t="shared" si="10"/>
        <v>angela.evans</v>
      </c>
      <c r="AE390" s="2" t="str">
        <f t="shared" si="11"/>
        <v>outlook</v>
      </c>
      <c r="AF390" s="2" t="str">
        <f t="shared" si="12"/>
        <v>Angela Evans</v>
      </c>
      <c r="AG390" s="2" t="str">
        <f t="shared" si="13"/>
        <v>Angela</v>
      </c>
      <c r="AH390" s="2" t="str">
        <f t="shared" si="14"/>
        <v>Evans</v>
      </c>
      <c r="AI390" s="2" t="str">
        <f t="shared" si="15"/>
        <v>Late</v>
      </c>
      <c r="AJ390" s="2" t="str">
        <f t="shared" si="16"/>
        <v>#NAME?</v>
      </c>
    </row>
    <row r="391" ht="14.25" customHeight="1">
      <c r="A391" s="2" t="s">
        <v>539</v>
      </c>
      <c r="B391" s="2" t="s">
        <v>540</v>
      </c>
      <c r="C391" s="2" t="s">
        <v>541</v>
      </c>
      <c r="D391" s="2">
        <v>33.0</v>
      </c>
      <c r="E391" s="2" t="s">
        <v>45</v>
      </c>
      <c r="F391" s="2" t="s">
        <v>161</v>
      </c>
      <c r="G391" s="2" t="s">
        <v>542</v>
      </c>
      <c r="H391" s="2" t="s">
        <v>2145</v>
      </c>
      <c r="I391" s="2" t="s">
        <v>543</v>
      </c>
      <c r="J391" s="2" t="s">
        <v>1688</v>
      </c>
      <c r="K391" s="3">
        <v>45302.0</v>
      </c>
      <c r="L391" s="2" t="s">
        <v>1689</v>
      </c>
      <c r="M391" s="2" t="s">
        <v>239</v>
      </c>
      <c r="N391" s="2">
        <v>282.63</v>
      </c>
      <c r="O391" s="2">
        <v>3.0</v>
      </c>
      <c r="P391" s="2" t="s">
        <v>56</v>
      </c>
      <c r="Q391" s="2">
        <v>4.0</v>
      </c>
      <c r="R391" s="2">
        <v>66.0</v>
      </c>
      <c r="S391" s="3">
        <v>45307.0</v>
      </c>
      <c r="T391" s="2" t="s">
        <v>737</v>
      </c>
      <c r="U391" s="2">
        <f t="shared" si="1"/>
        <v>5</v>
      </c>
      <c r="V391" s="2">
        <f t="shared" si="2"/>
        <v>7</v>
      </c>
      <c r="W391" s="2">
        <f t="shared" si="3"/>
        <v>847.89</v>
      </c>
      <c r="X391" s="2">
        <f t="shared" si="4"/>
        <v>913.89</v>
      </c>
      <c r="Y391" s="2">
        <f t="shared" si="5"/>
        <v>0</v>
      </c>
      <c r="Z391" s="2">
        <f t="shared" si="6"/>
        <v>847.89</v>
      </c>
      <c r="AA391" s="2">
        <f t="shared" si="7"/>
        <v>847.89</v>
      </c>
      <c r="AB391" s="2" t="str">
        <f t="shared" si="8"/>
        <v>Thursday</v>
      </c>
      <c r="AC391" s="2" t="str">
        <f t="shared" si="9"/>
        <v>Weekday</v>
      </c>
      <c r="AD391" s="2" t="str">
        <f t="shared" si="10"/>
        <v>jodi.whitney</v>
      </c>
      <c r="AE391" s="2" t="str">
        <f t="shared" si="11"/>
        <v>yahoo</v>
      </c>
      <c r="AF391" s="2" t="str">
        <f t="shared" si="12"/>
        <v>Jodi Whitney</v>
      </c>
      <c r="AG391" s="2" t="str">
        <f t="shared" si="13"/>
        <v>Jodi</v>
      </c>
      <c r="AH391" s="2" t="str">
        <f t="shared" si="14"/>
        <v>Whitney</v>
      </c>
      <c r="AI391" s="2" t="str">
        <f t="shared" si="15"/>
        <v>Late</v>
      </c>
      <c r="AJ391" s="2" t="str">
        <f t="shared" si="16"/>
        <v>#NAME?</v>
      </c>
    </row>
    <row r="392" ht="14.25" customHeight="1">
      <c r="A392" s="2" t="s">
        <v>1450</v>
      </c>
      <c r="B392" s="2" t="s">
        <v>266</v>
      </c>
      <c r="C392" s="2" t="s">
        <v>1451</v>
      </c>
      <c r="D392" s="2">
        <v>30.0</v>
      </c>
      <c r="E392" s="2" t="s">
        <v>22</v>
      </c>
      <c r="F392" s="2" t="s">
        <v>213</v>
      </c>
      <c r="G392" s="2" t="s">
        <v>1452</v>
      </c>
      <c r="H392" s="2" t="s">
        <v>2143</v>
      </c>
      <c r="I392" s="2" t="s">
        <v>1453</v>
      </c>
      <c r="J392" s="2" t="s">
        <v>1690</v>
      </c>
      <c r="K392" s="3">
        <v>45361.0</v>
      </c>
      <c r="L392" s="2" t="s">
        <v>1691</v>
      </c>
      <c r="M392" s="2" t="s">
        <v>337</v>
      </c>
      <c r="N392" s="2">
        <v>372.62</v>
      </c>
      <c r="O392" s="2">
        <v>5.0</v>
      </c>
      <c r="P392" s="2" t="s">
        <v>29</v>
      </c>
      <c r="Q392" s="2">
        <v>4.0</v>
      </c>
      <c r="R392" s="2">
        <v>66.0</v>
      </c>
      <c r="S392" s="3">
        <v>45364.0</v>
      </c>
      <c r="T392" s="2" t="s">
        <v>1692</v>
      </c>
      <c r="U392" s="2">
        <f t="shared" si="1"/>
        <v>3</v>
      </c>
      <c r="V392" s="2">
        <f t="shared" si="2"/>
        <v>2</v>
      </c>
      <c r="W392" s="2">
        <f t="shared" si="3"/>
        <v>1863.1</v>
      </c>
      <c r="X392" s="2">
        <f t="shared" si="4"/>
        <v>1929.1</v>
      </c>
      <c r="Y392" s="2">
        <f t="shared" si="5"/>
        <v>0</v>
      </c>
      <c r="Z392" s="2">
        <f t="shared" si="6"/>
        <v>1863.1</v>
      </c>
      <c r="AA392" s="2">
        <f t="shared" si="7"/>
        <v>1929.1</v>
      </c>
      <c r="AB392" s="2" t="str">
        <f t="shared" si="8"/>
        <v>Sunday</v>
      </c>
      <c r="AC392" s="2" t="str">
        <f t="shared" si="9"/>
        <v>Weekend</v>
      </c>
      <c r="AD392" s="2" t="str">
        <f t="shared" si="10"/>
        <v>lauren.lane</v>
      </c>
      <c r="AE392" s="2" t="str">
        <f t="shared" si="11"/>
        <v>gmail</v>
      </c>
      <c r="AF392" s="2" t="str">
        <f t="shared" si="12"/>
        <v>Lauren Lane</v>
      </c>
      <c r="AG392" s="2" t="str">
        <f t="shared" si="13"/>
        <v>Lauren</v>
      </c>
      <c r="AH392" s="2" t="str">
        <f t="shared" si="14"/>
        <v>Lane</v>
      </c>
      <c r="AI392" s="2" t="str">
        <f t="shared" si="15"/>
        <v>Before Time</v>
      </c>
      <c r="AJ392" s="2" t="str">
        <f t="shared" si="16"/>
        <v>#NAME?</v>
      </c>
    </row>
    <row r="393" ht="14.25" customHeight="1">
      <c r="A393" s="2" t="s">
        <v>168</v>
      </c>
      <c r="B393" s="2" t="s">
        <v>169</v>
      </c>
      <c r="C393" s="2" t="s">
        <v>170</v>
      </c>
      <c r="D393" s="2">
        <v>36.0</v>
      </c>
      <c r="E393" s="2" t="s">
        <v>45</v>
      </c>
      <c r="F393" s="2" t="s">
        <v>133</v>
      </c>
      <c r="G393" s="2" t="s">
        <v>171</v>
      </c>
      <c r="H393" s="2" t="s">
        <v>2106</v>
      </c>
      <c r="I393" s="2" t="s">
        <v>172</v>
      </c>
      <c r="J393" s="2" t="s">
        <v>1693</v>
      </c>
      <c r="K393" s="3">
        <v>45091.0</v>
      </c>
      <c r="L393" s="2" t="s">
        <v>1694</v>
      </c>
      <c r="M393" s="2" t="s">
        <v>679</v>
      </c>
      <c r="N393" s="2">
        <v>424.82</v>
      </c>
      <c r="O393" s="2">
        <v>4.0</v>
      </c>
      <c r="P393" s="2" t="s">
        <v>89</v>
      </c>
      <c r="Q393" s="2">
        <v>5.0</v>
      </c>
      <c r="R393" s="2">
        <v>58.0</v>
      </c>
      <c r="S393" s="3">
        <v>45098.0</v>
      </c>
      <c r="T393" s="2" t="s">
        <v>1695</v>
      </c>
      <c r="U393" s="2">
        <f t="shared" si="1"/>
        <v>7</v>
      </c>
      <c r="V393" s="2">
        <f t="shared" si="2"/>
        <v>18</v>
      </c>
      <c r="W393" s="2">
        <f t="shared" si="3"/>
        <v>1699.28</v>
      </c>
      <c r="X393" s="2">
        <f t="shared" si="4"/>
        <v>1757.28</v>
      </c>
      <c r="Y393" s="2">
        <f t="shared" si="5"/>
        <v>0</v>
      </c>
      <c r="Z393" s="2">
        <f t="shared" si="6"/>
        <v>1699.28</v>
      </c>
      <c r="AA393" s="2">
        <f t="shared" si="7"/>
        <v>1757.28</v>
      </c>
      <c r="AB393" s="2" t="str">
        <f t="shared" si="8"/>
        <v>Wednesday</v>
      </c>
      <c r="AC393" s="2" t="str">
        <f t="shared" si="9"/>
        <v>Weekday</v>
      </c>
      <c r="AD393" s="2" t="str">
        <f t="shared" si="10"/>
        <v>gina.moreno</v>
      </c>
      <c r="AE393" s="2" t="str">
        <f t="shared" si="11"/>
        <v>rediffmail</v>
      </c>
      <c r="AF393" s="2" t="str">
        <f t="shared" si="12"/>
        <v>Gina Moreno</v>
      </c>
      <c r="AG393" s="2" t="str">
        <f t="shared" si="13"/>
        <v>Gina</v>
      </c>
      <c r="AH393" s="2" t="str">
        <f t="shared" si="14"/>
        <v>Moreno</v>
      </c>
      <c r="AI393" s="2" t="str">
        <f t="shared" si="15"/>
        <v>Late</v>
      </c>
      <c r="AJ393" s="2" t="str">
        <f t="shared" si="16"/>
        <v>#NAME?</v>
      </c>
    </row>
    <row r="394" ht="14.25" customHeight="1">
      <c r="A394" s="2" t="s">
        <v>394</v>
      </c>
      <c r="B394" s="2" t="s">
        <v>395</v>
      </c>
      <c r="C394" s="2" t="s">
        <v>396</v>
      </c>
      <c r="D394" s="2">
        <v>70.0</v>
      </c>
      <c r="E394" s="2" t="s">
        <v>22</v>
      </c>
      <c r="F394" s="2" t="s">
        <v>23</v>
      </c>
      <c r="G394" s="2" t="s">
        <v>397</v>
      </c>
      <c r="H394" s="2" t="s">
        <v>2129</v>
      </c>
      <c r="I394" s="2" t="s">
        <v>398</v>
      </c>
      <c r="J394" s="2" t="s">
        <v>1696</v>
      </c>
      <c r="K394" s="3">
        <v>45172.0</v>
      </c>
      <c r="L394" s="2" t="s">
        <v>1697</v>
      </c>
      <c r="M394" s="2" t="s">
        <v>488</v>
      </c>
      <c r="N394" s="2">
        <v>421.7</v>
      </c>
      <c r="O394" s="2">
        <v>3.0</v>
      </c>
      <c r="P394" s="2" t="s">
        <v>56</v>
      </c>
      <c r="Q394" s="2">
        <v>3.0</v>
      </c>
      <c r="R394" s="2">
        <v>56.0</v>
      </c>
      <c r="S394" s="3">
        <v>45177.0</v>
      </c>
      <c r="T394" s="2" t="s">
        <v>1698</v>
      </c>
      <c r="U394" s="2">
        <f t="shared" si="1"/>
        <v>5</v>
      </c>
      <c r="V394" s="2">
        <f t="shared" si="2"/>
        <v>14</v>
      </c>
      <c r="W394" s="2">
        <f t="shared" si="3"/>
        <v>1265.1</v>
      </c>
      <c r="X394" s="2">
        <f t="shared" si="4"/>
        <v>1321.1</v>
      </c>
      <c r="Y394" s="2">
        <f t="shared" si="5"/>
        <v>0</v>
      </c>
      <c r="Z394" s="2">
        <f t="shared" si="6"/>
        <v>1265.1</v>
      </c>
      <c r="AA394" s="2">
        <f t="shared" si="7"/>
        <v>1265.1</v>
      </c>
      <c r="AB394" s="2" t="str">
        <f t="shared" si="8"/>
        <v>Sunday</v>
      </c>
      <c r="AC394" s="2" t="str">
        <f t="shared" si="9"/>
        <v>Weekend</v>
      </c>
      <c r="AD394" s="2" t="str">
        <f t="shared" si="10"/>
        <v>alexandra.smith</v>
      </c>
      <c r="AE394" s="2" t="str">
        <f t="shared" si="11"/>
        <v>rediffmail</v>
      </c>
      <c r="AF394" s="2" t="str">
        <f t="shared" si="12"/>
        <v>Alexandra Smith</v>
      </c>
      <c r="AG394" s="2" t="str">
        <f t="shared" si="13"/>
        <v>Alexandra</v>
      </c>
      <c r="AH394" s="2" t="str">
        <f t="shared" si="14"/>
        <v>Smith</v>
      </c>
      <c r="AI394" s="2" t="str">
        <f t="shared" si="15"/>
        <v>Late</v>
      </c>
      <c r="AJ394" s="2" t="str">
        <f t="shared" si="16"/>
        <v>#NAME?</v>
      </c>
    </row>
    <row r="395" ht="14.25" customHeight="1">
      <c r="A395" s="2" t="s">
        <v>709</v>
      </c>
      <c r="B395" s="2" t="s">
        <v>710</v>
      </c>
      <c r="C395" s="2" t="s">
        <v>711</v>
      </c>
      <c r="D395" s="2">
        <v>32.0</v>
      </c>
      <c r="E395" s="2" t="s">
        <v>34</v>
      </c>
      <c r="F395" s="2" t="s">
        <v>23</v>
      </c>
      <c r="G395" s="2" t="s">
        <v>712</v>
      </c>
      <c r="H395" s="2" t="s">
        <v>2156</v>
      </c>
      <c r="I395" s="2" t="s">
        <v>713</v>
      </c>
      <c r="J395" s="2" t="s">
        <v>1699</v>
      </c>
      <c r="K395" s="3">
        <v>45343.0</v>
      </c>
      <c r="L395" s="2" t="s">
        <v>1700</v>
      </c>
      <c r="M395" s="2" t="s">
        <v>864</v>
      </c>
      <c r="N395" s="2">
        <v>292.15</v>
      </c>
      <c r="O395" s="2">
        <v>2.0</v>
      </c>
      <c r="P395" s="2" t="s">
        <v>51</v>
      </c>
      <c r="Q395" s="2">
        <v>6.0</v>
      </c>
      <c r="R395" s="2">
        <v>60.0</v>
      </c>
      <c r="S395" s="3">
        <v>45348.0</v>
      </c>
      <c r="T395" s="2" t="s">
        <v>1701</v>
      </c>
      <c r="U395" s="2">
        <f t="shared" si="1"/>
        <v>5</v>
      </c>
      <c r="V395" s="2">
        <f t="shared" si="2"/>
        <v>2</v>
      </c>
      <c r="W395" s="2">
        <f t="shared" si="3"/>
        <v>584.3</v>
      </c>
      <c r="X395" s="2">
        <f t="shared" si="4"/>
        <v>644.3</v>
      </c>
      <c r="Y395" s="2">
        <f t="shared" si="5"/>
        <v>0</v>
      </c>
      <c r="Z395" s="2">
        <f t="shared" si="6"/>
        <v>584.3</v>
      </c>
      <c r="AA395" s="2">
        <f t="shared" si="7"/>
        <v>644.3</v>
      </c>
      <c r="AB395" s="2" t="str">
        <f t="shared" si="8"/>
        <v>Wednesday</v>
      </c>
      <c r="AC395" s="2" t="str">
        <f t="shared" si="9"/>
        <v>Weekday</v>
      </c>
      <c r="AD395" s="2" t="str">
        <f t="shared" si="10"/>
        <v>bruce.allen</v>
      </c>
      <c r="AE395" s="2" t="str">
        <f t="shared" si="11"/>
        <v>rediffmail</v>
      </c>
      <c r="AF395" s="2" t="str">
        <f t="shared" si="12"/>
        <v>Bruce Allen</v>
      </c>
      <c r="AG395" s="2" t="str">
        <f t="shared" si="13"/>
        <v>Bruce</v>
      </c>
      <c r="AH395" s="2" t="str">
        <f t="shared" si="14"/>
        <v>Allen</v>
      </c>
      <c r="AI395" s="2" t="str">
        <f t="shared" si="15"/>
        <v>Before Time</v>
      </c>
      <c r="AJ395" s="2" t="str">
        <f t="shared" si="16"/>
        <v>#NAME?</v>
      </c>
    </row>
    <row r="396" ht="14.25" customHeight="1">
      <c r="A396" s="2" t="s">
        <v>210</v>
      </c>
      <c r="B396" s="2" t="s">
        <v>211</v>
      </c>
      <c r="C396" s="2" t="s">
        <v>212</v>
      </c>
      <c r="D396" s="2">
        <v>33.0</v>
      </c>
      <c r="E396" s="2" t="s">
        <v>45</v>
      </c>
      <c r="F396" s="2" t="s">
        <v>213</v>
      </c>
      <c r="G396" s="2" t="s">
        <v>214</v>
      </c>
      <c r="H396" s="2" t="s">
        <v>2111</v>
      </c>
      <c r="I396" s="2" t="s">
        <v>215</v>
      </c>
      <c r="J396" s="2" t="s">
        <v>1702</v>
      </c>
      <c r="K396" s="3">
        <v>45657.0</v>
      </c>
      <c r="L396" s="2" t="s">
        <v>1703</v>
      </c>
      <c r="M396" s="2" t="s">
        <v>337</v>
      </c>
      <c r="N396" s="2">
        <v>372.62</v>
      </c>
      <c r="O396" s="2">
        <v>1.0</v>
      </c>
      <c r="P396" s="2" t="s">
        <v>51</v>
      </c>
      <c r="Q396" s="2">
        <v>5.0</v>
      </c>
      <c r="R396" s="2">
        <v>50.0</v>
      </c>
      <c r="S396" s="3">
        <v>45661.0</v>
      </c>
      <c r="T396" s="2" t="s">
        <v>1704</v>
      </c>
      <c r="U396" s="2">
        <f t="shared" si="1"/>
        <v>4</v>
      </c>
      <c r="V396" s="2">
        <f t="shared" si="2"/>
        <v>10</v>
      </c>
      <c r="W396" s="2">
        <f t="shared" si="3"/>
        <v>372.62</v>
      </c>
      <c r="X396" s="2">
        <f t="shared" si="4"/>
        <v>422.62</v>
      </c>
      <c r="Y396" s="2">
        <f t="shared" si="5"/>
        <v>0</v>
      </c>
      <c r="Z396" s="2">
        <f t="shared" si="6"/>
        <v>372.62</v>
      </c>
      <c r="AA396" s="2">
        <f t="shared" si="7"/>
        <v>422.62</v>
      </c>
      <c r="AB396" s="2" t="str">
        <f t="shared" si="8"/>
        <v>Tuesday</v>
      </c>
      <c r="AC396" s="2" t="str">
        <f t="shared" si="9"/>
        <v>Weekday</v>
      </c>
      <c r="AD396" s="2" t="str">
        <f t="shared" si="10"/>
        <v>mark.henderson</v>
      </c>
      <c r="AE396" s="2" t="str">
        <f t="shared" si="11"/>
        <v>yahoo</v>
      </c>
      <c r="AF396" s="2" t="str">
        <f t="shared" si="12"/>
        <v>Mark Henderson</v>
      </c>
      <c r="AG396" s="2" t="str">
        <f t="shared" si="13"/>
        <v>Mark</v>
      </c>
      <c r="AH396" s="2" t="str">
        <f t="shared" si="14"/>
        <v>Henderson</v>
      </c>
      <c r="AI396" s="2" t="str">
        <f t="shared" si="15"/>
        <v>Before Time</v>
      </c>
      <c r="AJ396" s="2" t="str">
        <f t="shared" si="16"/>
        <v>#NAME?</v>
      </c>
    </row>
    <row r="397" ht="14.25" customHeight="1">
      <c r="A397" s="2" t="s">
        <v>1607</v>
      </c>
      <c r="B397" s="2" t="s">
        <v>266</v>
      </c>
      <c r="C397" s="2" t="s">
        <v>1608</v>
      </c>
      <c r="D397" s="2">
        <v>62.0</v>
      </c>
      <c r="E397" s="2" t="s">
        <v>34</v>
      </c>
      <c r="F397" s="2" t="s">
        <v>35</v>
      </c>
      <c r="G397" s="2" t="s">
        <v>1609</v>
      </c>
      <c r="H397" s="2" t="s">
        <v>2186</v>
      </c>
      <c r="I397" s="2" t="s">
        <v>1610</v>
      </c>
      <c r="J397" s="2" t="s">
        <v>1705</v>
      </c>
      <c r="K397" s="3">
        <v>45340.0</v>
      </c>
      <c r="L397" s="2" t="s">
        <v>1706</v>
      </c>
      <c r="M397" s="2" t="s">
        <v>107</v>
      </c>
      <c r="N397" s="2">
        <v>48.45</v>
      </c>
      <c r="O397" s="2">
        <v>3.0</v>
      </c>
      <c r="P397" s="2" t="s">
        <v>51</v>
      </c>
      <c r="Q397" s="2">
        <v>5.0</v>
      </c>
      <c r="R397" s="2">
        <v>42.0</v>
      </c>
      <c r="S397" s="3">
        <v>45347.0</v>
      </c>
      <c r="T397" s="2" t="s">
        <v>1707</v>
      </c>
      <c r="U397" s="2">
        <f t="shared" si="1"/>
        <v>7</v>
      </c>
      <c r="V397" s="2">
        <f t="shared" si="2"/>
        <v>1</v>
      </c>
      <c r="W397" s="2">
        <f t="shared" si="3"/>
        <v>145.35</v>
      </c>
      <c r="X397" s="2">
        <f t="shared" si="4"/>
        <v>187.35</v>
      </c>
      <c r="Y397" s="2">
        <f t="shared" si="5"/>
        <v>0</v>
      </c>
      <c r="Z397" s="2">
        <f t="shared" si="6"/>
        <v>145.35</v>
      </c>
      <c r="AA397" s="2">
        <f t="shared" si="7"/>
        <v>187.35</v>
      </c>
      <c r="AB397" s="2" t="str">
        <f t="shared" si="8"/>
        <v>Sunday</v>
      </c>
      <c r="AC397" s="2" t="str">
        <f t="shared" si="9"/>
        <v>Weekend</v>
      </c>
      <c r="AD397" s="2" t="str">
        <f t="shared" si="10"/>
        <v>lauren.crane</v>
      </c>
      <c r="AE397" s="2" t="str">
        <f t="shared" si="11"/>
        <v>yahoo</v>
      </c>
      <c r="AF397" s="2" t="str">
        <f t="shared" si="12"/>
        <v>Lauren Crane</v>
      </c>
      <c r="AG397" s="2" t="str">
        <f t="shared" si="13"/>
        <v>Lauren</v>
      </c>
      <c r="AH397" s="2" t="str">
        <f t="shared" si="14"/>
        <v>Crane</v>
      </c>
      <c r="AI397" s="2" t="str">
        <f t="shared" si="15"/>
        <v>Late</v>
      </c>
      <c r="AJ397" s="2" t="str">
        <f t="shared" si="16"/>
        <v>#NAME?</v>
      </c>
    </row>
    <row r="398" ht="14.25" customHeight="1">
      <c r="A398" s="2" t="s">
        <v>664</v>
      </c>
      <c r="B398" s="2" t="s">
        <v>665</v>
      </c>
      <c r="C398" s="2" t="s">
        <v>666</v>
      </c>
      <c r="D398" s="2">
        <v>38.0</v>
      </c>
      <c r="E398" s="2" t="s">
        <v>34</v>
      </c>
      <c r="F398" s="2" t="s">
        <v>213</v>
      </c>
      <c r="G398" s="2" t="s">
        <v>667</v>
      </c>
      <c r="H398" s="2" t="s">
        <v>2152</v>
      </c>
      <c r="I398" s="2" t="s">
        <v>668</v>
      </c>
      <c r="J398" s="2" t="s">
        <v>1708</v>
      </c>
      <c r="K398" s="3">
        <v>45312.0</v>
      </c>
      <c r="L398" s="2" t="s">
        <v>1709</v>
      </c>
      <c r="M398" s="2" t="s">
        <v>138</v>
      </c>
      <c r="N398" s="2">
        <v>190.1</v>
      </c>
      <c r="O398" s="2">
        <v>3.0</v>
      </c>
      <c r="P398" s="2" t="s">
        <v>89</v>
      </c>
      <c r="Q398" s="2">
        <v>3.0</v>
      </c>
      <c r="R398" s="2">
        <v>41.0</v>
      </c>
      <c r="S398" s="3">
        <v>45315.0</v>
      </c>
      <c r="T398" s="2" t="s">
        <v>1710</v>
      </c>
      <c r="U398" s="2">
        <f t="shared" si="1"/>
        <v>3</v>
      </c>
      <c r="V398" s="2">
        <f t="shared" si="2"/>
        <v>20</v>
      </c>
      <c r="W398" s="2">
        <f t="shared" si="3"/>
        <v>570.3</v>
      </c>
      <c r="X398" s="2">
        <f t="shared" si="4"/>
        <v>611.3</v>
      </c>
      <c r="Y398" s="2">
        <f t="shared" si="5"/>
        <v>0</v>
      </c>
      <c r="Z398" s="2">
        <f t="shared" si="6"/>
        <v>570.3</v>
      </c>
      <c r="AA398" s="2">
        <f t="shared" si="7"/>
        <v>611.3</v>
      </c>
      <c r="AB398" s="2" t="str">
        <f t="shared" si="8"/>
        <v>Sunday</v>
      </c>
      <c r="AC398" s="2" t="str">
        <f t="shared" si="9"/>
        <v>Weekend</v>
      </c>
      <c r="AD398" s="2" t="str">
        <f t="shared" si="10"/>
        <v>christy.chang</v>
      </c>
      <c r="AE398" s="2" t="str">
        <f t="shared" si="11"/>
        <v>outlook</v>
      </c>
      <c r="AF398" s="2" t="str">
        <f t="shared" si="12"/>
        <v>Christy Chang</v>
      </c>
      <c r="AG398" s="2" t="str">
        <f t="shared" si="13"/>
        <v>Christy</v>
      </c>
      <c r="AH398" s="2" t="str">
        <f t="shared" si="14"/>
        <v>Chang</v>
      </c>
      <c r="AI398" s="2" t="str">
        <f t="shared" si="15"/>
        <v>InTime</v>
      </c>
      <c r="AJ398" s="2" t="str">
        <f t="shared" si="16"/>
        <v>#NAME?</v>
      </c>
    </row>
    <row r="399" ht="14.25" customHeight="1">
      <c r="A399" s="2" t="s">
        <v>1607</v>
      </c>
      <c r="B399" s="2" t="s">
        <v>266</v>
      </c>
      <c r="C399" s="2" t="s">
        <v>1608</v>
      </c>
      <c r="D399" s="2">
        <v>62.0</v>
      </c>
      <c r="E399" s="2" t="s">
        <v>34</v>
      </c>
      <c r="F399" s="2" t="s">
        <v>35</v>
      </c>
      <c r="G399" s="2" t="s">
        <v>1609</v>
      </c>
      <c r="H399" s="2" t="s">
        <v>2186</v>
      </c>
      <c r="I399" s="2" t="s">
        <v>1610</v>
      </c>
      <c r="J399" s="2" t="s">
        <v>1711</v>
      </c>
      <c r="K399" s="3">
        <v>45344.0</v>
      </c>
      <c r="L399" s="2" t="s">
        <v>1712</v>
      </c>
      <c r="M399" s="2" t="s">
        <v>218</v>
      </c>
      <c r="N399" s="2">
        <v>461.07</v>
      </c>
      <c r="O399" s="2">
        <v>4.0</v>
      </c>
      <c r="P399" s="2" t="s">
        <v>51</v>
      </c>
      <c r="Q399" s="2">
        <v>1.0</v>
      </c>
      <c r="R399" s="2">
        <v>66.0</v>
      </c>
      <c r="S399" s="3">
        <v>45346.0</v>
      </c>
      <c r="T399" s="2" t="s">
        <v>1713</v>
      </c>
      <c r="U399" s="2">
        <f t="shared" si="1"/>
        <v>2</v>
      </c>
      <c r="V399" s="2">
        <f t="shared" si="2"/>
        <v>3</v>
      </c>
      <c r="W399" s="2">
        <f t="shared" si="3"/>
        <v>1844.28</v>
      </c>
      <c r="X399" s="2">
        <f t="shared" si="4"/>
        <v>1910.28</v>
      </c>
      <c r="Y399" s="2">
        <f t="shared" si="5"/>
        <v>0</v>
      </c>
      <c r="Z399" s="2">
        <f t="shared" si="6"/>
        <v>1844.28</v>
      </c>
      <c r="AA399" s="2">
        <f t="shared" si="7"/>
        <v>1910.28</v>
      </c>
      <c r="AB399" s="2" t="str">
        <f t="shared" si="8"/>
        <v>Thursday</v>
      </c>
      <c r="AC399" s="2" t="str">
        <f t="shared" si="9"/>
        <v>Weekday</v>
      </c>
      <c r="AD399" s="2" t="str">
        <f t="shared" si="10"/>
        <v>lauren.crane</v>
      </c>
      <c r="AE399" s="2" t="str">
        <f t="shared" si="11"/>
        <v>yahoo</v>
      </c>
      <c r="AF399" s="2" t="str">
        <f t="shared" si="12"/>
        <v>Lauren Crane</v>
      </c>
      <c r="AG399" s="2" t="str">
        <f t="shared" si="13"/>
        <v>Lauren</v>
      </c>
      <c r="AH399" s="2" t="str">
        <f t="shared" si="14"/>
        <v>Crane</v>
      </c>
      <c r="AI399" s="2" t="str">
        <f t="shared" si="15"/>
        <v>Late</v>
      </c>
      <c r="AJ399" s="2" t="str">
        <f t="shared" si="16"/>
        <v>#NAME?</v>
      </c>
    </row>
    <row r="400" ht="14.25" customHeight="1">
      <c r="A400" s="2" t="s">
        <v>318</v>
      </c>
      <c r="B400" s="2" t="s">
        <v>319</v>
      </c>
      <c r="C400" s="2" t="s">
        <v>320</v>
      </c>
      <c r="D400" s="2">
        <v>29.0</v>
      </c>
      <c r="E400" s="2" t="s">
        <v>45</v>
      </c>
      <c r="F400" s="2" t="s">
        <v>83</v>
      </c>
      <c r="G400" s="2" t="s">
        <v>321</v>
      </c>
      <c r="H400" s="2" t="s">
        <v>2121</v>
      </c>
      <c r="I400" s="2" t="s">
        <v>322</v>
      </c>
      <c r="J400" s="2" t="s">
        <v>1714</v>
      </c>
      <c r="K400" s="3">
        <v>45295.0</v>
      </c>
      <c r="L400" s="2" t="s">
        <v>1715</v>
      </c>
      <c r="M400" s="2" t="s">
        <v>280</v>
      </c>
      <c r="N400" s="2">
        <v>157.64</v>
      </c>
      <c r="O400" s="2">
        <v>5.0</v>
      </c>
      <c r="P400" s="2" t="s">
        <v>29</v>
      </c>
      <c r="Q400" s="2">
        <v>2.0</v>
      </c>
      <c r="R400" s="2">
        <v>46.0</v>
      </c>
      <c r="S400" s="3">
        <v>45301.0</v>
      </c>
      <c r="T400" s="2" t="s">
        <v>1716</v>
      </c>
      <c r="U400" s="2">
        <f t="shared" si="1"/>
        <v>6</v>
      </c>
      <c r="V400" s="2">
        <f t="shared" si="2"/>
        <v>0</v>
      </c>
      <c r="W400" s="2">
        <f t="shared" si="3"/>
        <v>788.2</v>
      </c>
      <c r="X400" s="2">
        <f t="shared" si="4"/>
        <v>834.2</v>
      </c>
      <c r="Y400" s="2">
        <f t="shared" si="5"/>
        <v>0</v>
      </c>
      <c r="Z400" s="2">
        <f t="shared" si="6"/>
        <v>788.2</v>
      </c>
      <c r="AA400" s="2">
        <f t="shared" si="7"/>
        <v>834.2</v>
      </c>
      <c r="AB400" s="2" t="str">
        <f t="shared" si="8"/>
        <v>Thursday</v>
      </c>
      <c r="AC400" s="2" t="str">
        <f t="shared" si="9"/>
        <v>Weekday</v>
      </c>
      <c r="AD400" s="2" t="str">
        <f t="shared" si="10"/>
        <v>courtney.parker</v>
      </c>
      <c r="AE400" s="2" t="str">
        <f t="shared" si="11"/>
        <v>yahoo</v>
      </c>
      <c r="AF400" s="2" t="str">
        <f t="shared" si="12"/>
        <v>Courtney Parker</v>
      </c>
      <c r="AG400" s="2" t="str">
        <f t="shared" si="13"/>
        <v>Courtney</v>
      </c>
      <c r="AH400" s="2" t="str">
        <f t="shared" si="14"/>
        <v>Parker</v>
      </c>
      <c r="AI400" s="2" t="str">
        <f t="shared" si="15"/>
        <v>Late</v>
      </c>
      <c r="AJ400" s="2" t="str">
        <f t="shared" si="16"/>
        <v>#NAME?</v>
      </c>
    </row>
    <row r="401" ht="14.25" customHeight="1">
      <c r="A401" s="2" t="s">
        <v>194</v>
      </c>
      <c r="B401" s="2" t="s">
        <v>195</v>
      </c>
      <c r="C401" s="2" t="s">
        <v>196</v>
      </c>
      <c r="D401" s="2">
        <v>23.0</v>
      </c>
      <c r="E401" s="2" t="s">
        <v>22</v>
      </c>
      <c r="F401" s="2" t="s">
        <v>83</v>
      </c>
      <c r="G401" s="2" t="s">
        <v>197</v>
      </c>
      <c r="H401" s="2" t="s">
        <v>2109</v>
      </c>
      <c r="I401" s="2" t="s">
        <v>198</v>
      </c>
      <c r="J401" s="2" t="s">
        <v>1717</v>
      </c>
      <c r="K401" s="3">
        <v>45477.0</v>
      </c>
      <c r="L401" s="2" t="s">
        <v>1718</v>
      </c>
      <c r="M401" s="2" t="s">
        <v>630</v>
      </c>
      <c r="N401" s="2">
        <v>445.81</v>
      </c>
      <c r="O401" s="2">
        <v>3.0</v>
      </c>
      <c r="P401" s="2" t="s">
        <v>29</v>
      </c>
      <c r="Q401" s="2">
        <v>1.0</v>
      </c>
      <c r="R401" s="2">
        <v>37.0</v>
      </c>
      <c r="S401" s="3">
        <v>45478.0</v>
      </c>
      <c r="T401" s="2" t="s">
        <v>1719</v>
      </c>
      <c r="U401" s="2">
        <f t="shared" si="1"/>
        <v>1</v>
      </c>
      <c r="V401" s="2">
        <f t="shared" si="2"/>
        <v>4</v>
      </c>
      <c r="W401" s="2">
        <f t="shared" si="3"/>
        <v>1337.43</v>
      </c>
      <c r="X401" s="2">
        <f t="shared" si="4"/>
        <v>1374.43</v>
      </c>
      <c r="Y401" s="2">
        <f t="shared" si="5"/>
        <v>0</v>
      </c>
      <c r="Z401" s="2">
        <f t="shared" si="6"/>
        <v>1337.43</v>
      </c>
      <c r="AA401" s="2">
        <f t="shared" si="7"/>
        <v>1374.43</v>
      </c>
      <c r="AB401" s="2" t="str">
        <f t="shared" si="8"/>
        <v>Thursday</v>
      </c>
      <c r="AC401" s="2" t="str">
        <f t="shared" si="9"/>
        <v>Weekday</v>
      </c>
      <c r="AD401" s="2" t="str">
        <f t="shared" si="10"/>
        <v>deborah.bates</v>
      </c>
      <c r="AE401" s="2" t="str">
        <f t="shared" si="11"/>
        <v>yahoo</v>
      </c>
      <c r="AF401" s="2" t="str">
        <f t="shared" si="12"/>
        <v>Deborah Bates</v>
      </c>
      <c r="AG401" s="2" t="str">
        <f t="shared" si="13"/>
        <v>Deborah</v>
      </c>
      <c r="AH401" s="2" t="str">
        <f t="shared" si="14"/>
        <v>Bates</v>
      </c>
      <c r="AI401" s="2" t="str">
        <f t="shared" si="15"/>
        <v>InTime</v>
      </c>
      <c r="AJ401" s="2" t="str">
        <f t="shared" si="16"/>
        <v>#NAME?</v>
      </c>
    </row>
    <row r="402" ht="14.25" customHeight="1">
      <c r="A402" s="2" t="s">
        <v>1720</v>
      </c>
      <c r="B402" s="2" t="s">
        <v>1721</v>
      </c>
      <c r="C402" s="2" t="s">
        <v>361</v>
      </c>
      <c r="D402" s="2">
        <v>34.0</v>
      </c>
      <c r="E402" s="2" t="s">
        <v>45</v>
      </c>
      <c r="F402" s="2" t="s">
        <v>152</v>
      </c>
      <c r="G402" s="2" t="s">
        <v>1722</v>
      </c>
      <c r="H402" s="2" t="s">
        <v>2187</v>
      </c>
      <c r="I402" s="2" t="s">
        <v>1723</v>
      </c>
      <c r="J402" s="2" t="s">
        <v>1724</v>
      </c>
      <c r="K402" s="3">
        <v>45646.0</v>
      </c>
      <c r="L402" s="2" t="s">
        <v>1725</v>
      </c>
      <c r="M402" s="2" t="s">
        <v>316</v>
      </c>
      <c r="N402" s="2">
        <v>481.48</v>
      </c>
      <c r="O402" s="2">
        <v>4.0</v>
      </c>
      <c r="P402" s="2" t="s">
        <v>51</v>
      </c>
      <c r="Q402" s="2">
        <v>4.0</v>
      </c>
      <c r="R402" s="2">
        <v>38.0</v>
      </c>
      <c r="S402" s="3">
        <v>45647.0</v>
      </c>
      <c r="T402" s="2" t="s">
        <v>1726</v>
      </c>
      <c r="U402" s="2">
        <f t="shared" si="1"/>
        <v>1</v>
      </c>
      <c r="V402" s="2">
        <f t="shared" si="2"/>
        <v>7</v>
      </c>
      <c r="W402" s="2">
        <f t="shared" si="3"/>
        <v>1925.92</v>
      </c>
      <c r="X402" s="2">
        <f t="shared" si="4"/>
        <v>1963.92</v>
      </c>
      <c r="Y402" s="2">
        <f t="shared" si="5"/>
        <v>0</v>
      </c>
      <c r="Z402" s="2">
        <f t="shared" si="6"/>
        <v>1925.92</v>
      </c>
      <c r="AA402" s="2">
        <f t="shared" si="7"/>
        <v>1963.92</v>
      </c>
      <c r="AB402" s="2" t="str">
        <f t="shared" si="8"/>
        <v>Friday</v>
      </c>
      <c r="AC402" s="2" t="str">
        <f t="shared" si="9"/>
        <v>Weekday</v>
      </c>
      <c r="AD402" s="2" t="str">
        <f t="shared" si="10"/>
        <v>katie.hicks</v>
      </c>
      <c r="AE402" s="2" t="str">
        <f t="shared" si="11"/>
        <v>rediffmail</v>
      </c>
      <c r="AF402" s="2" t="str">
        <f t="shared" si="12"/>
        <v>Katie Hicks</v>
      </c>
      <c r="AG402" s="2" t="str">
        <f t="shared" si="13"/>
        <v>Katie</v>
      </c>
      <c r="AH402" s="2" t="str">
        <f t="shared" si="14"/>
        <v>Hicks</v>
      </c>
      <c r="AI402" s="2" t="str">
        <f t="shared" si="15"/>
        <v>Before Time</v>
      </c>
      <c r="AJ402" s="2" t="str">
        <f t="shared" si="16"/>
        <v>#NAME?</v>
      </c>
    </row>
    <row r="403" ht="14.25" customHeight="1">
      <c r="A403" s="2" t="s">
        <v>386</v>
      </c>
      <c r="B403" s="2" t="s">
        <v>387</v>
      </c>
      <c r="C403" s="2" t="s">
        <v>388</v>
      </c>
      <c r="D403" s="2">
        <v>40.0</v>
      </c>
      <c r="E403" s="2" t="s">
        <v>45</v>
      </c>
      <c r="F403" s="2" t="s">
        <v>161</v>
      </c>
      <c r="G403" s="2" t="s">
        <v>389</v>
      </c>
      <c r="H403" s="2" t="s">
        <v>2128</v>
      </c>
      <c r="I403" s="2" t="s">
        <v>390</v>
      </c>
      <c r="J403" s="2" t="s">
        <v>1727</v>
      </c>
      <c r="K403" s="3">
        <v>45033.0</v>
      </c>
      <c r="L403" s="2" t="s">
        <v>1728</v>
      </c>
      <c r="M403" s="2" t="s">
        <v>556</v>
      </c>
      <c r="N403" s="2">
        <v>133.62</v>
      </c>
      <c r="O403" s="2">
        <v>1.0</v>
      </c>
      <c r="P403" s="2" t="s">
        <v>51</v>
      </c>
      <c r="Q403" s="2">
        <v>5.0</v>
      </c>
      <c r="R403" s="2">
        <v>66.0</v>
      </c>
      <c r="S403" s="3">
        <v>45037.0</v>
      </c>
      <c r="T403" s="2" t="s">
        <v>1729</v>
      </c>
      <c r="U403" s="2">
        <f t="shared" si="1"/>
        <v>4</v>
      </c>
      <c r="V403" s="2">
        <f t="shared" si="2"/>
        <v>21</v>
      </c>
      <c r="W403" s="2">
        <f t="shared" si="3"/>
        <v>133.62</v>
      </c>
      <c r="X403" s="2">
        <f t="shared" si="4"/>
        <v>199.62</v>
      </c>
      <c r="Y403" s="2">
        <f t="shared" si="5"/>
        <v>0</v>
      </c>
      <c r="Z403" s="2">
        <f t="shared" si="6"/>
        <v>133.62</v>
      </c>
      <c r="AA403" s="2">
        <f t="shared" si="7"/>
        <v>199.62</v>
      </c>
      <c r="AB403" s="2" t="str">
        <f t="shared" si="8"/>
        <v>Monday</v>
      </c>
      <c r="AC403" s="2" t="str">
        <f t="shared" si="9"/>
        <v>Weekday</v>
      </c>
      <c r="AD403" s="2" t="str">
        <f t="shared" si="10"/>
        <v>jason.lopez</v>
      </c>
      <c r="AE403" s="2" t="str">
        <f t="shared" si="11"/>
        <v>outlook</v>
      </c>
      <c r="AF403" s="2" t="str">
        <f t="shared" si="12"/>
        <v>Jason Lopez</v>
      </c>
      <c r="AG403" s="2" t="str">
        <f t="shared" si="13"/>
        <v>Jason</v>
      </c>
      <c r="AH403" s="2" t="str">
        <f t="shared" si="14"/>
        <v>Lopez</v>
      </c>
      <c r="AI403" s="2" t="str">
        <f t="shared" si="15"/>
        <v>Before Time</v>
      </c>
      <c r="AJ403" s="2" t="str">
        <f t="shared" si="16"/>
        <v>#NAME?</v>
      </c>
    </row>
    <row r="404" ht="14.25" customHeight="1">
      <c r="A404" s="2" t="s">
        <v>1730</v>
      </c>
      <c r="B404" s="2" t="s">
        <v>1731</v>
      </c>
      <c r="C404" s="2" t="s">
        <v>1732</v>
      </c>
      <c r="D404" s="2">
        <v>47.0</v>
      </c>
      <c r="E404" s="2" t="s">
        <v>34</v>
      </c>
      <c r="F404" s="2" t="s">
        <v>23</v>
      </c>
      <c r="G404" s="2" t="s">
        <v>1733</v>
      </c>
      <c r="H404" s="2" t="s">
        <v>2159</v>
      </c>
      <c r="I404" s="2" t="s">
        <v>1734</v>
      </c>
      <c r="J404" s="2" t="s">
        <v>1735</v>
      </c>
      <c r="K404" s="3">
        <v>45327.0</v>
      </c>
      <c r="L404" s="2" t="s">
        <v>1736</v>
      </c>
      <c r="M404" s="2" t="s">
        <v>546</v>
      </c>
      <c r="N404" s="2">
        <v>425.59</v>
      </c>
      <c r="O404" s="2">
        <v>3.0</v>
      </c>
      <c r="P404" s="2" t="s">
        <v>89</v>
      </c>
      <c r="Q404" s="2">
        <v>7.0</v>
      </c>
      <c r="R404" s="2">
        <v>51.0</v>
      </c>
      <c r="S404" s="3">
        <v>45330.0</v>
      </c>
      <c r="T404" s="2" t="s">
        <v>1737</v>
      </c>
      <c r="U404" s="2">
        <f t="shared" si="1"/>
        <v>3</v>
      </c>
      <c r="V404" s="2">
        <f t="shared" si="2"/>
        <v>13</v>
      </c>
      <c r="W404" s="2">
        <f t="shared" si="3"/>
        <v>1276.77</v>
      </c>
      <c r="X404" s="2">
        <f t="shared" si="4"/>
        <v>1327.77</v>
      </c>
      <c r="Y404" s="2">
        <f t="shared" si="5"/>
        <v>0</v>
      </c>
      <c r="Z404" s="2">
        <f t="shared" si="6"/>
        <v>1276.77</v>
      </c>
      <c r="AA404" s="2">
        <f t="shared" si="7"/>
        <v>1327.77</v>
      </c>
      <c r="AB404" s="2" t="str">
        <f t="shared" si="8"/>
        <v>Monday</v>
      </c>
      <c r="AC404" s="2" t="str">
        <f t="shared" si="9"/>
        <v>Weekday</v>
      </c>
      <c r="AD404" s="2" t="str">
        <f t="shared" si="10"/>
        <v>regina.hawkins</v>
      </c>
      <c r="AE404" s="2" t="str">
        <f t="shared" si="11"/>
        <v>rediffmail</v>
      </c>
      <c r="AF404" s="2" t="str">
        <f t="shared" si="12"/>
        <v>Regina Hawkins</v>
      </c>
      <c r="AG404" s="2" t="str">
        <f t="shared" si="13"/>
        <v>Regina</v>
      </c>
      <c r="AH404" s="2" t="str">
        <f t="shared" si="14"/>
        <v>Hawkins</v>
      </c>
      <c r="AI404" s="2" t="str">
        <f t="shared" si="15"/>
        <v>Before Time</v>
      </c>
      <c r="AJ404" s="2" t="str">
        <f t="shared" si="16"/>
        <v>#NAME?</v>
      </c>
    </row>
    <row r="405" ht="14.25" customHeight="1">
      <c r="A405" s="2" t="s">
        <v>1607</v>
      </c>
      <c r="B405" s="2" t="s">
        <v>266</v>
      </c>
      <c r="C405" s="2" t="s">
        <v>1608</v>
      </c>
      <c r="D405" s="2">
        <v>62.0</v>
      </c>
      <c r="E405" s="2" t="s">
        <v>34</v>
      </c>
      <c r="F405" s="2" t="s">
        <v>35</v>
      </c>
      <c r="G405" s="2" t="s">
        <v>1609</v>
      </c>
      <c r="H405" s="2" t="s">
        <v>2186</v>
      </c>
      <c r="I405" s="2" t="s">
        <v>1610</v>
      </c>
      <c r="J405" s="2" t="s">
        <v>1738</v>
      </c>
      <c r="K405" s="3">
        <v>45517.0</v>
      </c>
      <c r="L405" s="2" t="s">
        <v>1739</v>
      </c>
      <c r="M405" s="2" t="s">
        <v>566</v>
      </c>
      <c r="N405" s="2">
        <v>477.52</v>
      </c>
      <c r="O405" s="2">
        <v>5.0</v>
      </c>
      <c r="P405" s="2" t="s">
        <v>78</v>
      </c>
      <c r="Q405" s="2">
        <v>2.0</v>
      </c>
      <c r="R405" s="2">
        <v>60.0</v>
      </c>
      <c r="S405" s="3">
        <v>45520.0</v>
      </c>
      <c r="T405" s="2" t="s">
        <v>1740</v>
      </c>
      <c r="U405" s="2">
        <f t="shared" si="1"/>
        <v>3</v>
      </c>
      <c r="V405" s="2">
        <f t="shared" si="2"/>
        <v>0</v>
      </c>
      <c r="W405" s="2">
        <f t="shared" si="3"/>
        <v>2387.6</v>
      </c>
      <c r="X405" s="2">
        <f t="shared" si="4"/>
        <v>2447.6</v>
      </c>
      <c r="Y405" s="2">
        <f t="shared" si="5"/>
        <v>0</v>
      </c>
      <c r="Z405" s="2">
        <f t="shared" si="6"/>
        <v>2387.6</v>
      </c>
      <c r="AA405" s="2">
        <f t="shared" si="7"/>
        <v>2447.6</v>
      </c>
      <c r="AB405" s="2" t="str">
        <f t="shared" si="8"/>
        <v>Tuesday</v>
      </c>
      <c r="AC405" s="2" t="str">
        <f t="shared" si="9"/>
        <v>Weekday</v>
      </c>
      <c r="AD405" s="2" t="str">
        <f t="shared" si="10"/>
        <v>lauren.crane</v>
      </c>
      <c r="AE405" s="2" t="str">
        <f t="shared" si="11"/>
        <v>yahoo</v>
      </c>
      <c r="AF405" s="2" t="str">
        <f t="shared" si="12"/>
        <v>Lauren Crane</v>
      </c>
      <c r="AG405" s="2" t="str">
        <f t="shared" si="13"/>
        <v>Lauren</v>
      </c>
      <c r="AH405" s="2" t="str">
        <f t="shared" si="14"/>
        <v>Crane</v>
      </c>
      <c r="AI405" s="2" t="str">
        <f t="shared" si="15"/>
        <v>Late</v>
      </c>
      <c r="AJ405" s="2" t="str">
        <f t="shared" si="16"/>
        <v>#NAME?</v>
      </c>
    </row>
    <row r="406" ht="14.25" customHeight="1">
      <c r="A406" s="2" t="s">
        <v>413</v>
      </c>
      <c r="B406" s="2" t="s">
        <v>414</v>
      </c>
      <c r="C406" s="2" t="s">
        <v>415</v>
      </c>
      <c r="D406" s="2">
        <v>52.0</v>
      </c>
      <c r="E406" s="2" t="s">
        <v>45</v>
      </c>
      <c r="F406" s="2" t="s">
        <v>213</v>
      </c>
      <c r="G406" s="2" t="s">
        <v>416</v>
      </c>
      <c r="H406" s="2" t="s">
        <v>2131</v>
      </c>
      <c r="I406" s="2" t="s">
        <v>417</v>
      </c>
      <c r="J406" s="2" t="s">
        <v>1741</v>
      </c>
      <c r="K406" s="3">
        <v>45471.0</v>
      </c>
      <c r="L406" s="2" t="s">
        <v>1742</v>
      </c>
      <c r="M406" s="2" t="s">
        <v>239</v>
      </c>
      <c r="N406" s="2">
        <v>282.63</v>
      </c>
      <c r="O406" s="2">
        <v>3.0</v>
      </c>
      <c r="P406" s="2" t="s">
        <v>29</v>
      </c>
      <c r="Q406" s="2">
        <v>3.0</v>
      </c>
      <c r="R406" s="2">
        <v>36.0</v>
      </c>
      <c r="S406" s="3">
        <v>45478.0</v>
      </c>
      <c r="T406" s="2" t="s">
        <v>1743</v>
      </c>
      <c r="U406" s="2">
        <f t="shared" si="1"/>
        <v>7</v>
      </c>
      <c r="V406" s="2">
        <f t="shared" si="2"/>
        <v>0</v>
      </c>
      <c r="W406" s="2">
        <f t="shared" si="3"/>
        <v>847.89</v>
      </c>
      <c r="X406" s="2">
        <f t="shared" si="4"/>
        <v>883.89</v>
      </c>
      <c r="Y406" s="2">
        <f t="shared" si="5"/>
        <v>0</v>
      </c>
      <c r="Z406" s="2">
        <f t="shared" si="6"/>
        <v>847.89</v>
      </c>
      <c r="AA406" s="2">
        <f t="shared" si="7"/>
        <v>883.89</v>
      </c>
      <c r="AB406" s="2" t="str">
        <f t="shared" si="8"/>
        <v>Friday</v>
      </c>
      <c r="AC406" s="2" t="str">
        <f t="shared" si="9"/>
        <v>Weekday</v>
      </c>
      <c r="AD406" s="2" t="str">
        <f t="shared" si="10"/>
        <v>amanda.howard</v>
      </c>
      <c r="AE406" s="2" t="str">
        <f t="shared" si="11"/>
        <v>outlook</v>
      </c>
      <c r="AF406" s="2" t="str">
        <f t="shared" si="12"/>
        <v>Amanda Howard</v>
      </c>
      <c r="AG406" s="2" t="str">
        <f t="shared" si="13"/>
        <v>Amanda</v>
      </c>
      <c r="AH406" s="2" t="str">
        <f t="shared" si="14"/>
        <v>Howard</v>
      </c>
      <c r="AI406" s="2" t="str">
        <f t="shared" si="15"/>
        <v>Late</v>
      </c>
      <c r="AJ406" s="2" t="str">
        <f t="shared" si="16"/>
        <v>#NAME?</v>
      </c>
    </row>
    <row r="407" ht="14.25" customHeight="1">
      <c r="A407" s="2" t="s">
        <v>428</v>
      </c>
      <c r="B407" s="2" t="s">
        <v>429</v>
      </c>
      <c r="C407" s="2" t="s">
        <v>430</v>
      </c>
      <c r="D407" s="2">
        <v>28.0</v>
      </c>
      <c r="E407" s="2" t="s">
        <v>45</v>
      </c>
      <c r="F407" s="2" t="s">
        <v>69</v>
      </c>
      <c r="G407" s="2" t="s">
        <v>431</v>
      </c>
      <c r="H407" s="2" t="s">
        <v>2132</v>
      </c>
      <c r="I407" s="2" t="s">
        <v>432</v>
      </c>
      <c r="J407" s="2" t="s">
        <v>1744</v>
      </c>
      <c r="K407" s="3">
        <v>45350.0</v>
      </c>
      <c r="L407" s="2" t="s">
        <v>1745</v>
      </c>
      <c r="M407" s="2" t="s">
        <v>280</v>
      </c>
      <c r="N407" s="2">
        <v>157.64</v>
      </c>
      <c r="O407" s="2">
        <v>1.0</v>
      </c>
      <c r="P407" s="2" t="s">
        <v>78</v>
      </c>
      <c r="Q407" s="2">
        <v>1.0</v>
      </c>
      <c r="R407" s="2">
        <v>59.0</v>
      </c>
      <c r="S407" s="3">
        <v>45356.0</v>
      </c>
      <c r="T407" s="2" t="s">
        <v>1746</v>
      </c>
      <c r="U407" s="2">
        <f t="shared" si="1"/>
        <v>6</v>
      </c>
      <c r="V407" s="2">
        <f t="shared" si="2"/>
        <v>8</v>
      </c>
      <c r="W407" s="2">
        <f t="shared" si="3"/>
        <v>157.64</v>
      </c>
      <c r="X407" s="2">
        <f t="shared" si="4"/>
        <v>216.64</v>
      </c>
      <c r="Y407" s="2">
        <f t="shared" si="5"/>
        <v>0</v>
      </c>
      <c r="Z407" s="2">
        <f t="shared" si="6"/>
        <v>157.64</v>
      </c>
      <c r="AA407" s="2">
        <f t="shared" si="7"/>
        <v>216.64</v>
      </c>
      <c r="AB407" s="2" t="str">
        <f t="shared" si="8"/>
        <v>Wednesday</v>
      </c>
      <c r="AC407" s="2" t="str">
        <f t="shared" si="9"/>
        <v>Weekday</v>
      </c>
      <c r="AD407" s="2" t="str">
        <f t="shared" si="10"/>
        <v>mary.knight</v>
      </c>
      <c r="AE407" s="2" t="str">
        <f t="shared" si="11"/>
        <v>yahoo</v>
      </c>
      <c r="AF407" s="2" t="str">
        <f t="shared" si="12"/>
        <v>Mary Knight</v>
      </c>
      <c r="AG407" s="2" t="str">
        <f t="shared" si="13"/>
        <v>Mary</v>
      </c>
      <c r="AH407" s="2" t="str">
        <f t="shared" si="14"/>
        <v>Knight</v>
      </c>
      <c r="AI407" s="2" t="str">
        <f t="shared" si="15"/>
        <v>Late</v>
      </c>
      <c r="AJ407" s="2" t="str">
        <f t="shared" si="16"/>
        <v>#NAME?</v>
      </c>
    </row>
    <row r="408" ht="14.25" customHeight="1">
      <c r="A408" s="2" t="s">
        <v>1720</v>
      </c>
      <c r="B408" s="2" t="s">
        <v>1721</v>
      </c>
      <c r="C408" s="2" t="s">
        <v>361</v>
      </c>
      <c r="D408" s="2">
        <v>34.0</v>
      </c>
      <c r="E408" s="2" t="s">
        <v>45</v>
      </c>
      <c r="F408" s="2" t="s">
        <v>152</v>
      </c>
      <c r="G408" s="2" t="s">
        <v>1722</v>
      </c>
      <c r="H408" s="2" t="s">
        <v>2187</v>
      </c>
      <c r="I408" s="2" t="s">
        <v>1723</v>
      </c>
      <c r="J408" s="2" t="s">
        <v>1747</v>
      </c>
      <c r="K408" s="3">
        <v>45449.0</v>
      </c>
      <c r="L408" s="2" t="s">
        <v>1748</v>
      </c>
      <c r="M408" s="2" t="s">
        <v>107</v>
      </c>
      <c r="N408" s="2">
        <v>48.45</v>
      </c>
      <c r="O408" s="2">
        <v>1.0</v>
      </c>
      <c r="P408" s="2" t="s">
        <v>89</v>
      </c>
      <c r="Q408" s="2">
        <v>5.0</v>
      </c>
      <c r="R408" s="2">
        <v>38.0</v>
      </c>
      <c r="S408" s="3">
        <v>45456.0</v>
      </c>
      <c r="T408" s="2" t="s">
        <v>1749</v>
      </c>
      <c r="U408" s="2">
        <f t="shared" si="1"/>
        <v>7</v>
      </c>
      <c r="V408" s="2">
        <f t="shared" si="2"/>
        <v>12</v>
      </c>
      <c r="W408" s="2">
        <f t="shared" si="3"/>
        <v>48.45</v>
      </c>
      <c r="X408" s="2">
        <f t="shared" si="4"/>
        <v>86.45</v>
      </c>
      <c r="Y408" s="2">
        <f t="shared" si="5"/>
        <v>0</v>
      </c>
      <c r="Z408" s="2">
        <f t="shared" si="6"/>
        <v>48.45</v>
      </c>
      <c r="AA408" s="2">
        <f t="shared" si="7"/>
        <v>86.45</v>
      </c>
      <c r="AB408" s="2" t="str">
        <f t="shared" si="8"/>
        <v>Thursday</v>
      </c>
      <c r="AC408" s="2" t="str">
        <f t="shared" si="9"/>
        <v>Weekday</v>
      </c>
      <c r="AD408" s="2" t="str">
        <f t="shared" si="10"/>
        <v>katie.hicks</v>
      </c>
      <c r="AE408" s="2" t="str">
        <f t="shared" si="11"/>
        <v>rediffmail</v>
      </c>
      <c r="AF408" s="2" t="str">
        <f t="shared" si="12"/>
        <v>Katie Hicks</v>
      </c>
      <c r="AG408" s="2" t="str">
        <f t="shared" si="13"/>
        <v>Katie</v>
      </c>
      <c r="AH408" s="2" t="str">
        <f t="shared" si="14"/>
        <v>Hicks</v>
      </c>
      <c r="AI408" s="2" t="str">
        <f t="shared" si="15"/>
        <v>Late</v>
      </c>
      <c r="AJ408" s="2" t="str">
        <f t="shared" si="16"/>
        <v>#NAME?</v>
      </c>
    </row>
    <row r="409" ht="14.25" customHeight="1">
      <c r="A409" s="2" t="s">
        <v>80</v>
      </c>
      <c r="B409" s="2" t="s">
        <v>81</v>
      </c>
      <c r="C409" s="2" t="s">
        <v>82</v>
      </c>
      <c r="D409" s="2">
        <v>26.0</v>
      </c>
      <c r="E409" s="2" t="s">
        <v>34</v>
      </c>
      <c r="F409" s="2" t="s">
        <v>83</v>
      </c>
      <c r="G409" s="2" t="s">
        <v>84</v>
      </c>
      <c r="H409" s="2" t="s">
        <v>2097</v>
      </c>
      <c r="I409" s="2" t="s">
        <v>85</v>
      </c>
      <c r="J409" s="2" t="s">
        <v>1750</v>
      </c>
      <c r="K409" s="3">
        <v>45359.0</v>
      </c>
      <c r="L409" s="2" t="s">
        <v>1751</v>
      </c>
      <c r="M409" s="2" t="s">
        <v>864</v>
      </c>
      <c r="N409" s="2">
        <v>292.15</v>
      </c>
      <c r="O409" s="2">
        <v>1.0</v>
      </c>
      <c r="P409" s="2" t="s">
        <v>78</v>
      </c>
      <c r="Q409" s="2">
        <v>5.0</v>
      </c>
      <c r="R409" s="2">
        <v>57.0</v>
      </c>
      <c r="S409" s="3">
        <v>45365.0</v>
      </c>
      <c r="T409" s="2" t="s">
        <v>1752</v>
      </c>
      <c r="U409" s="2">
        <f t="shared" si="1"/>
        <v>6</v>
      </c>
      <c r="V409" s="2">
        <f t="shared" si="2"/>
        <v>5</v>
      </c>
      <c r="W409" s="2">
        <f t="shared" si="3"/>
        <v>292.15</v>
      </c>
      <c r="X409" s="2">
        <f t="shared" si="4"/>
        <v>349.15</v>
      </c>
      <c r="Y409" s="2">
        <f t="shared" si="5"/>
        <v>0</v>
      </c>
      <c r="Z409" s="2">
        <f t="shared" si="6"/>
        <v>292.15</v>
      </c>
      <c r="AA409" s="2">
        <f t="shared" si="7"/>
        <v>349.15</v>
      </c>
      <c r="AB409" s="2" t="str">
        <f t="shared" si="8"/>
        <v>Friday</v>
      </c>
      <c r="AC409" s="2" t="str">
        <f t="shared" si="9"/>
        <v>Weekday</v>
      </c>
      <c r="AD409" s="2" t="str">
        <f t="shared" si="10"/>
        <v>david.delacruz</v>
      </c>
      <c r="AE409" s="2" t="str">
        <f t="shared" si="11"/>
        <v>rediffmail</v>
      </c>
      <c r="AF409" s="2" t="str">
        <f t="shared" si="12"/>
        <v>David Delacruz</v>
      </c>
      <c r="AG409" s="2" t="str">
        <f t="shared" si="13"/>
        <v>David</v>
      </c>
      <c r="AH409" s="2" t="str">
        <f t="shared" si="14"/>
        <v>Delacruz</v>
      </c>
      <c r="AI409" s="2" t="str">
        <f t="shared" si="15"/>
        <v>Late</v>
      </c>
      <c r="AJ409" s="2" t="str">
        <f t="shared" si="16"/>
        <v>#NAME?</v>
      </c>
    </row>
    <row r="410" ht="14.25" customHeight="1">
      <c r="A410" s="2" t="s">
        <v>1753</v>
      </c>
      <c r="B410" s="2" t="s">
        <v>1754</v>
      </c>
      <c r="C410" s="2" t="s">
        <v>388</v>
      </c>
      <c r="D410" s="2">
        <v>57.0</v>
      </c>
      <c r="E410" s="2" t="s">
        <v>34</v>
      </c>
      <c r="F410" s="2" t="s">
        <v>83</v>
      </c>
      <c r="G410" s="2" t="s">
        <v>1755</v>
      </c>
      <c r="H410" s="2" t="s">
        <v>2188</v>
      </c>
      <c r="I410" s="2" t="s">
        <v>1756</v>
      </c>
      <c r="J410" s="2" t="s">
        <v>1757</v>
      </c>
      <c r="K410" s="3">
        <v>45333.0</v>
      </c>
      <c r="L410" s="2" t="s">
        <v>1758</v>
      </c>
      <c r="M410" s="2" t="s">
        <v>767</v>
      </c>
      <c r="N410" s="2">
        <v>20.0</v>
      </c>
      <c r="O410" s="2">
        <v>4.0</v>
      </c>
      <c r="P410" s="2" t="s">
        <v>78</v>
      </c>
      <c r="Q410" s="2">
        <v>1.0</v>
      </c>
      <c r="R410" s="2">
        <v>51.0</v>
      </c>
      <c r="S410" s="3">
        <v>45334.0</v>
      </c>
      <c r="T410" s="2" t="s">
        <v>1759</v>
      </c>
      <c r="U410" s="2">
        <f t="shared" si="1"/>
        <v>1</v>
      </c>
      <c r="V410" s="2">
        <f t="shared" si="2"/>
        <v>18</v>
      </c>
      <c r="W410" s="2">
        <f t="shared" si="3"/>
        <v>80</v>
      </c>
      <c r="X410" s="2">
        <f t="shared" si="4"/>
        <v>131</v>
      </c>
      <c r="Y410" s="2">
        <f t="shared" si="5"/>
        <v>0</v>
      </c>
      <c r="Z410" s="2">
        <f t="shared" si="6"/>
        <v>80</v>
      </c>
      <c r="AA410" s="2">
        <f t="shared" si="7"/>
        <v>131</v>
      </c>
      <c r="AB410" s="2" t="str">
        <f t="shared" si="8"/>
        <v>Sunday</v>
      </c>
      <c r="AC410" s="2" t="str">
        <f t="shared" si="9"/>
        <v>Weekend</v>
      </c>
      <c r="AD410" s="2" t="str">
        <f t="shared" si="10"/>
        <v>rachel.lopez</v>
      </c>
      <c r="AE410" s="2" t="str">
        <f t="shared" si="11"/>
        <v>outlook</v>
      </c>
      <c r="AF410" s="2" t="str">
        <f t="shared" si="12"/>
        <v>Rachel Lopez</v>
      </c>
      <c r="AG410" s="2" t="str">
        <f t="shared" si="13"/>
        <v>Rachel</v>
      </c>
      <c r="AH410" s="2" t="str">
        <f t="shared" si="14"/>
        <v>Lopez</v>
      </c>
      <c r="AI410" s="2" t="str">
        <f t="shared" si="15"/>
        <v>InTime</v>
      </c>
      <c r="AJ410" s="2" t="str">
        <f t="shared" si="16"/>
        <v>#NAME?</v>
      </c>
    </row>
    <row r="411" ht="14.25" customHeight="1">
      <c r="A411" s="2" t="s">
        <v>887</v>
      </c>
      <c r="B411" s="2" t="s">
        <v>141</v>
      </c>
      <c r="C411" s="2" t="s">
        <v>888</v>
      </c>
      <c r="D411" s="2">
        <v>29.0</v>
      </c>
      <c r="E411" s="2" t="s">
        <v>22</v>
      </c>
      <c r="F411" s="2" t="s">
        <v>35</v>
      </c>
      <c r="G411" s="2" t="s">
        <v>889</v>
      </c>
      <c r="H411" s="2" t="s">
        <v>2168</v>
      </c>
      <c r="I411" s="2" t="s">
        <v>890</v>
      </c>
      <c r="J411" s="2" t="s">
        <v>1760</v>
      </c>
      <c r="K411" s="3">
        <v>45681.0</v>
      </c>
      <c r="L411" s="2" t="s">
        <v>1761</v>
      </c>
      <c r="M411" s="2" t="s">
        <v>107</v>
      </c>
      <c r="N411" s="2">
        <v>48.45</v>
      </c>
      <c r="O411" s="2">
        <v>2.0</v>
      </c>
      <c r="P411" s="2" t="s">
        <v>51</v>
      </c>
      <c r="Q411" s="2">
        <v>7.0</v>
      </c>
      <c r="R411" s="2">
        <v>56.0</v>
      </c>
      <c r="S411" s="3">
        <v>45687.0</v>
      </c>
      <c r="T411" s="2" t="s">
        <v>1762</v>
      </c>
      <c r="U411" s="2">
        <f t="shared" si="1"/>
        <v>6</v>
      </c>
      <c r="V411" s="2">
        <f t="shared" si="2"/>
        <v>8</v>
      </c>
      <c r="W411" s="2">
        <f t="shared" si="3"/>
        <v>96.9</v>
      </c>
      <c r="X411" s="2">
        <f t="shared" si="4"/>
        <v>152.9</v>
      </c>
      <c r="Y411" s="2">
        <f t="shared" si="5"/>
        <v>0</v>
      </c>
      <c r="Z411" s="2">
        <f t="shared" si="6"/>
        <v>96.9</v>
      </c>
      <c r="AA411" s="2">
        <f t="shared" si="7"/>
        <v>152.9</v>
      </c>
      <c r="AB411" s="2" t="str">
        <f t="shared" si="8"/>
        <v>Friday</v>
      </c>
      <c r="AC411" s="2" t="str">
        <f t="shared" si="9"/>
        <v>Weekday</v>
      </c>
      <c r="AD411" s="2" t="str">
        <f t="shared" si="10"/>
        <v>amy.griffin</v>
      </c>
      <c r="AE411" s="2" t="str">
        <f t="shared" si="11"/>
        <v>rediffmail</v>
      </c>
      <c r="AF411" s="2" t="str">
        <f t="shared" si="12"/>
        <v>Amy Griffin</v>
      </c>
      <c r="AG411" s="2" t="str">
        <f t="shared" si="13"/>
        <v>Amy</v>
      </c>
      <c r="AH411" s="2" t="str">
        <f t="shared" si="14"/>
        <v>Griffin</v>
      </c>
      <c r="AI411" s="2" t="str">
        <f t="shared" si="15"/>
        <v>Before Time</v>
      </c>
      <c r="AJ411" s="2" t="str">
        <f t="shared" si="16"/>
        <v>#NAME?</v>
      </c>
    </row>
    <row r="412" ht="14.25" customHeight="1">
      <c r="A412" s="2" t="s">
        <v>639</v>
      </c>
      <c r="B412" s="2" t="s">
        <v>640</v>
      </c>
      <c r="C412" s="2" t="s">
        <v>641</v>
      </c>
      <c r="D412" s="2">
        <v>45.0</v>
      </c>
      <c r="E412" s="2" t="s">
        <v>45</v>
      </c>
      <c r="F412" s="2" t="s">
        <v>83</v>
      </c>
      <c r="G412" s="2" t="s">
        <v>642</v>
      </c>
      <c r="H412" s="2" t="s">
        <v>2151</v>
      </c>
      <c r="I412" s="2" t="s">
        <v>643</v>
      </c>
      <c r="J412" s="2" t="s">
        <v>1763</v>
      </c>
      <c r="K412" s="3">
        <v>45190.0</v>
      </c>
      <c r="L412" s="2" t="s">
        <v>1764</v>
      </c>
      <c r="M412" s="2" t="s">
        <v>235</v>
      </c>
      <c r="N412" s="2">
        <v>126.19</v>
      </c>
      <c r="O412" s="2">
        <v>2.0</v>
      </c>
      <c r="P412" s="2" t="s">
        <v>78</v>
      </c>
      <c r="Q412" s="2">
        <v>4.0</v>
      </c>
      <c r="R412" s="2">
        <v>67.0</v>
      </c>
      <c r="S412" s="3">
        <v>45196.0</v>
      </c>
      <c r="T412" s="2" t="s">
        <v>1765</v>
      </c>
      <c r="U412" s="2">
        <f t="shared" si="1"/>
        <v>6</v>
      </c>
      <c r="V412" s="2">
        <f t="shared" si="2"/>
        <v>1</v>
      </c>
      <c r="W412" s="2">
        <f t="shared" si="3"/>
        <v>252.38</v>
      </c>
      <c r="X412" s="2">
        <f t="shared" si="4"/>
        <v>319.38</v>
      </c>
      <c r="Y412" s="2">
        <f t="shared" si="5"/>
        <v>0</v>
      </c>
      <c r="Z412" s="2">
        <f t="shared" si="6"/>
        <v>252.38</v>
      </c>
      <c r="AA412" s="2">
        <f t="shared" si="7"/>
        <v>319.38</v>
      </c>
      <c r="AB412" s="2" t="str">
        <f t="shared" si="8"/>
        <v>Thursday</v>
      </c>
      <c r="AC412" s="2" t="str">
        <f t="shared" si="9"/>
        <v>Weekday</v>
      </c>
      <c r="AD412" s="2" t="str">
        <f t="shared" si="10"/>
        <v>beth.mason</v>
      </c>
      <c r="AE412" s="2" t="str">
        <f t="shared" si="11"/>
        <v>outlook</v>
      </c>
      <c r="AF412" s="2" t="str">
        <f t="shared" si="12"/>
        <v>Beth Mason</v>
      </c>
      <c r="AG412" s="2" t="str">
        <f t="shared" si="13"/>
        <v>Beth</v>
      </c>
      <c r="AH412" s="2" t="str">
        <f t="shared" si="14"/>
        <v>Mason</v>
      </c>
      <c r="AI412" s="2" t="str">
        <f t="shared" si="15"/>
        <v>Late</v>
      </c>
      <c r="AJ412" s="2" t="str">
        <f t="shared" si="16"/>
        <v>#NAME?</v>
      </c>
    </row>
    <row r="413" ht="14.25" customHeight="1">
      <c r="A413" s="2" t="s">
        <v>1450</v>
      </c>
      <c r="B413" s="2" t="s">
        <v>266</v>
      </c>
      <c r="C413" s="2" t="s">
        <v>1451</v>
      </c>
      <c r="D413" s="2">
        <v>30.0</v>
      </c>
      <c r="E413" s="2" t="s">
        <v>22</v>
      </c>
      <c r="F413" s="2" t="s">
        <v>213</v>
      </c>
      <c r="G413" s="2" t="s">
        <v>1452</v>
      </c>
      <c r="H413" s="2" t="s">
        <v>2184</v>
      </c>
      <c r="I413" s="2" t="s">
        <v>1453</v>
      </c>
      <c r="J413" s="2" t="s">
        <v>1766</v>
      </c>
      <c r="K413" s="3">
        <v>45393.0</v>
      </c>
      <c r="L413" s="2" t="s">
        <v>1767</v>
      </c>
      <c r="M413" s="2" t="s">
        <v>235</v>
      </c>
      <c r="N413" s="2">
        <v>126.19</v>
      </c>
      <c r="O413" s="2">
        <v>4.0</v>
      </c>
      <c r="P413" s="2" t="s">
        <v>29</v>
      </c>
      <c r="Q413" s="2">
        <v>5.0</v>
      </c>
      <c r="R413" s="2">
        <v>69.0</v>
      </c>
      <c r="S413" s="3">
        <v>45396.0</v>
      </c>
      <c r="T413" s="2" t="s">
        <v>1768</v>
      </c>
      <c r="U413" s="2">
        <f t="shared" si="1"/>
        <v>3</v>
      </c>
      <c r="V413" s="2">
        <f t="shared" si="2"/>
        <v>7</v>
      </c>
      <c r="W413" s="2">
        <f t="shared" si="3"/>
        <v>504.76</v>
      </c>
      <c r="X413" s="2">
        <f t="shared" si="4"/>
        <v>573.76</v>
      </c>
      <c r="Y413" s="2">
        <f t="shared" si="5"/>
        <v>0</v>
      </c>
      <c r="Z413" s="2">
        <f t="shared" si="6"/>
        <v>504.76</v>
      </c>
      <c r="AA413" s="2">
        <f t="shared" si="7"/>
        <v>573.76</v>
      </c>
      <c r="AB413" s="2" t="str">
        <f t="shared" si="8"/>
        <v>Thursday</v>
      </c>
      <c r="AC413" s="2" t="str">
        <f t="shared" si="9"/>
        <v>Weekday</v>
      </c>
      <c r="AD413" s="2" t="str">
        <f t="shared" si="10"/>
        <v>lauren.lane</v>
      </c>
      <c r="AE413" s="2" t="str">
        <f t="shared" si="11"/>
        <v>gmail</v>
      </c>
      <c r="AF413" s="2" t="str">
        <f t="shared" si="12"/>
        <v>Lauren Lane</v>
      </c>
      <c r="AG413" s="2" t="str">
        <f t="shared" si="13"/>
        <v>Lauren</v>
      </c>
      <c r="AH413" s="2" t="str">
        <f t="shared" si="14"/>
        <v>Lane</v>
      </c>
      <c r="AI413" s="2" t="str">
        <f t="shared" si="15"/>
        <v>Before Time</v>
      </c>
      <c r="AJ413" s="2" t="str">
        <f t="shared" si="16"/>
        <v>#NAME?</v>
      </c>
    </row>
    <row r="414" ht="14.25" customHeight="1">
      <c r="A414" s="2" t="s">
        <v>286</v>
      </c>
      <c r="B414" s="2" t="s">
        <v>287</v>
      </c>
      <c r="C414" s="2" t="s">
        <v>288</v>
      </c>
      <c r="D414" s="2">
        <v>48.0</v>
      </c>
      <c r="E414" s="2" t="s">
        <v>34</v>
      </c>
      <c r="F414" s="2" t="s">
        <v>83</v>
      </c>
      <c r="G414" s="2" t="s">
        <v>289</v>
      </c>
      <c r="H414" s="2" t="s">
        <v>2118</v>
      </c>
      <c r="I414" s="2" t="s">
        <v>290</v>
      </c>
      <c r="J414" s="2" t="s">
        <v>1769</v>
      </c>
      <c r="K414" s="3">
        <v>45399.0</v>
      </c>
      <c r="L414" s="2" t="s">
        <v>1770</v>
      </c>
      <c r="M414" s="2" t="s">
        <v>349</v>
      </c>
      <c r="N414" s="2">
        <v>496.59</v>
      </c>
      <c r="O414" s="2">
        <v>3.0</v>
      </c>
      <c r="P414" s="2" t="s">
        <v>56</v>
      </c>
      <c r="Q414" s="2">
        <v>3.0</v>
      </c>
      <c r="R414" s="2">
        <v>49.0</v>
      </c>
      <c r="S414" s="3">
        <v>45406.0</v>
      </c>
      <c r="T414" s="2" t="s">
        <v>1771</v>
      </c>
      <c r="U414" s="2">
        <f t="shared" si="1"/>
        <v>7</v>
      </c>
      <c r="V414" s="2">
        <f t="shared" si="2"/>
        <v>2</v>
      </c>
      <c r="W414" s="2">
        <f t="shared" si="3"/>
        <v>1489.77</v>
      </c>
      <c r="X414" s="2">
        <f t="shared" si="4"/>
        <v>1538.77</v>
      </c>
      <c r="Y414" s="2">
        <f t="shared" si="5"/>
        <v>0</v>
      </c>
      <c r="Z414" s="2">
        <f t="shared" si="6"/>
        <v>1489.77</v>
      </c>
      <c r="AA414" s="2">
        <f t="shared" si="7"/>
        <v>1489.77</v>
      </c>
      <c r="AB414" s="2" t="str">
        <f t="shared" si="8"/>
        <v>Wednesday</v>
      </c>
      <c r="AC414" s="2" t="str">
        <f t="shared" si="9"/>
        <v>Weekday</v>
      </c>
      <c r="AD414" s="2" t="str">
        <f t="shared" si="10"/>
        <v>heather.schneider</v>
      </c>
      <c r="AE414" s="2" t="str">
        <f t="shared" si="11"/>
        <v>outlook</v>
      </c>
      <c r="AF414" s="2" t="str">
        <f t="shared" si="12"/>
        <v>Heather Schneider</v>
      </c>
      <c r="AG414" s="2" t="str">
        <f t="shared" si="13"/>
        <v>Heather</v>
      </c>
      <c r="AH414" s="2" t="str">
        <f t="shared" si="14"/>
        <v>Schneider</v>
      </c>
      <c r="AI414" s="2" t="str">
        <f t="shared" si="15"/>
        <v>Late</v>
      </c>
      <c r="AJ414" s="2" t="str">
        <f t="shared" si="16"/>
        <v>#NAME?</v>
      </c>
    </row>
    <row r="415" ht="14.25" customHeight="1">
      <c r="A415" s="2" t="s">
        <v>342</v>
      </c>
      <c r="B415" s="2" t="s">
        <v>343</v>
      </c>
      <c r="C415" s="2" t="s">
        <v>344</v>
      </c>
      <c r="D415" s="2">
        <v>70.0</v>
      </c>
      <c r="E415" s="2" t="s">
        <v>22</v>
      </c>
      <c r="F415" s="2" t="s">
        <v>161</v>
      </c>
      <c r="G415" s="2" t="s">
        <v>345</v>
      </c>
      <c r="H415" s="2" t="s">
        <v>2123</v>
      </c>
      <c r="I415" s="2" t="s">
        <v>346</v>
      </c>
      <c r="J415" s="2" t="s">
        <v>1772</v>
      </c>
      <c r="K415" s="3">
        <v>45396.0</v>
      </c>
      <c r="L415" s="2" t="s">
        <v>1773</v>
      </c>
      <c r="M415" s="2" t="s">
        <v>679</v>
      </c>
      <c r="N415" s="2">
        <v>424.82</v>
      </c>
      <c r="O415" s="2">
        <v>4.0</v>
      </c>
      <c r="P415" s="2" t="s">
        <v>51</v>
      </c>
      <c r="Q415" s="2">
        <v>1.0</v>
      </c>
      <c r="R415" s="2">
        <v>70.0</v>
      </c>
      <c r="S415" s="3">
        <v>45402.0</v>
      </c>
      <c r="T415" s="2" t="s">
        <v>1774</v>
      </c>
      <c r="U415" s="2">
        <f t="shared" si="1"/>
        <v>6</v>
      </c>
      <c r="V415" s="2">
        <f t="shared" si="2"/>
        <v>8</v>
      </c>
      <c r="W415" s="2">
        <f t="shared" si="3"/>
        <v>1699.28</v>
      </c>
      <c r="X415" s="2">
        <f t="shared" si="4"/>
        <v>1769.28</v>
      </c>
      <c r="Y415" s="2">
        <f t="shared" si="5"/>
        <v>0</v>
      </c>
      <c r="Z415" s="2">
        <f t="shared" si="6"/>
        <v>1699.28</v>
      </c>
      <c r="AA415" s="2">
        <f t="shared" si="7"/>
        <v>1769.28</v>
      </c>
      <c r="AB415" s="2" t="str">
        <f t="shared" si="8"/>
        <v>Sunday</v>
      </c>
      <c r="AC415" s="2" t="str">
        <f t="shared" si="9"/>
        <v>Weekend</v>
      </c>
      <c r="AD415" s="2" t="str">
        <f t="shared" si="10"/>
        <v>donna.oneill</v>
      </c>
      <c r="AE415" s="2" t="str">
        <f t="shared" si="11"/>
        <v>yahoo</v>
      </c>
      <c r="AF415" s="2" t="str">
        <f t="shared" si="12"/>
        <v>Donna Oneill</v>
      </c>
      <c r="AG415" s="2" t="str">
        <f t="shared" si="13"/>
        <v>Donna</v>
      </c>
      <c r="AH415" s="2" t="str">
        <f t="shared" si="14"/>
        <v>Oneill</v>
      </c>
      <c r="AI415" s="2" t="str">
        <f t="shared" si="15"/>
        <v>Late</v>
      </c>
      <c r="AJ415" s="2" t="str">
        <f t="shared" si="16"/>
        <v>#NAME?</v>
      </c>
    </row>
    <row r="416" ht="14.25" customHeight="1">
      <c r="A416" s="2" t="s">
        <v>168</v>
      </c>
      <c r="B416" s="2" t="s">
        <v>169</v>
      </c>
      <c r="C416" s="2" t="s">
        <v>170</v>
      </c>
      <c r="D416" s="2">
        <v>36.0</v>
      </c>
      <c r="E416" s="2" t="s">
        <v>45</v>
      </c>
      <c r="F416" s="2" t="s">
        <v>133</v>
      </c>
      <c r="G416" s="2" t="s">
        <v>171</v>
      </c>
      <c r="H416" s="2" t="s">
        <v>2106</v>
      </c>
      <c r="I416" s="2" t="s">
        <v>172</v>
      </c>
      <c r="J416" s="2" t="s">
        <v>1775</v>
      </c>
      <c r="K416" s="3">
        <v>45194.0</v>
      </c>
      <c r="L416" s="2" t="s">
        <v>1776</v>
      </c>
      <c r="M416" s="2" t="s">
        <v>767</v>
      </c>
      <c r="N416" s="2">
        <v>20.0</v>
      </c>
      <c r="O416" s="2">
        <v>2.0</v>
      </c>
      <c r="P416" s="2" t="s">
        <v>89</v>
      </c>
      <c r="Q416" s="2">
        <v>1.0</v>
      </c>
      <c r="R416" s="2">
        <v>68.0</v>
      </c>
      <c r="S416" s="3">
        <v>45195.0</v>
      </c>
      <c r="T416" s="2" t="s">
        <v>1777</v>
      </c>
      <c r="U416" s="2">
        <f t="shared" si="1"/>
        <v>1</v>
      </c>
      <c r="V416" s="2">
        <f t="shared" si="2"/>
        <v>12</v>
      </c>
      <c r="W416" s="2">
        <f t="shared" si="3"/>
        <v>40</v>
      </c>
      <c r="X416" s="2">
        <f t="shared" si="4"/>
        <v>108</v>
      </c>
      <c r="Y416" s="2">
        <f t="shared" si="5"/>
        <v>0</v>
      </c>
      <c r="Z416" s="2">
        <f t="shared" si="6"/>
        <v>40</v>
      </c>
      <c r="AA416" s="2">
        <f t="shared" si="7"/>
        <v>108</v>
      </c>
      <c r="AB416" s="2" t="str">
        <f t="shared" si="8"/>
        <v>Monday</v>
      </c>
      <c r="AC416" s="2" t="str">
        <f t="shared" si="9"/>
        <v>Weekday</v>
      </c>
      <c r="AD416" s="2" t="str">
        <f t="shared" si="10"/>
        <v>gina.moreno</v>
      </c>
      <c r="AE416" s="2" t="str">
        <f t="shared" si="11"/>
        <v>rediffmail</v>
      </c>
      <c r="AF416" s="2" t="str">
        <f t="shared" si="12"/>
        <v>Gina Moreno</v>
      </c>
      <c r="AG416" s="2" t="str">
        <f t="shared" si="13"/>
        <v>Gina</v>
      </c>
      <c r="AH416" s="2" t="str">
        <f t="shared" si="14"/>
        <v>Moreno</v>
      </c>
      <c r="AI416" s="2" t="str">
        <f t="shared" si="15"/>
        <v>InTime</v>
      </c>
      <c r="AJ416" s="2" t="str">
        <f t="shared" si="16"/>
        <v>#NAME?</v>
      </c>
    </row>
    <row r="417" ht="14.25" customHeight="1">
      <c r="A417" s="2" t="s">
        <v>1730</v>
      </c>
      <c r="B417" s="2" t="s">
        <v>1731</v>
      </c>
      <c r="C417" s="2" t="s">
        <v>1732</v>
      </c>
      <c r="D417" s="2">
        <v>47.0</v>
      </c>
      <c r="E417" s="2" t="s">
        <v>34</v>
      </c>
      <c r="F417" s="2" t="s">
        <v>23</v>
      </c>
      <c r="G417" s="2" t="s">
        <v>1733</v>
      </c>
      <c r="H417" s="2" t="s">
        <v>2159</v>
      </c>
      <c r="I417" s="2" t="s">
        <v>1734</v>
      </c>
      <c r="J417" s="2" t="s">
        <v>1778</v>
      </c>
      <c r="K417" s="3">
        <v>45216.0</v>
      </c>
      <c r="L417" s="2" t="s">
        <v>1779</v>
      </c>
      <c r="M417" s="2" t="s">
        <v>50</v>
      </c>
      <c r="N417" s="2">
        <v>202.54</v>
      </c>
      <c r="O417" s="2">
        <v>5.0</v>
      </c>
      <c r="P417" s="2" t="s">
        <v>89</v>
      </c>
      <c r="Q417" s="2">
        <v>4.0</v>
      </c>
      <c r="R417" s="2">
        <v>58.0</v>
      </c>
      <c r="S417" s="3">
        <v>45218.0</v>
      </c>
      <c r="T417" s="2" t="s">
        <v>1780</v>
      </c>
      <c r="U417" s="2">
        <f t="shared" si="1"/>
        <v>2</v>
      </c>
      <c r="V417" s="2">
        <f t="shared" si="2"/>
        <v>0</v>
      </c>
      <c r="W417" s="2">
        <f t="shared" si="3"/>
        <v>1012.7</v>
      </c>
      <c r="X417" s="2">
        <f t="shared" si="4"/>
        <v>1070.7</v>
      </c>
      <c r="Y417" s="2">
        <f t="shared" si="5"/>
        <v>0</v>
      </c>
      <c r="Z417" s="2">
        <f t="shared" si="6"/>
        <v>1012.7</v>
      </c>
      <c r="AA417" s="2">
        <f t="shared" si="7"/>
        <v>1070.7</v>
      </c>
      <c r="AB417" s="2" t="str">
        <f t="shared" si="8"/>
        <v>Tuesday</v>
      </c>
      <c r="AC417" s="2" t="str">
        <f t="shared" si="9"/>
        <v>Weekday</v>
      </c>
      <c r="AD417" s="2" t="str">
        <f t="shared" si="10"/>
        <v>regina.hawkins</v>
      </c>
      <c r="AE417" s="2" t="str">
        <f t="shared" si="11"/>
        <v>rediffmail</v>
      </c>
      <c r="AF417" s="2" t="str">
        <f t="shared" si="12"/>
        <v>Regina Hawkins</v>
      </c>
      <c r="AG417" s="2" t="str">
        <f t="shared" si="13"/>
        <v>Regina</v>
      </c>
      <c r="AH417" s="2" t="str">
        <f t="shared" si="14"/>
        <v>Hawkins</v>
      </c>
      <c r="AI417" s="2" t="str">
        <f t="shared" si="15"/>
        <v>Before Time</v>
      </c>
      <c r="AJ417" s="2" t="str">
        <f t="shared" si="16"/>
        <v>#NAME?</v>
      </c>
    </row>
    <row r="418" ht="14.25" customHeight="1">
      <c r="A418" s="2" t="s">
        <v>168</v>
      </c>
      <c r="B418" s="2" t="s">
        <v>169</v>
      </c>
      <c r="C418" s="2" t="s">
        <v>170</v>
      </c>
      <c r="D418" s="2">
        <v>36.0</v>
      </c>
      <c r="E418" s="2" t="s">
        <v>45</v>
      </c>
      <c r="F418" s="2" t="s">
        <v>133</v>
      </c>
      <c r="G418" s="2" t="s">
        <v>171</v>
      </c>
      <c r="H418" s="2" t="s">
        <v>2106</v>
      </c>
      <c r="I418" s="2" t="s">
        <v>172</v>
      </c>
      <c r="J418" s="2" t="s">
        <v>1781</v>
      </c>
      <c r="K418" s="3">
        <v>45368.0</v>
      </c>
      <c r="L418" s="2" t="s">
        <v>1782</v>
      </c>
      <c r="M418" s="2" t="s">
        <v>507</v>
      </c>
      <c r="N418" s="2">
        <v>136.3</v>
      </c>
      <c r="O418" s="2">
        <v>4.0</v>
      </c>
      <c r="P418" s="2" t="s">
        <v>29</v>
      </c>
      <c r="Q418" s="2">
        <v>6.0</v>
      </c>
      <c r="R418" s="2">
        <v>52.0</v>
      </c>
      <c r="S418" s="3">
        <v>45371.0</v>
      </c>
      <c r="T418" s="2" t="s">
        <v>1783</v>
      </c>
      <c r="U418" s="2">
        <f t="shared" si="1"/>
        <v>3</v>
      </c>
      <c r="V418" s="2">
        <f t="shared" si="2"/>
        <v>2</v>
      </c>
      <c r="W418" s="2">
        <f t="shared" si="3"/>
        <v>545.2</v>
      </c>
      <c r="X418" s="2">
        <f t="shared" si="4"/>
        <v>597.2</v>
      </c>
      <c r="Y418" s="2">
        <f t="shared" si="5"/>
        <v>0</v>
      </c>
      <c r="Z418" s="2">
        <f t="shared" si="6"/>
        <v>545.2</v>
      </c>
      <c r="AA418" s="2">
        <f t="shared" si="7"/>
        <v>597.2</v>
      </c>
      <c r="AB418" s="2" t="str">
        <f t="shared" si="8"/>
        <v>Sunday</v>
      </c>
      <c r="AC418" s="2" t="str">
        <f t="shared" si="9"/>
        <v>Weekend</v>
      </c>
      <c r="AD418" s="2" t="str">
        <f t="shared" si="10"/>
        <v>gina.moreno</v>
      </c>
      <c r="AE418" s="2" t="str">
        <f t="shared" si="11"/>
        <v>rediffmail</v>
      </c>
      <c r="AF418" s="2" t="str">
        <f t="shared" si="12"/>
        <v>Gina Moreno</v>
      </c>
      <c r="AG418" s="2" t="str">
        <f t="shared" si="13"/>
        <v>Gina</v>
      </c>
      <c r="AH418" s="2" t="str">
        <f t="shared" si="14"/>
        <v>Moreno</v>
      </c>
      <c r="AI418" s="2" t="str">
        <f t="shared" si="15"/>
        <v>Before Time</v>
      </c>
      <c r="AJ418" s="2" t="str">
        <f t="shared" si="16"/>
        <v>#NAME?</v>
      </c>
    </row>
    <row r="419" ht="14.25" customHeight="1">
      <c r="A419" s="2" t="s">
        <v>100</v>
      </c>
      <c r="B419" s="2" t="s">
        <v>101</v>
      </c>
      <c r="C419" s="2" t="s">
        <v>102</v>
      </c>
      <c r="D419" s="2">
        <v>48.0</v>
      </c>
      <c r="E419" s="2" t="s">
        <v>45</v>
      </c>
      <c r="F419" s="2" t="s">
        <v>35</v>
      </c>
      <c r="G419" s="2" t="s">
        <v>103</v>
      </c>
      <c r="H419" s="2" t="s">
        <v>2099</v>
      </c>
      <c r="I419" s="2" t="s">
        <v>104</v>
      </c>
      <c r="J419" s="2" t="s">
        <v>1784</v>
      </c>
      <c r="K419" s="3">
        <v>45661.0</v>
      </c>
      <c r="L419" s="2" t="s">
        <v>1000</v>
      </c>
      <c r="M419" s="2" t="s">
        <v>280</v>
      </c>
      <c r="N419" s="2">
        <v>157.64</v>
      </c>
      <c r="O419" s="2">
        <v>4.0</v>
      </c>
      <c r="P419" s="2" t="s">
        <v>56</v>
      </c>
      <c r="Q419" s="2">
        <v>7.0</v>
      </c>
      <c r="R419" s="2">
        <v>42.0</v>
      </c>
      <c r="S419" s="3">
        <v>45663.0</v>
      </c>
      <c r="T419" s="2" t="s">
        <v>1785</v>
      </c>
      <c r="U419" s="2">
        <f t="shared" si="1"/>
        <v>2</v>
      </c>
      <c r="V419" s="2">
        <f t="shared" si="2"/>
        <v>21</v>
      </c>
      <c r="W419" s="2">
        <f t="shared" si="3"/>
        <v>630.56</v>
      </c>
      <c r="X419" s="2">
        <f t="shared" si="4"/>
        <v>672.56</v>
      </c>
      <c r="Y419" s="2">
        <f t="shared" si="5"/>
        <v>0</v>
      </c>
      <c r="Z419" s="2">
        <f t="shared" si="6"/>
        <v>630.56</v>
      </c>
      <c r="AA419" s="2">
        <f t="shared" si="7"/>
        <v>630.56</v>
      </c>
      <c r="AB419" s="2" t="str">
        <f t="shared" si="8"/>
        <v>Saturday</v>
      </c>
      <c r="AC419" s="2" t="str">
        <f t="shared" si="9"/>
        <v>Weekend</v>
      </c>
      <c r="AD419" s="2" t="str">
        <f t="shared" si="10"/>
        <v>debra.rodriguez</v>
      </c>
      <c r="AE419" s="2" t="str">
        <f t="shared" si="11"/>
        <v>rediffmail</v>
      </c>
      <c r="AF419" s="2" t="str">
        <f t="shared" si="12"/>
        <v>Debra Rodriguez</v>
      </c>
      <c r="AG419" s="2" t="str">
        <f t="shared" si="13"/>
        <v>Debra</v>
      </c>
      <c r="AH419" s="2" t="str">
        <f t="shared" si="14"/>
        <v>Rodriguez</v>
      </c>
      <c r="AI419" s="2" t="str">
        <f t="shared" si="15"/>
        <v>Before Time</v>
      </c>
      <c r="AJ419" s="2" t="str">
        <f t="shared" si="16"/>
        <v>#NAME?</v>
      </c>
    </row>
    <row r="420" ht="14.25" customHeight="1">
      <c r="A420" s="2" t="s">
        <v>500</v>
      </c>
      <c r="B420" s="2" t="s">
        <v>501</v>
      </c>
      <c r="C420" s="2" t="s">
        <v>502</v>
      </c>
      <c r="D420" s="2">
        <v>64.0</v>
      </c>
      <c r="E420" s="2" t="s">
        <v>22</v>
      </c>
      <c r="F420" s="2" t="s">
        <v>23</v>
      </c>
      <c r="G420" s="2" t="s">
        <v>503</v>
      </c>
      <c r="H420" s="2" t="s">
        <v>2141</v>
      </c>
      <c r="I420" s="2" t="s">
        <v>504</v>
      </c>
      <c r="J420" s="2" t="s">
        <v>1786</v>
      </c>
      <c r="K420" s="3">
        <v>45147.0</v>
      </c>
      <c r="L420" s="2" t="s">
        <v>1787</v>
      </c>
      <c r="M420" s="2" t="s">
        <v>934</v>
      </c>
      <c r="N420" s="2">
        <v>107.47</v>
      </c>
      <c r="O420" s="2">
        <v>5.0</v>
      </c>
      <c r="P420" s="2" t="s">
        <v>78</v>
      </c>
      <c r="Q420" s="2">
        <v>6.0</v>
      </c>
      <c r="R420" s="2">
        <v>47.0</v>
      </c>
      <c r="S420" s="3">
        <v>45149.0</v>
      </c>
      <c r="T420" s="2" t="s">
        <v>1788</v>
      </c>
      <c r="U420" s="2">
        <f t="shared" si="1"/>
        <v>2</v>
      </c>
      <c r="V420" s="2">
        <f t="shared" si="2"/>
        <v>5</v>
      </c>
      <c r="W420" s="2">
        <f t="shared" si="3"/>
        <v>537.35</v>
      </c>
      <c r="X420" s="2">
        <f t="shared" si="4"/>
        <v>584.35</v>
      </c>
      <c r="Y420" s="2">
        <f t="shared" si="5"/>
        <v>0</v>
      </c>
      <c r="Z420" s="2">
        <f t="shared" si="6"/>
        <v>537.35</v>
      </c>
      <c r="AA420" s="2">
        <f t="shared" si="7"/>
        <v>584.35</v>
      </c>
      <c r="AB420" s="2" t="str">
        <f t="shared" si="8"/>
        <v>Wednesday</v>
      </c>
      <c r="AC420" s="2" t="str">
        <f t="shared" si="9"/>
        <v>Weekday</v>
      </c>
      <c r="AD420" s="2" t="str">
        <f t="shared" si="10"/>
        <v>sarah.butler</v>
      </c>
      <c r="AE420" s="2" t="str">
        <f t="shared" si="11"/>
        <v>rediffmail</v>
      </c>
      <c r="AF420" s="2" t="str">
        <f t="shared" si="12"/>
        <v>Sarah Butler</v>
      </c>
      <c r="AG420" s="2" t="str">
        <f t="shared" si="13"/>
        <v>Sarah</v>
      </c>
      <c r="AH420" s="2" t="str">
        <f t="shared" si="14"/>
        <v>Butler</v>
      </c>
      <c r="AI420" s="2" t="str">
        <f t="shared" si="15"/>
        <v>Before Time</v>
      </c>
      <c r="AJ420" s="2" t="str">
        <f t="shared" si="16"/>
        <v>#NAME?</v>
      </c>
    </row>
    <row r="421" ht="14.25" customHeight="1">
      <c r="A421" s="2" t="s">
        <v>359</v>
      </c>
      <c r="B421" s="2" t="s">
        <v>360</v>
      </c>
      <c r="C421" s="2" t="s">
        <v>361</v>
      </c>
      <c r="D421" s="2">
        <v>31.0</v>
      </c>
      <c r="E421" s="2" t="s">
        <v>45</v>
      </c>
      <c r="F421" s="2" t="s">
        <v>133</v>
      </c>
      <c r="G421" s="2" t="s">
        <v>362</v>
      </c>
      <c r="H421" s="2" t="s">
        <v>2125</v>
      </c>
      <c r="I421" s="2" t="s">
        <v>363</v>
      </c>
      <c r="J421" s="2" t="s">
        <v>1789</v>
      </c>
      <c r="K421" s="3">
        <v>45653.0</v>
      </c>
      <c r="L421" s="2" t="s">
        <v>1790</v>
      </c>
      <c r="M421" s="2" t="s">
        <v>243</v>
      </c>
      <c r="N421" s="2">
        <v>128.14</v>
      </c>
      <c r="O421" s="2">
        <v>1.0</v>
      </c>
      <c r="P421" s="2" t="s">
        <v>56</v>
      </c>
      <c r="Q421" s="2">
        <v>3.0</v>
      </c>
      <c r="R421" s="2">
        <v>55.0</v>
      </c>
      <c r="S421" s="3">
        <v>45655.0</v>
      </c>
      <c r="T421" s="2" t="s">
        <v>1791</v>
      </c>
      <c r="U421" s="2">
        <f t="shared" si="1"/>
        <v>2</v>
      </c>
      <c r="V421" s="2">
        <f t="shared" si="2"/>
        <v>1</v>
      </c>
      <c r="W421" s="2">
        <f t="shared" si="3"/>
        <v>128.14</v>
      </c>
      <c r="X421" s="2">
        <f t="shared" si="4"/>
        <v>183.14</v>
      </c>
      <c r="Y421" s="2">
        <f t="shared" si="5"/>
        <v>0</v>
      </c>
      <c r="Z421" s="2">
        <f t="shared" si="6"/>
        <v>128.14</v>
      </c>
      <c r="AA421" s="2">
        <f t="shared" si="7"/>
        <v>128.14</v>
      </c>
      <c r="AB421" s="2" t="str">
        <f t="shared" si="8"/>
        <v>Friday</v>
      </c>
      <c r="AC421" s="2" t="str">
        <f t="shared" si="9"/>
        <v>Weekday</v>
      </c>
      <c r="AD421" s="2" t="str">
        <f t="shared" si="10"/>
        <v>timothy.hicks</v>
      </c>
      <c r="AE421" s="2" t="str">
        <f t="shared" si="11"/>
        <v>gmail</v>
      </c>
      <c r="AF421" s="2" t="str">
        <f t="shared" si="12"/>
        <v>Timothy Hicks</v>
      </c>
      <c r="AG421" s="2" t="str">
        <f t="shared" si="13"/>
        <v>Timothy</v>
      </c>
      <c r="AH421" s="2" t="str">
        <f t="shared" si="14"/>
        <v>Hicks</v>
      </c>
      <c r="AI421" s="2" t="str">
        <f t="shared" si="15"/>
        <v>Before Time</v>
      </c>
      <c r="AJ421" s="2" t="str">
        <f t="shared" si="16"/>
        <v>#NAME?</v>
      </c>
    </row>
    <row r="422" ht="14.25" customHeight="1">
      <c r="A422" s="2" t="s">
        <v>539</v>
      </c>
      <c r="B422" s="2" t="s">
        <v>540</v>
      </c>
      <c r="C422" s="2" t="s">
        <v>541</v>
      </c>
      <c r="D422" s="2">
        <v>33.0</v>
      </c>
      <c r="E422" s="2" t="s">
        <v>45</v>
      </c>
      <c r="F422" s="2" t="s">
        <v>161</v>
      </c>
      <c r="G422" s="2" t="s">
        <v>542</v>
      </c>
      <c r="H422" s="2" t="s">
        <v>2145</v>
      </c>
      <c r="I422" s="2" t="s">
        <v>543</v>
      </c>
      <c r="J422" s="2" t="s">
        <v>1792</v>
      </c>
      <c r="K422" s="3">
        <v>45351.0</v>
      </c>
      <c r="L422" s="2" t="s">
        <v>1793</v>
      </c>
      <c r="M422" s="2" t="s">
        <v>546</v>
      </c>
      <c r="N422" s="2">
        <v>425.59</v>
      </c>
      <c r="O422" s="2">
        <v>2.0</v>
      </c>
      <c r="P422" s="2" t="s">
        <v>89</v>
      </c>
      <c r="Q422" s="2">
        <v>4.0</v>
      </c>
      <c r="R422" s="2">
        <v>64.0</v>
      </c>
      <c r="S422" s="3">
        <v>45358.0</v>
      </c>
      <c r="T422" s="2" t="s">
        <v>1794</v>
      </c>
      <c r="U422" s="2">
        <f t="shared" si="1"/>
        <v>7</v>
      </c>
      <c r="V422" s="2">
        <f t="shared" si="2"/>
        <v>18</v>
      </c>
      <c r="W422" s="2">
        <f t="shared" si="3"/>
        <v>851.18</v>
      </c>
      <c r="X422" s="2">
        <f t="shared" si="4"/>
        <v>915.18</v>
      </c>
      <c r="Y422" s="2">
        <f t="shared" si="5"/>
        <v>0</v>
      </c>
      <c r="Z422" s="2">
        <f t="shared" si="6"/>
        <v>851.18</v>
      </c>
      <c r="AA422" s="2">
        <f t="shared" si="7"/>
        <v>915.18</v>
      </c>
      <c r="AB422" s="2" t="str">
        <f t="shared" si="8"/>
        <v>Thursday</v>
      </c>
      <c r="AC422" s="2" t="str">
        <f t="shared" si="9"/>
        <v>Weekday</v>
      </c>
      <c r="AD422" s="2" t="str">
        <f t="shared" si="10"/>
        <v>jodi.whitney</v>
      </c>
      <c r="AE422" s="2" t="str">
        <f t="shared" si="11"/>
        <v>yahoo</v>
      </c>
      <c r="AF422" s="2" t="str">
        <f t="shared" si="12"/>
        <v>Jodi Whitney</v>
      </c>
      <c r="AG422" s="2" t="str">
        <f t="shared" si="13"/>
        <v>Jodi</v>
      </c>
      <c r="AH422" s="2" t="str">
        <f t="shared" si="14"/>
        <v>Whitney</v>
      </c>
      <c r="AI422" s="2" t="str">
        <f t="shared" si="15"/>
        <v>Late</v>
      </c>
      <c r="AJ422" s="2" t="str">
        <f t="shared" si="16"/>
        <v>#NAME?</v>
      </c>
    </row>
    <row r="423" ht="14.25" customHeight="1">
      <c r="A423" s="2" t="s">
        <v>394</v>
      </c>
      <c r="B423" s="2" t="s">
        <v>395</v>
      </c>
      <c r="C423" s="2" t="s">
        <v>396</v>
      </c>
      <c r="D423" s="2">
        <v>70.0</v>
      </c>
      <c r="E423" s="2" t="s">
        <v>22</v>
      </c>
      <c r="F423" s="2" t="s">
        <v>23</v>
      </c>
      <c r="G423" s="2" t="s">
        <v>397</v>
      </c>
      <c r="H423" s="2" t="s">
        <v>2129</v>
      </c>
      <c r="I423" s="2" t="s">
        <v>398</v>
      </c>
      <c r="J423" s="2" t="s">
        <v>1795</v>
      </c>
      <c r="K423" s="3">
        <v>45622.0</v>
      </c>
      <c r="L423" s="2" t="s">
        <v>1796</v>
      </c>
      <c r="M423" s="2" t="s">
        <v>977</v>
      </c>
      <c r="N423" s="2">
        <v>33.49</v>
      </c>
      <c r="O423" s="2">
        <v>5.0</v>
      </c>
      <c r="P423" s="2" t="s">
        <v>78</v>
      </c>
      <c r="Q423" s="2">
        <v>5.0</v>
      </c>
      <c r="R423" s="2">
        <v>64.0</v>
      </c>
      <c r="S423" s="3">
        <v>45628.0</v>
      </c>
      <c r="T423" s="2" t="s">
        <v>1797</v>
      </c>
      <c r="U423" s="2">
        <f t="shared" si="1"/>
        <v>6</v>
      </c>
      <c r="V423" s="2">
        <f t="shared" si="2"/>
        <v>15</v>
      </c>
      <c r="W423" s="2">
        <f t="shared" si="3"/>
        <v>167.45</v>
      </c>
      <c r="X423" s="2">
        <f t="shared" si="4"/>
        <v>231.45</v>
      </c>
      <c r="Y423" s="2">
        <f t="shared" si="5"/>
        <v>0</v>
      </c>
      <c r="Z423" s="2">
        <f t="shared" si="6"/>
        <v>167.45</v>
      </c>
      <c r="AA423" s="2">
        <f t="shared" si="7"/>
        <v>231.45</v>
      </c>
      <c r="AB423" s="2" t="str">
        <f t="shared" si="8"/>
        <v>Tuesday</v>
      </c>
      <c r="AC423" s="2" t="str">
        <f t="shared" si="9"/>
        <v>Weekday</v>
      </c>
      <c r="AD423" s="2" t="str">
        <f t="shared" si="10"/>
        <v>alexandra.smith</v>
      </c>
      <c r="AE423" s="2" t="str">
        <f t="shared" si="11"/>
        <v>rediffmail</v>
      </c>
      <c r="AF423" s="2" t="str">
        <f t="shared" si="12"/>
        <v>Alexandra Smith</v>
      </c>
      <c r="AG423" s="2" t="str">
        <f t="shared" si="13"/>
        <v>Alexandra</v>
      </c>
      <c r="AH423" s="2" t="str">
        <f t="shared" si="14"/>
        <v>Smith</v>
      </c>
      <c r="AI423" s="2" t="str">
        <f t="shared" si="15"/>
        <v>Late</v>
      </c>
      <c r="AJ423" s="2" t="str">
        <f t="shared" si="16"/>
        <v>#NAME?</v>
      </c>
    </row>
    <row r="424" ht="14.25" customHeight="1">
      <c r="A424" s="2" t="s">
        <v>229</v>
      </c>
      <c r="B424" s="2" t="s">
        <v>59</v>
      </c>
      <c r="C424" s="2" t="s">
        <v>230</v>
      </c>
      <c r="D424" s="2">
        <v>52.0</v>
      </c>
      <c r="E424" s="2" t="s">
        <v>45</v>
      </c>
      <c r="F424" s="2" t="s">
        <v>35</v>
      </c>
      <c r="G424" s="2" t="s">
        <v>231</v>
      </c>
      <c r="H424" s="2" t="s">
        <v>2113</v>
      </c>
      <c r="I424" s="2" t="s">
        <v>232</v>
      </c>
      <c r="J424" s="2" t="s">
        <v>1798</v>
      </c>
      <c r="K424" s="3">
        <v>45269.0</v>
      </c>
      <c r="L424" s="2" t="s">
        <v>1799</v>
      </c>
      <c r="M424" s="2" t="s">
        <v>650</v>
      </c>
      <c r="N424" s="2">
        <v>235.63</v>
      </c>
      <c r="O424" s="2">
        <v>1.0</v>
      </c>
      <c r="P424" s="2" t="s">
        <v>56</v>
      </c>
      <c r="Q424" s="2">
        <v>6.0</v>
      </c>
      <c r="R424" s="2">
        <v>35.0</v>
      </c>
      <c r="S424" s="3">
        <v>45272.0</v>
      </c>
      <c r="T424" s="2" t="s">
        <v>1800</v>
      </c>
      <c r="U424" s="2">
        <f t="shared" si="1"/>
        <v>3</v>
      </c>
      <c r="V424" s="2">
        <f t="shared" si="2"/>
        <v>11</v>
      </c>
      <c r="W424" s="2">
        <f t="shared" si="3"/>
        <v>235.63</v>
      </c>
      <c r="X424" s="2">
        <f t="shared" si="4"/>
        <v>270.63</v>
      </c>
      <c r="Y424" s="2">
        <f t="shared" si="5"/>
        <v>0</v>
      </c>
      <c r="Z424" s="2">
        <f t="shared" si="6"/>
        <v>235.63</v>
      </c>
      <c r="AA424" s="2">
        <f t="shared" si="7"/>
        <v>235.63</v>
      </c>
      <c r="AB424" s="2" t="str">
        <f t="shared" si="8"/>
        <v>Saturday</v>
      </c>
      <c r="AC424" s="2" t="str">
        <f t="shared" si="9"/>
        <v>Weekend</v>
      </c>
      <c r="AD424" s="2" t="str">
        <f t="shared" si="10"/>
        <v>angela.evans</v>
      </c>
      <c r="AE424" s="2" t="str">
        <f t="shared" si="11"/>
        <v>outlook</v>
      </c>
      <c r="AF424" s="2" t="str">
        <f t="shared" si="12"/>
        <v>Angela Evans</v>
      </c>
      <c r="AG424" s="2" t="str">
        <f t="shared" si="13"/>
        <v>Angela</v>
      </c>
      <c r="AH424" s="2" t="str">
        <f t="shared" si="14"/>
        <v>Evans</v>
      </c>
      <c r="AI424" s="2" t="str">
        <f t="shared" si="15"/>
        <v>Before Time</v>
      </c>
      <c r="AJ424" s="2" t="str">
        <f t="shared" si="16"/>
        <v>#NAME?</v>
      </c>
    </row>
    <row r="425" ht="14.25" customHeight="1">
      <c r="A425" s="2" t="s">
        <v>1450</v>
      </c>
      <c r="B425" s="2" t="s">
        <v>266</v>
      </c>
      <c r="C425" s="2" t="s">
        <v>1451</v>
      </c>
      <c r="D425" s="2">
        <v>30.0</v>
      </c>
      <c r="E425" s="2" t="s">
        <v>22</v>
      </c>
      <c r="F425" s="2" t="s">
        <v>213</v>
      </c>
      <c r="G425" s="2" t="s">
        <v>1452</v>
      </c>
      <c r="H425" s="2" t="s">
        <v>2184</v>
      </c>
      <c r="I425" s="2" t="s">
        <v>1453</v>
      </c>
      <c r="J425" s="2" t="s">
        <v>1801</v>
      </c>
      <c r="K425" s="3">
        <v>45695.0</v>
      </c>
      <c r="L425" s="2" t="s">
        <v>1802</v>
      </c>
      <c r="M425" s="2" t="s">
        <v>767</v>
      </c>
      <c r="N425" s="2">
        <v>20.0</v>
      </c>
      <c r="O425" s="2">
        <v>3.0</v>
      </c>
      <c r="P425" s="2" t="s">
        <v>89</v>
      </c>
      <c r="Q425" s="2">
        <v>7.0</v>
      </c>
      <c r="R425" s="2">
        <v>65.0</v>
      </c>
      <c r="S425" s="3">
        <v>45701.0</v>
      </c>
      <c r="T425" s="2" t="s">
        <v>1803</v>
      </c>
      <c r="U425" s="2">
        <f t="shared" si="1"/>
        <v>6</v>
      </c>
      <c r="V425" s="2">
        <f t="shared" si="2"/>
        <v>10</v>
      </c>
      <c r="W425" s="2">
        <f t="shared" si="3"/>
        <v>60</v>
      </c>
      <c r="X425" s="2">
        <f t="shared" si="4"/>
        <v>125</v>
      </c>
      <c r="Y425" s="2">
        <f t="shared" si="5"/>
        <v>0</v>
      </c>
      <c r="Z425" s="2">
        <f t="shared" si="6"/>
        <v>60</v>
      </c>
      <c r="AA425" s="2">
        <f t="shared" si="7"/>
        <v>125</v>
      </c>
      <c r="AB425" s="2" t="str">
        <f t="shared" si="8"/>
        <v>Friday</v>
      </c>
      <c r="AC425" s="2" t="str">
        <f t="shared" si="9"/>
        <v>Weekday</v>
      </c>
      <c r="AD425" s="2" t="str">
        <f t="shared" si="10"/>
        <v>lauren.lane</v>
      </c>
      <c r="AE425" s="2" t="str">
        <f t="shared" si="11"/>
        <v>gmail</v>
      </c>
      <c r="AF425" s="2" t="str">
        <f t="shared" si="12"/>
        <v>Lauren Lane</v>
      </c>
      <c r="AG425" s="2" t="str">
        <f t="shared" si="13"/>
        <v>Lauren</v>
      </c>
      <c r="AH425" s="2" t="str">
        <f t="shared" si="14"/>
        <v>Lane</v>
      </c>
      <c r="AI425" s="2" t="str">
        <f t="shared" si="15"/>
        <v>Before Time</v>
      </c>
      <c r="AJ425" s="2" t="str">
        <f t="shared" si="16"/>
        <v>#NAME?</v>
      </c>
    </row>
    <row r="426" ht="14.25" customHeight="1">
      <c r="A426" s="2" t="s">
        <v>724</v>
      </c>
      <c r="B426" s="2" t="s">
        <v>725</v>
      </c>
      <c r="C426" s="2" t="s">
        <v>726</v>
      </c>
      <c r="D426" s="2">
        <v>30.0</v>
      </c>
      <c r="E426" s="2" t="s">
        <v>22</v>
      </c>
      <c r="F426" s="2" t="s">
        <v>152</v>
      </c>
      <c r="G426" s="2" t="s">
        <v>727</v>
      </c>
      <c r="H426" s="2" t="s">
        <v>2158</v>
      </c>
      <c r="I426" s="2" t="s">
        <v>728</v>
      </c>
      <c r="J426" s="2" t="s">
        <v>1804</v>
      </c>
      <c r="K426" s="3">
        <v>45587.0</v>
      </c>
      <c r="L426" s="2" t="s">
        <v>1805</v>
      </c>
      <c r="M426" s="2" t="s">
        <v>977</v>
      </c>
      <c r="N426" s="2">
        <v>33.49</v>
      </c>
      <c r="O426" s="2">
        <v>5.0</v>
      </c>
      <c r="P426" s="2" t="s">
        <v>78</v>
      </c>
      <c r="Q426" s="2">
        <v>2.0</v>
      </c>
      <c r="R426" s="2">
        <v>58.0</v>
      </c>
      <c r="S426" s="3">
        <v>45589.0</v>
      </c>
      <c r="T426" s="2" t="s">
        <v>1806</v>
      </c>
      <c r="U426" s="2">
        <f t="shared" si="1"/>
        <v>2</v>
      </c>
      <c r="V426" s="2">
        <f t="shared" si="2"/>
        <v>12</v>
      </c>
      <c r="W426" s="2">
        <f t="shared" si="3"/>
        <v>167.45</v>
      </c>
      <c r="X426" s="2">
        <f t="shared" si="4"/>
        <v>225.45</v>
      </c>
      <c r="Y426" s="2">
        <f t="shared" si="5"/>
        <v>0</v>
      </c>
      <c r="Z426" s="2">
        <f t="shared" si="6"/>
        <v>167.45</v>
      </c>
      <c r="AA426" s="2">
        <f t="shared" si="7"/>
        <v>225.45</v>
      </c>
      <c r="AB426" s="2" t="str">
        <f t="shared" si="8"/>
        <v>Tuesday</v>
      </c>
      <c r="AC426" s="2" t="str">
        <f t="shared" si="9"/>
        <v>Weekday</v>
      </c>
      <c r="AD426" s="2" t="str">
        <f t="shared" si="10"/>
        <v>melissa.levy</v>
      </c>
      <c r="AE426" s="2" t="str">
        <f t="shared" si="11"/>
        <v>rediffmail</v>
      </c>
      <c r="AF426" s="2" t="str">
        <f t="shared" si="12"/>
        <v>Melissa Levy</v>
      </c>
      <c r="AG426" s="2" t="str">
        <f t="shared" si="13"/>
        <v>Melissa</v>
      </c>
      <c r="AH426" s="2" t="str">
        <f t="shared" si="14"/>
        <v>Levy</v>
      </c>
      <c r="AI426" s="2" t="str">
        <f t="shared" si="15"/>
        <v>InTime</v>
      </c>
      <c r="AJ426" s="2" t="str">
        <f t="shared" si="16"/>
        <v>#NAME?</v>
      </c>
    </row>
    <row r="427" ht="14.25" customHeight="1">
      <c r="A427" s="2" t="s">
        <v>639</v>
      </c>
      <c r="B427" s="2" t="s">
        <v>640</v>
      </c>
      <c r="C427" s="2" t="s">
        <v>641</v>
      </c>
      <c r="D427" s="2">
        <v>45.0</v>
      </c>
      <c r="E427" s="2" t="s">
        <v>45</v>
      </c>
      <c r="F427" s="2" t="s">
        <v>83</v>
      </c>
      <c r="G427" s="2" t="s">
        <v>642</v>
      </c>
      <c r="H427" s="2" t="s">
        <v>2151</v>
      </c>
      <c r="I427" s="2" t="s">
        <v>643</v>
      </c>
      <c r="J427" s="2" t="s">
        <v>1807</v>
      </c>
      <c r="K427" s="3">
        <v>44987.0</v>
      </c>
      <c r="L427" s="2" t="s">
        <v>1808</v>
      </c>
      <c r="M427" s="2" t="s">
        <v>507</v>
      </c>
      <c r="N427" s="2">
        <v>136.3</v>
      </c>
      <c r="O427" s="2">
        <v>1.0</v>
      </c>
      <c r="P427" s="2" t="s">
        <v>29</v>
      </c>
      <c r="Q427" s="2">
        <v>4.0</v>
      </c>
      <c r="R427" s="2">
        <v>41.0</v>
      </c>
      <c r="S427" s="3">
        <v>44988.0</v>
      </c>
      <c r="T427" s="2" t="s">
        <v>1809</v>
      </c>
      <c r="U427" s="2">
        <f t="shared" si="1"/>
        <v>1</v>
      </c>
      <c r="V427" s="2">
        <f t="shared" si="2"/>
        <v>2</v>
      </c>
      <c r="W427" s="2">
        <f t="shared" si="3"/>
        <v>136.3</v>
      </c>
      <c r="X427" s="2">
        <f t="shared" si="4"/>
        <v>177.3</v>
      </c>
      <c r="Y427" s="2">
        <f t="shared" si="5"/>
        <v>0</v>
      </c>
      <c r="Z427" s="2">
        <f t="shared" si="6"/>
        <v>136.3</v>
      </c>
      <c r="AA427" s="2">
        <f t="shared" si="7"/>
        <v>177.3</v>
      </c>
      <c r="AB427" s="2" t="str">
        <f t="shared" si="8"/>
        <v>Thursday</v>
      </c>
      <c r="AC427" s="2" t="str">
        <f t="shared" si="9"/>
        <v>Weekday</v>
      </c>
      <c r="AD427" s="2" t="str">
        <f t="shared" si="10"/>
        <v>beth.mason</v>
      </c>
      <c r="AE427" s="2" t="str">
        <f t="shared" si="11"/>
        <v>outlook</v>
      </c>
      <c r="AF427" s="2" t="str">
        <f t="shared" si="12"/>
        <v>Beth Mason</v>
      </c>
      <c r="AG427" s="2" t="str">
        <f t="shared" si="13"/>
        <v>Beth</v>
      </c>
      <c r="AH427" s="2" t="str">
        <f t="shared" si="14"/>
        <v>Mason</v>
      </c>
      <c r="AI427" s="2" t="str">
        <f t="shared" si="15"/>
        <v>Before Time</v>
      </c>
      <c r="AJ427" s="2" t="str">
        <f t="shared" si="16"/>
        <v>#NAME?</v>
      </c>
    </row>
    <row r="428" ht="14.25" customHeight="1">
      <c r="A428" s="2" t="s">
        <v>1810</v>
      </c>
      <c r="B428" s="2" t="s">
        <v>1811</v>
      </c>
      <c r="C428" s="2" t="s">
        <v>187</v>
      </c>
      <c r="D428" s="2">
        <v>29.0</v>
      </c>
      <c r="E428" s="2" t="s">
        <v>45</v>
      </c>
      <c r="F428" s="2" t="s">
        <v>83</v>
      </c>
      <c r="G428" s="2" t="s">
        <v>1812</v>
      </c>
      <c r="H428" s="2" t="s">
        <v>2189</v>
      </c>
      <c r="I428" s="2" t="s">
        <v>1813</v>
      </c>
      <c r="J428" s="2" t="s">
        <v>1814</v>
      </c>
      <c r="K428" s="3">
        <v>45537.0</v>
      </c>
      <c r="L428" s="2" t="s">
        <v>1815</v>
      </c>
      <c r="M428" s="2" t="s">
        <v>263</v>
      </c>
      <c r="N428" s="2">
        <v>62.42</v>
      </c>
      <c r="O428" s="2">
        <v>1.0</v>
      </c>
      <c r="P428" s="2" t="s">
        <v>29</v>
      </c>
      <c r="Q428" s="2">
        <v>3.0</v>
      </c>
      <c r="R428" s="2">
        <v>48.0</v>
      </c>
      <c r="S428" s="3">
        <v>45542.0</v>
      </c>
      <c r="T428" s="2" t="s">
        <v>1816</v>
      </c>
      <c r="U428" s="2">
        <f t="shared" si="1"/>
        <v>5</v>
      </c>
      <c r="V428" s="2">
        <f t="shared" si="2"/>
        <v>2</v>
      </c>
      <c r="W428" s="2">
        <f t="shared" si="3"/>
        <v>62.42</v>
      </c>
      <c r="X428" s="2">
        <f t="shared" si="4"/>
        <v>110.42</v>
      </c>
      <c r="Y428" s="2">
        <f t="shared" si="5"/>
        <v>0</v>
      </c>
      <c r="Z428" s="2">
        <f t="shared" si="6"/>
        <v>62.42</v>
      </c>
      <c r="AA428" s="2">
        <f t="shared" si="7"/>
        <v>110.42</v>
      </c>
      <c r="AB428" s="2" t="str">
        <f t="shared" si="8"/>
        <v>Monday</v>
      </c>
      <c r="AC428" s="2" t="str">
        <f t="shared" si="9"/>
        <v>Weekday</v>
      </c>
      <c r="AD428" s="2" t="str">
        <f t="shared" si="10"/>
        <v>scott.jones</v>
      </c>
      <c r="AE428" s="2" t="str">
        <f t="shared" si="11"/>
        <v>yahoo</v>
      </c>
      <c r="AF428" s="2" t="str">
        <f t="shared" si="12"/>
        <v>Scott Jones</v>
      </c>
      <c r="AG428" s="2" t="str">
        <f t="shared" si="13"/>
        <v>Scott</v>
      </c>
      <c r="AH428" s="2" t="str">
        <f t="shared" si="14"/>
        <v>Jones</v>
      </c>
      <c r="AI428" s="2" t="str">
        <f t="shared" si="15"/>
        <v>Late</v>
      </c>
      <c r="AJ428" s="2" t="str">
        <f t="shared" si="16"/>
        <v>#NAME?</v>
      </c>
    </row>
    <row r="429" ht="14.25" customHeight="1">
      <c r="A429" s="2" t="s">
        <v>513</v>
      </c>
      <c r="B429" s="2" t="s">
        <v>514</v>
      </c>
      <c r="C429" s="2" t="s">
        <v>515</v>
      </c>
      <c r="D429" s="2">
        <v>42.0</v>
      </c>
      <c r="E429" s="2" t="s">
        <v>45</v>
      </c>
      <c r="F429" s="2" t="s">
        <v>69</v>
      </c>
      <c r="G429" s="2" t="s">
        <v>516</v>
      </c>
      <c r="H429" s="2" t="s">
        <v>2142</v>
      </c>
      <c r="I429" s="2" t="s">
        <v>517</v>
      </c>
      <c r="J429" s="2" t="s">
        <v>1817</v>
      </c>
      <c r="K429" s="3">
        <v>45646.0</v>
      </c>
      <c r="L429" s="2" t="s">
        <v>1818</v>
      </c>
      <c r="M429" s="2" t="s">
        <v>546</v>
      </c>
      <c r="N429" s="2">
        <v>425.59</v>
      </c>
      <c r="O429" s="2">
        <v>5.0</v>
      </c>
      <c r="P429" s="2" t="s">
        <v>56</v>
      </c>
      <c r="Q429" s="2">
        <v>5.0</v>
      </c>
      <c r="R429" s="2">
        <v>47.0</v>
      </c>
      <c r="S429" s="3">
        <v>45652.0</v>
      </c>
      <c r="T429" s="2" t="s">
        <v>1819</v>
      </c>
      <c r="U429" s="2">
        <f t="shared" si="1"/>
        <v>6</v>
      </c>
      <c r="V429" s="2">
        <f t="shared" si="2"/>
        <v>3</v>
      </c>
      <c r="W429" s="2">
        <f t="shared" si="3"/>
        <v>2127.95</v>
      </c>
      <c r="X429" s="2">
        <f t="shared" si="4"/>
        <v>2174.95</v>
      </c>
      <c r="Y429" s="2">
        <f t="shared" si="5"/>
        <v>0</v>
      </c>
      <c r="Z429" s="2">
        <f t="shared" si="6"/>
        <v>2127.95</v>
      </c>
      <c r="AA429" s="2">
        <f t="shared" si="7"/>
        <v>2127.95</v>
      </c>
      <c r="AB429" s="2" t="str">
        <f t="shared" si="8"/>
        <v>Friday</v>
      </c>
      <c r="AC429" s="2" t="str">
        <f t="shared" si="9"/>
        <v>Weekday</v>
      </c>
      <c r="AD429" s="2" t="str">
        <f t="shared" si="10"/>
        <v>katherine.weber</v>
      </c>
      <c r="AE429" s="2" t="str">
        <f t="shared" si="11"/>
        <v>outlook</v>
      </c>
      <c r="AF429" s="2" t="str">
        <f t="shared" si="12"/>
        <v>Katherine Weber</v>
      </c>
      <c r="AG429" s="2" t="str">
        <f t="shared" si="13"/>
        <v>Katherine</v>
      </c>
      <c r="AH429" s="2" t="str">
        <f t="shared" si="14"/>
        <v>Weber</v>
      </c>
      <c r="AI429" s="2" t="str">
        <f t="shared" si="15"/>
        <v>Late</v>
      </c>
      <c r="AJ429" s="2" t="str">
        <f t="shared" si="16"/>
        <v>#NAME?</v>
      </c>
    </row>
    <row r="430" ht="14.25" customHeight="1">
      <c r="A430" s="2" t="s">
        <v>185</v>
      </c>
      <c r="B430" s="2" t="s">
        <v>186</v>
      </c>
      <c r="C430" s="2" t="s">
        <v>187</v>
      </c>
      <c r="D430" s="2">
        <v>34.0</v>
      </c>
      <c r="E430" s="2" t="s">
        <v>22</v>
      </c>
      <c r="F430" s="2" t="s">
        <v>83</v>
      </c>
      <c r="G430" s="2" t="s">
        <v>188</v>
      </c>
      <c r="H430" s="2" t="s">
        <v>2108</v>
      </c>
      <c r="I430" s="2" t="s">
        <v>189</v>
      </c>
      <c r="J430" s="2" t="s">
        <v>1820</v>
      </c>
      <c r="K430" s="3">
        <v>45504.0</v>
      </c>
      <c r="L430" s="2" t="s">
        <v>1821</v>
      </c>
      <c r="M430" s="2" t="s">
        <v>934</v>
      </c>
      <c r="N430" s="2">
        <v>107.47</v>
      </c>
      <c r="O430" s="2">
        <v>5.0</v>
      </c>
      <c r="P430" s="2" t="s">
        <v>89</v>
      </c>
      <c r="Q430" s="2">
        <v>5.0</v>
      </c>
      <c r="R430" s="2">
        <v>48.0</v>
      </c>
      <c r="S430" s="3">
        <v>45505.0</v>
      </c>
      <c r="T430" s="2" t="s">
        <v>1822</v>
      </c>
      <c r="U430" s="2">
        <f t="shared" si="1"/>
        <v>1</v>
      </c>
      <c r="V430" s="2">
        <f t="shared" si="2"/>
        <v>1</v>
      </c>
      <c r="W430" s="2">
        <f t="shared" si="3"/>
        <v>537.35</v>
      </c>
      <c r="X430" s="2">
        <f t="shared" si="4"/>
        <v>585.35</v>
      </c>
      <c r="Y430" s="2">
        <f t="shared" si="5"/>
        <v>0</v>
      </c>
      <c r="Z430" s="2">
        <f t="shared" si="6"/>
        <v>537.35</v>
      </c>
      <c r="AA430" s="2">
        <f t="shared" si="7"/>
        <v>585.35</v>
      </c>
      <c r="AB430" s="2" t="str">
        <f t="shared" si="8"/>
        <v>Wednesday</v>
      </c>
      <c r="AC430" s="2" t="str">
        <f t="shared" si="9"/>
        <v>Weekday</v>
      </c>
      <c r="AD430" s="2" t="str">
        <f t="shared" si="10"/>
        <v>traci.jones</v>
      </c>
      <c r="AE430" s="2" t="str">
        <f t="shared" si="11"/>
        <v>yahoo</v>
      </c>
      <c r="AF430" s="2" t="str">
        <f t="shared" si="12"/>
        <v>Traci Jones</v>
      </c>
      <c r="AG430" s="2" t="str">
        <f t="shared" si="13"/>
        <v>Traci</v>
      </c>
      <c r="AH430" s="2" t="str">
        <f t="shared" si="14"/>
        <v>Jones</v>
      </c>
      <c r="AI430" s="2" t="str">
        <f t="shared" si="15"/>
        <v>Before Time</v>
      </c>
      <c r="AJ430" s="2" t="str">
        <f t="shared" si="16"/>
        <v>#NAME?</v>
      </c>
    </row>
    <row r="431" ht="14.25" customHeight="1">
      <c r="A431" s="2" t="s">
        <v>130</v>
      </c>
      <c r="B431" s="2" t="s">
        <v>131</v>
      </c>
      <c r="C431" s="2" t="s">
        <v>132</v>
      </c>
      <c r="D431" s="2">
        <v>25.0</v>
      </c>
      <c r="E431" s="2" t="s">
        <v>45</v>
      </c>
      <c r="F431" s="2" t="s">
        <v>133</v>
      </c>
      <c r="G431" s="2" t="s">
        <v>134</v>
      </c>
      <c r="H431" s="2" t="s">
        <v>2102</v>
      </c>
      <c r="I431" s="2" t="s">
        <v>135</v>
      </c>
      <c r="J431" s="2" t="s">
        <v>1823</v>
      </c>
      <c r="K431" s="3">
        <v>45271.0</v>
      </c>
      <c r="L431" s="2" t="s">
        <v>1824</v>
      </c>
      <c r="M431" s="2" t="s">
        <v>280</v>
      </c>
      <c r="N431" s="2">
        <v>157.64</v>
      </c>
      <c r="O431" s="2">
        <v>2.0</v>
      </c>
      <c r="P431" s="2" t="s">
        <v>56</v>
      </c>
      <c r="Q431" s="2">
        <v>5.0</v>
      </c>
      <c r="R431" s="2">
        <v>57.0</v>
      </c>
      <c r="S431" s="3">
        <v>45277.0</v>
      </c>
      <c r="T431" s="2" t="s">
        <v>1825</v>
      </c>
      <c r="U431" s="2">
        <f t="shared" si="1"/>
        <v>6</v>
      </c>
      <c r="V431" s="2">
        <f t="shared" si="2"/>
        <v>16</v>
      </c>
      <c r="W431" s="2">
        <f t="shared" si="3"/>
        <v>315.28</v>
      </c>
      <c r="X431" s="2">
        <f t="shared" si="4"/>
        <v>372.28</v>
      </c>
      <c r="Y431" s="2">
        <f t="shared" si="5"/>
        <v>0</v>
      </c>
      <c r="Z431" s="2">
        <f t="shared" si="6"/>
        <v>315.28</v>
      </c>
      <c r="AA431" s="2">
        <f t="shared" si="7"/>
        <v>315.28</v>
      </c>
      <c r="AB431" s="2" t="str">
        <f t="shared" si="8"/>
        <v>Monday</v>
      </c>
      <c r="AC431" s="2" t="str">
        <f t="shared" si="9"/>
        <v>Weekday</v>
      </c>
      <c r="AD431" s="2" t="str">
        <f t="shared" si="10"/>
        <v>kara.brennan</v>
      </c>
      <c r="AE431" s="2" t="str">
        <f t="shared" si="11"/>
        <v>outlook</v>
      </c>
      <c r="AF431" s="2" t="str">
        <f t="shared" si="12"/>
        <v>Kara Brennan</v>
      </c>
      <c r="AG431" s="2" t="str">
        <f t="shared" si="13"/>
        <v>Kara</v>
      </c>
      <c r="AH431" s="2" t="str">
        <f t="shared" si="14"/>
        <v>Brennan</v>
      </c>
      <c r="AI431" s="2" t="str">
        <f t="shared" si="15"/>
        <v>Late</v>
      </c>
      <c r="AJ431" s="2" t="str">
        <f t="shared" si="16"/>
        <v>#NAME?</v>
      </c>
    </row>
    <row r="432" ht="14.25" customHeight="1">
      <c r="A432" s="2" t="s">
        <v>359</v>
      </c>
      <c r="B432" s="2" t="s">
        <v>360</v>
      </c>
      <c r="C432" s="2" t="s">
        <v>361</v>
      </c>
      <c r="D432" s="2">
        <v>31.0</v>
      </c>
      <c r="E432" s="2" t="s">
        <v>45</v>
      </c>
      <c r="F432" s="2" t="s">
        <v>133</v>
      </c>
      <c r="G432" s="2" t="s">
        <v>362</v>
      </c>
      <c r="H432" s="2" t="s">
        <v>2125</v>
      </c>
      <c r="I432" s="2" t="s">
        <v>363</v>
      </c>
      <c r="J432" s="2" t="s">
        <v>1826</v>
      </c>
      <c r="K432" s="3">
        <v>45398.0</v>
      </c>
      <c r="L432" s="2" t="s">
        <v>1827</v>
      </c>
      <c r="M432" s="2" t="s">
        <v>546</v>
      </c>
      <c r="N432" s="2">
        <v>425.59</v>
      </c>
      <c r="O432" s="2">
        <v>2.0</v>
      </c>
      <c r="P432" s="2" t="s">
        <v>51</v>
      </c>
      <c r="Q432" s="2">
        <v>1.0</v>
      </c>
      <c r="R432" s="2">
        <v>44.0</v>
      </c>
      <c r="S432" s="3">
        <v>45403.0</v>
      </c>
      <c r="T432" s="2" t="s">
        <v>1828</v>
      </c>
      <c r="U432" s="2">
        <f t="shared" si="1"/>
        <v>5</v>
      </c>
      <c r="V432" s="2">
        <f t="shared" si="2"/>
        <v>12</v>
      </c>
      <c r="W432" s="2">
        <f t="shared" si="3"/>
        <v>851.18</v>
      </c>
      <c r="X432" s="2">
        <f t="shared" si="4"/>
        <v>895.18</v>
      </c>
      <c r="Y432" s="2">
        <f t="shared" si="5"/>
        <v>0</v>
      </c>
      <c r="Z432" s="2">
        <f t="shared" si="6"/>
        <v>851.18</v>
      </c>
      <c r="AA432" s="2">
        <f t="shared" si="7"/>
        <v>895.18</v>
      </c>
      <c r="AB432" s="2" t="str">
        <f t="shared" si="8"/>
        <v>Tuesday</v>
      </c>
      <c r="AC432" s="2" t="str">
        <f t="shared" si="9"/>
        <v>Weekday</v>
      </c>
      <c r="AD432" s="2" t="str">
        <f t="shared" si="10"/>
        <v>timothy.hicks</v>
      </c>
      <c r="AE432" s="2" t="str">
        <f t="shared" si="11"/>
        <v>gmail</v>
      </c>
      <c r="AF432" s="2" t="str">
        <f t="shared" si="12"/>
        <v>Timothy Hicks</v>
      </c>
      <c r="AG432" s="2" t="str">
        <f t="shared" si="13"/>
        <v>Timothy</v>
      </c>
      <c r="AH432" s="2" t="str">
        <f t="shared" si="14"/>
        <v>Hicks</v>
      </c>
      <c r="AI432" s="2" t="str">
        <f t="shared" si="15"/>
        <v>Late</v>
      </c>
      <c r="AJ432" s="2" t="str">
        <f t="shared" si="16"/>
        <v>#NAME?</v>
      </c>
    </row>
    <row r="433" ht="14.25" customHeight="1">
      <c r="A433" s="2" t="s">
        <v>743</v>
      </c>
      <c r="B433" s="2" t="s">
        <v>744</v>
      </c>
      <c r="C433" s="2" t="s">
        <v>745</v>
      </c>
      <c r="D433" s="2">
        <v>43.0</v>
      </c>
      <c r="E433" s="2" t="s">
        <v>45</v>
      </c>
      <c r="F433" s="2" t="s">
        <v>152</v>
      </c>
      <c r="G433" s="2" t="s">
        <v>746</v>
      </c>
      <c r="H433" s="2" t="s">
        <v>2160</v>
      </c>
      <c r="I433" s="2" t="s">
        <v>747</v>
      </c>
      <c r="J433" s="2" t="s">
        <v>1829</v>
      </c>
      <c r="K433" s="3">
        <v>45432.0</v>
      </c>
      <c r="L433" s="2" t="s">
        <v>1830</v>
      </c>
      <c r="M433" s="2" t="s">
        <v>218</v>
      </c>
      <c r="N433" s="2">
        <v>461.07</v>
      </c>
      <c r="O433" s="2">
        <v>1.0</v>
      </c>
      <c r="P433" s="2" t="s">
        <v>29</v>
      </c>
      <c r="Q433" s="2">
        <v>1.0</v>
      </c>
      <c r="R433" s="2">
        <v>42.0</v>
      </c>
      <c r="S433" s="3">
        <v>45433.0</v>
      </c>
      <c r="T433" s="2" t="s">
        <v>1831</v>
      </c>
      <c r="U433" s="2">
        <f t="shared" si="1"/>
        <v>1</v>
      </c>
      <c r="V433" s="2">
        <f t="shared" si="2"/>
        <v>21</v>
      </c>
      <c r="W433" s="2">
        <f t="shared" si="3"/>
        <v>461.07</v>
      </c>
      <c r="X433" s="2">
        <f t="shared" si="4"/>
        <v>503.07</v>
      </c>
      <c r="Y433" s="2">
        <f t="shared" si="5"/>
        <v>0</v>
      </c>
      <c r="Z433" s="2">
        <f t="shared" si="6"/>
        <v>461.07</v>
      </c>
      <c r="AA433" s="2">
        <f t="shared" si="7"/>
        <v>503.07</v>
      </c>
      <c r="AB433" s="2" t="str">
        <f t="shared" si="8"/>
        <v>Monday</v>
      </c>
      <c r="AC433" s="2" t="str">
        <f t="shared" si="9"/>
        <v>Weekday</v>
      </c>
      <c r="AD433" s="2" t="str">
        <f t="shared" si="10"/>
        <v>barbara.fuller</v>
      </c>
      <c r="AE433" s="2" t="str">
        <f t="shared" si="11"/>
        <v>rediffmail</v>
      </c>
      <c r="AF433" s="2" t="str">
        <f t="shared" si="12"/>
        <v>Barbara Fuller</v>
      </c>
      <c r="AG433" s="2" t="str">
        <f t="shared" si="13"/>
        <v>Barbara</v>
      </c>
      <c r="AH433" s="2" t="str">
        <f t="shared" si="14"/>
        <v>Fuller</v>
      </c>
      <c r="AI433" s="2" t="str">
        <f t="shared" si="15"/>
        <v>InTime</v>
      </c>
      <c r="AJ433" s="2" t="str">
        <f t="shared" si="16"/>
        <v>#NAME?</v>
      </c>
    </row>
    <row r="434" ht="14.25" customHeight="1">
      <c r="A434" s="2" t="s">
        <v>80</v>
      </c>
      <c r="B434" s="2" t="s">
        <v>81</v>
      </c>
      <c r="C434" s="2" t="s">
        <v>82</v>
      </c>
      <c r="D434" s="2">
        <v>26.0</v>
      </c>
      <c r="E434" s="2" t="s">
        <v>34</v>
      </c>
      <c r="F434" s="2" t="s">
        <v>83</v>
      </c>
      <c r="G434" s="2" t="s">
        <v>84</v>
      </c>
      <c r="H434" s="2" t="s">
        <v>2097</v>
      </c>
      <c r="I434" s="2" t="s">
        <v>85</v>
      </c>
      <c r="J434" s="2" t="s">
        <v>1832</v>
      </c>
      <c r="K434" s="3">
        <v>45449.0</v>
      </c>
      <c r="L434" s="2" t="s">
        <v>1833</v>
      </c>
      <c r="M434" s="2" t="s">
        <v>650</v>
      </c>
      <c r="N434" s="2">
        <v>235.63</v>
      </c>
      <c r="O434" s="2">
        <v>1.0</v>
      </c>
      <c r="P434" s="2" t="s">
        <v>51</v>
      </c>
      <c r="Q434" s="2">
        <v>3.0</v>
      </c>
      <c r="R434" s="2">
        <v>55.0</v>
      </c>
      <c r="S434" s="3">
        <v>45455.0</v>
      </c>
      <c r="T434" s="2" t="s">
        <v>1834</v>
      </c>
      <c r="U434" s="2">
        <f t="shared" si="1"/>
        <v>6</v>
      </c>
      <c r="V434" s="2">
        <f t="shared" si="2"/>
        <v>18</v>
      </c>
      <c r="W434" s="2">
        <f t="shared" si="3"/>
        <v>235.63</v>
      </c>
      <c r="X434" s="2">
        <f t="shared" si="4"/>
        <v>290.63</v>
      </c>
      <c r="Y434" s="2">
        <f t="shared" si="5"/>
        <v>0</v>
      </c>
      <c r="Z434" s="2">
        <f t="shared" si="6"/>
        <v>235.63</v>
      </c>
      <c r="AA434" s="2">
        <f t="shared" si="7"/>
        <v>290.63</v>
      </c>
      <c r="AB434" s="2" t="str">
        <f t="shared" si="8"/>
        <v>Thursday</v>
      </c>
      <c r="AC434" s="2" t="str">
        <f t="shared" si="9"/>
        <v>Weekday</v>
      </c>
      <c r="AD434" s="2" t="str">
        <f t="shared" si="10"/>
        <v>david.delacruz</v>
      </c>
      <c r="AE434" s="2" t="str">
        <f t="shared" si="11"/>
        <v>rediffmail</v>
      </c>
      <c r="AF434" s="2" t="str">
        <f t="shared" si="12"/>
        <v>David Delacruz</v>
      </c>
      <c r="AG434" s="2" t="str">
        <f t="shared" si="13"/>
        <v>David</v>
      </c>
      <c r="AH434" s="2" t="str">
        <f t="shared" si="14"/>
        <v>Delacruz</v>
      </c>
      <c r="AI434" s="2" t="str">
        <f t="shared" si="15"/>
        <v>Late</v>
      </c>
      <c r="AJ434" s="2" t="str">
        <f t="shared" si="16"/>
        <v>#NAME?</v>
      </c>
    </row>
    <row r="435" ht="14.25" customHeight="1">
      <c r="A435" s="2" t="s">
        <v>596</v>
      </c>
      <c r="B435" s="2" t="s">
        <v>597</v>
      </c>
      <c r="C435" s="2" t="s">
        <v>396</v>
      </c>
      <c r="D435" s="2">
        <v>18.0</v>
      </c>
      <c r="E435" s="2" t="s">
        <v>34</v>
      </c>
      <c r="F435" s="2" t="s">
        <v>35</v>
      </c>
      <c r="G435" s="2" t="s">
        <v>598</v>
      </c>
      <c r="H435" s="2" t="s">
        <v>2148</v>
      </c>
      <c r="I435" s="2" t="s">
        <v>599</v>
      </c>
      <c r="J435" s="2" t="s">
        <v>1835</v>
      </c>
      <c r="K435" s="3">
        <v>45178.0</v>
      </c>
      <c r="L435" s="2" t="s">
        <v>1836</v>
      </c>
      <c r="M435" s="2" t="s">
        <v>556</v>
      </c>
      <c r="N435" s="2">
        <v>133.62</v>
      </c>
      <c r="O435" s="2">
        <v>2.0</v>
      </c>
      <c r="P435" s="2" t="s">
        <v>29</v>
      </c>
      <c r="Q435" s="2">
        <v>2.0</v>
      </c>
      <c r="R435" s="2">
        <v>48.0</v>
      </c>
      <c r="S435" s="3">
        <v>45184.0</v>
      </c>
      <c r="T435" s="2" t="s">
        <v>1837</v>
      </c>
      <c r="U435" s="2">
        <f t="shared" si="1"/>
        <v>6</v>
      </c>
      <c r="V435" s="2">
        <f t="shared" si="2"/>
        <v>16</v>
      </c>
      <c r="W435" s="2">
        <f t="shared" si="3"/>
        <v>267.24</v>
      </c>
      <c r="X435" s="2">
        <f t="shared" si="4"/>
        <v>315.24</v>
      </c>
      <c r="Y435" s="2">
        <f t="shared" si="5"/>
        <v>0</v>
      </c>
      <c r="Z435" s="2">
        <f t="shared" si="6"/>
        <v>267.24</v>
      </c>
      <c r="AA435" s="2">
        <f t="shared" si="7"/>
        <v>315.24</v>
      </c>
      <c r="AB435" s="2" t="str">
        <f t="shared" si="8"/>
        <v>Saturday</v>
      </c>
      <c r="AC435" s="2" t="str">
        <f t="shared" si="9"/>
        <v>Weekend</v>
      </c>
      <c r="AD435" s="2" t="str">
        <f t="shared" si="10"/>
        <v>kelli.smith</v>
      </c>
      <c r="AE435" s="2" t="str">
        <f t="shared" si="11"/>
        <v>rediffmail</v>
      </c>
      <c r="AF435" s="2" t="str">
        <f t="shared" si="12"/>
        <v>Kelli Smith</v>
      </c>
      <c r="AG435" s="2" t="str">
        <f t="shared" si="13"/>
        <v>Kelli</v>
      </c>
      <c r="AH435" s="2" t="str">
        <f t="shared" si="14"/>
        <v>Smith</v>
      </c>
      <c r="AI435" s="2" t="str">
        <f t="shared" si="15"/>
        <v>Late</v>
      </c>
      <c r="AJ435" s="2" t="str">
        <f t="shared" si="16"/>
        <v>#NAME?</v>
      </c>
    </row>
    <row r="436" ht="14.25" customHeight="1">
      <c r="A436" s="2" t="s">
        <v>1231</v>
      </c>
      <c r="B436" s="2" t="s">
        <v>1232</v>
      </c>
      <c r="C436" s="2" t="s">
        <v>1233</v>
      </c>
      <c r="D436" s="2">
        <v>55.0</v>
      </c>
      <c r="E436" s="2" t="s">
        <v>34</v>
      </c>
      <c r="F436" s="2" t="s">
        <v>152</v>
      </c>
      <c r="G436" s="2" t="s">
        <v>1234</v>
      </c>
      <c r="H436" s="2" t="s">
        <v>2178</v>
      </c>
      <c r="I436" s="2" t="s">
        <v>1235</v>
      </c>
      <c r="J436" s="2" t="s">
        <v>1838</v>
      </c>
      <c r="K436" s="3">
        <v>45005.0</v>
      </c>
      <c r="L436" s="2" t="s">
        <v>1839</v>
      </c>
      <c r="M436" s="2" t="s">
        <v>175</v>
      </c>
      <c r="N436" s="2">
        <v>104.18</v>
      </c>
      <c r="O436" s="2">
        <v>1.0</v>
      </c>
      <c r="P436" s="2" t="s">
        <v>29</v>
      </c>
      <c r="Q436" s="2">
        <v>5.0</v>
      </c>
      <c r="R436" s="2">
        <v>37.0</v>
      </c>
      <c r="S436" s="3">
        <v>45007.0</v>
      </c>
      <c r="T436" s="2" t="s">
        <v>1840</v>
      </c>
      <c r="U436" s="2">
        <f t="shared" si="1"/>
        <v>2</v>
      </c>
      <c r="V436" s="2">
        <f t="shared" si="2"/>
        <v>15</v>
      </c>
      <c r="W436" s="2">
        <f t="shared" si="3"/>
        <v>104.18</v>
      </c>
      <c r="X436" s="2">
        <f t="shared" si="4"/>
        <v>141.18</v>
      </c>
      <c r="Y436" s="2">
        <f t="shared" si="5"/>
        <v>0</v>
      </c>
      <c r="Z436" s="2">
        <f t="shared" si="6"/>
        <v>104.18</v>
      </c>
      <c r="AA436" s="2">
        <f t="shared" si="7"/>
        <v>141.18</v>
      </c>
      <c r="AB436" s="2" t="str">
        <f t="shared" si="8"/>
        <v>Monday</v>
      </c>
      <c r="AC436" s="2" t="str">
        <f t="shared" si="9"/>
        <v>Weekday</v>
      </c>
      <c r="AD436" s="2" t="str">
        <f t="shared" si="10"/>
        <v>hannah.gutierrez</v>
      </c>
      <c r="AE436" s="2" t="str">
        <f t="shared" si="11"/>
        <v>yahoo</v>
      </c>
      <c r="AF436" s="2" t="str">
        <f t="shared" si="12"/>
        <v>Hannah Gutierrez</v>
      </c>
      <c r="AG436" s="2" t="str">
        <f t="shared" si="13"/>
        <v>Hannah</v>
      </c>
      <c r="AH436" s="2" t="str">
        <f t="shared" si="14"/>
        <v>Gutierrez</v>
      </c>
      <c r="AI436" s="2" t="str">
        <f t="shared" si="15"/>
        <v>Before Time</v>
      </c>
      <c r="AJ436" s="2" t="str">
        <f t="shared" si="16"/>
        <v>#NAME?</v>
      </c>
    </row>
    <row r="437" ht="14.25" customHeight="1">
      <c r="A437" s="2" t="s">
        <v>672</v>
      </c>
      <c r="B437" s="2" t="s">
        <v>673</v>
      </c>
      <c r="C437" s="2" t="s">
        <v>674</v>
      </c>
      <c r="D437" s="2">
        <v>68.0</v>
      </c>
      <c r="E437" s="2" t="s">
        <v>22</v>
      </c>
      <c r="F437" s="2" t="s">
        <v>213</v>
      </c>
      <c r="G437" s="2" t="s">
        <v>675</v>
      </c>
      <c r="H437" s="2" t="s">
        <v>2153</v>
      </c>
      <c r="I437" s="2" t="s">
        <v>676</v>
      </c>
      <c r="J437" s="2" t="s">
        <v>1841</v>
      </c>
      <c r="K437" s="3">
        <v>45536.0</v>
      </c>
      <c r="L437" s="2" t="s">
        <v>1842</v>
      </c>
      <c r="M437" s="2" t="s">
        <v>88</v>
      </c>
      <c r="N437" s="2">
        <v>363.64</v>
      </c>
      <c r="O437" s="2">
        <v>4.0</v>
      </c>
      <c r="P437" s="2" t="s">
        <v>78</v>
      </c>
      <c r="Q437" s="2">
        <v>2.0</v>
      </c>
      <c r="R437" s="2">
        <v>42.0</v>
      </c>
      <c r="S437" s="3">
        <v>45540.0</v>
      </c>
      <c r="T437" s="2" t="s">
        <v>1843</v>
      </c>
      <c r="U437" s="2">
        <f t="shared" si="1"/>
        <v>4</v>
      </c>
      <c r="V437" s="2">
        <f t="shared" si="2"/>
        <v>8</v>
      </c>
      <c r="W437" s="2">
        <f t="shared" si="3"/>
        <v>1454.56</v>
      </c>
      <c r="X437" s="2">
        <f t="shared" si="4"/>
        <v>1496.56</v>
      </c>
      <c r="Y437" s="2">
        <f t="shared" si="5"/>
        <v>0</v>
      </c>
      <c r="Z437" s="2">
        <f t="shared" si="6"/>
        <v>1454.56</v>
      </c>
      <c r="AA437" s="2">
        <f t="shared" si="7"/>
        <v>1496.56</v>
      </c>
      <c r="AB437" s="2" t="str">
        <f t="shared" si="8"/>
        <v>Sunday</v>
      </c>
      <c r="AC437" s="2" t="str">
        <f t="shared" si="9"/>
        <v>Weekend</v>
      </c>
      <c r="AD437" s="2" t="str">
        <f t="shared" si="10"/>
        <v>troy.gomez</v>
      </c>
      <c r="AE437" s="2" t="str">
        <f t="shared" si="11"/>
        <v>outlook</v>
      </c>
      <c r="AF437" s="2" t="str">
        <f t="shared" si="12"/>
        <v>Troy Gomez</v>
      </c>
      <c r="AG437" s="2" t="str">
        <f t="shared" si="13"/>
        <v>Troy</v>
      </c>
      <c r="AH437" s="2" t="str">
        <f t="shared" si="14"/>
        <v>Gomez</v>
      </c>
      <c r="AI437" s="2" t="str">
        <f t="shared" si="15"/>
        <v>Late</v>
      </c>
      <c r="AJ437" s="2" t="str">
        <f t="shared" si="16"/>
        <v>#NAME?</v>
      </c>
    </row>
    <row r="438" ht="14.25" customHeight="1">
      <c r="A438" s="2" t="s">
        <v>286</v>
      </c>
      <c r="B438" s="2" t="s">
        <v>287</v>
      </c>
      <c r="C438" s="2" t="s">
        <v>288</v>
      </c>
      <c r="D438" s="2">
        <v>48.0</v>
      </c>
      <c r="E438" s="2" t="s">
        <v>34</v>
      </c>
      <c r="F438" s="2" t="s">
        <v>83</v>
      </c>
      <c r="G438" s="2" t="s">
        <v>289</v>
      </c>
      <c r="H438" s="2" t="s">
        <v>2118</v>
      </c>
      <c r="I438" s="2" t="s">
        <v>290</v>
      </c>
      <c r="J438" s="2" t="s">
        <v>1844</v>
      </c>
      <c r="K438" s="3">
        <v>45310.0</v>
      </c>
      <c r="L438" s="2" t="s">
        <v>1845</v>
      </c>
      <c r="M438" s="2" t="s">
        <v>147</v>
      </c>
      <c r="N438" s="2">
        <v>220.27</v>
      </c>
      <c r="O438" s="2">
        <v>2.0</v>
      </c>
      <c r="P438" s="2" t="s">
        <v>51</v>
      </c>
      <c r="Q438" s="2">
        <v>7.0</v>
      </c>
      <c r="R438" s="2">
        <v>42.0</v>
      </c>
      <c r="S438" s="3">
        <v>45317.0</v>
      </c>
      <c r="T438" s="2" t="s">
        <v>1846</v>
      </c>
      <c r="U438" s="2">
        <f t="shared" si="1"/>
        <v>7</v>
      </c>
      <c r="V438" s="2">
        <f t="shared" si="2"/>
        <v>4</v>
      </c>
      <c r="W438" s="2">
        <f t="shared" si="3"/>
        <v>440.54</v>
      </c>
      <c r="X438" s="2">
        <f t="shared" si="4"/>
        <v>482.54</v>
      </c>
      <c r="Y438" s="2">
        <f t="shared" si="5"/>
        <v>0</v>
      </c>
      <c r="Z438" s="2">
        <f t="shared" si="6"/>
        <v>440.54</v>
      </c>
      <c r="AA438" s="2">
        <f t="shared" si="7"/>
        <v>482.54</v>
      </c>
      <c r="AB438" s="2" t="str">
        <f t="shared" si="8"/>
        <v>Friday</v>
      </c>
      <c r="AC438" s="2" t="str">
        <f t="shared" si="9"/>
        <v>Weekday</v>
      </c>
      <c r="AD438" s="2" t="str">
        <f t="shared" si="10"/>
        <v>heather.schneider</v>
      </c>
      <c r="AE438" s="2" t="str">
        <f t="shared" si="11"/>
        <v>outlook</v>
      </c>
      <c r="AF438" s="2" t="str">
        <f t="shared" si="12"/>
        <v>Heather Schneider</v>
      </c>
      <c r="AG438" s="2" t="str">
        <f t="shared" si="13"/>
        <v>Heather</v>
      </c>
      <c r="AH438" s="2" t="str">
        <f t="shared" si="14"/>
        <v>Schneider</v>
      </c>
      <c r="AI438" s="2" t="str">
        <f t="shared" si="15"/>
        <v>InTime</v>
      </c>
      <c r="AJ438" s="2" t="str">
        <f t="shared" si="16"/>
        <v>#NAME?</v>
      </c>
    </row>
    <row r="439" ht="14.25" customHeight="1">
      <c r="A439" s="2" t="s">
        <v>681</v>
      </c>
      <c r="B439" s="2" t="s">
        <v>682</v>
      </c>
      <c r="C439" s="2" t="s">
        <v>683</v>
      </c>
      <c r="D439" s="2">
        <v>65.0</v>
      </c>
      <c r="E439" s="2" t="s">
        <v>34</v>
      </c>
      <c r="F439" s="2" t="s">
        <v>83</v>
      </c>
      <c r="G439" s="2" t="s">
        <v>684</v>
      </c>
      <c r="H439" s="2" t="s">
        <v>2154</v>
      </c>
      <c r="I439" s="2" t="s">
        <v>685</v>
      </c>
      <c r="J439" s="2" t="s">
        <v>1847</v>
      </c>
      <c r="K439" s="3">
        <v>45167.0</v>
      </c>
      <c r="L439" s="2" t="s">
        <v>1848</v>
      </c>
      <c r="M439" s="2" t="s">
        <v>977</v>
      </c>
      <c r="N439" s="2">
        <v>33.49</v>
      </c>
      <c r="O439" s="2">
        <v>3.0</v>
      </c>
      <c r="P439" s="2" t="s">
        <v>89</v>
      </c>
      <c r="Q439" s="2">
        <v>1.0</v>
      </c>
      <c r="R439" s="2">
        <v>50.0</v>
      </c>
      <c r="S439" s="3">
        <v>45172.0</v>
      </c>
      <c r="T439" s="2" t="s">
        <v>1849</v>
      </c>
      <c r="U439" s="2">
        <f t="shared" si="1"/>
        <v>5</v>
      </c>
      <c r="V439" s="2">
        <f t="shared" si="2"/>
        <v>21</v>
      </c>
      <c r="W439" s="2">
        <f t="shared" si="3"/>
        <v>100.47</v>
      </c>
      <c r="X439" s="2">
        <f t="shared" si="4"/>
        <v>150.47</v>
      </c>
      <c r="Y439" s="2">
        <f t="shared" si="5"/>
        <v>0</v>
      </c>
      <c r="Z439" s="2">
        <f t="shared" si="6"/>
        <v>100.47</v>
      </c>
      <c r="AA439" s="2">
        <f t="shared" si="7"/>
        <v>150.47</v>
      </c>
      <c r="AB439" s="2" t="str">
        <f t="shared" si="8"/>
        <v>Tuesday</v>
      </c>
      <c r="AC439" s="2" t="str">
        <f t="shared" si="9"/>
        <v>Weekday</v>
      </c>
      <c r="AD439" s="2" t="str">
        <f t="shared" si="10"/>
        <v>kim.blevins</v>
      </c>
      <c r="AE439" s="2" t="str">
        <f t="shared" si="11"/>
        <v>outlook</v>
      </c>
      <c r="AF439" s="2" t="str">
        <f t="shared" si="12"/>
        <v>Kim Blevins</v>
      </c>
      <c r="AG439" s="2" t="str">
        <f t="shared" si="13"/>
        <v>Kim</v>
      </c>
      <c r="AH439" s="2" t="str">
        <f t="shared" si="14"/>
        <v>Blevins</v>
      </c>
      <c r="AI439" s="2" t="str">
        <f t="shared" si="15"/>
        <v>Late</v>
      </c>
      <c r="AJ439" s="2" t="str">
        <f t="shared" si="16"/>
        <v>#NAME?</v>
      </c>
    </row>
    <row r="440" ht="14.25" customHeight="1">
      <c r="A440" s="2" t="s">
        <v>342</v>
      </c>
      <c r="B440" s="2" t="s">
        <v>343</v>
      </c>
      <c r="C440" s="2" t="s">
        <v>344</v>
      </c>
      <c r="D440" s="2">
        <v>70.0</v>
      </c>
      <c r="E440" s="2" t="s">
        <v>22</v>
      </c>
      <c r="F440" s="2" t="s">
        <v>161</v>
      </c>
      <c r="G440" s="2" t="s">
        <v>345</v>
      </c>
      <c r="H440" s="2" t="s">
        <v>2123</v>
      </c>
      <c r="I440" s="2" t="s">
        <v>346</v>
      </c>
      <c r="J440" s="2" t="s">
        <v>1850</v>
      </c>
      <c r="K440" s="3">
        <v>45145.0</v>
      </c>
      <c r="L440" s="2" t="s">
        <v>1851</v>
      </c>
      <c r="M440" s="2" t="s">
        <v>280</v>
      </c>
      <c r="N440" s="2">
        <v>157.64</v>
      </c>
      <c r="O440" s="2">
        <v>2.0</v>
      </c>
      <c r="P440" s="2" t="s">
        <v>89</v>
      </c>
      <c r="Q440" s="2">
        <v>6.0</v>
      </c>
      <c r="R440" s="2">
        <v>65.0</v>
      </c>
      <c r="S440" s="3">
        <v>45148.0</v>
      </c>
      <c r="T440" s="2" t="s">
        <v>1852</v>
      </c>
      <c r="U440" s="2">
        <f t="shared" si="1"/>
        <v>3</v>
      </c>
      <c r="V440" s="2">
        <f t="shared" si="2"/>
        <v>1</v>
      </c>
      <c r="W440" s="2">
        <f t="shared" si="3"/>
        <v>315.28</v>
      </c>
      <c r="X440" s="2">
        <f t="shared" si="4"/>
        <v>380.28</v>
      </c>
      <c r="Y440" s="2">
        <f t="shared" si="5"/>
        <v>0</v>
      </c>
      <c r="Z440" s="2">
        <f t="shared" si="6"/>
        <v>315.28</v>
      </c>
      <c r="AA440" s="2">
        <f t="shared" si="7"/>
        <v>380.28</v>
      </c>
      <c r="AB440" s="2" t="str">
        <f t="shared" si="8"/>
        <v>Monday</v>
      </c>
      <c r="AC440" s="2" t="str">
        <f t="shared" si="9"/>
        <v>Weekday</v>
      </c>
      <c r="AD440" s="2" t="str">
        <f t="shared" si="10"/>
        <v>donna.oneill</v>
      </c>
      <c r="AE440" s="2" t="str">
        <f t="shared" si="11"/>
        <v>yahoo</v>
      </c>
      <c r="AF440" s="2" t="str">
        <f t="shared" si="12"/>
        <v>Donna Oneill</v>
      </c>
      <c r="AG440" s="2" t="str">
        <f t="shared" si="13"/>
        <v>Donna</v>
      </c>
      <c r="AH440" s="2" t="str">
        <f t="shared" si="14"/>
        <v>Oneill</v>
      </c>
      <c r="AI440" s="2" t="str">
        <f t="shared" si="15"/>
        <v>Before Time</v>
      </c>
      <c r="AJ440" s="2" t="str">
        <f t="shared" si="16"/>
        <v>#NAME?</v>
      </c>
    </row>
    <row r="441" ht="14.25" customHeight="1">
      <c r="A441" s="2" t="s">
        <v>158</v>
      </c>
      <c r="B441" s="2" t="s">
        <v>159</v>
      </c>
      <c r="C441" s="2" t="s">
        <v>160</v>
      </c>
      <c r="D441" s="2">
        <v>46.0</v>
      </c>
      <c r="E441" s="2" t="s">
        <v>22</v>
      </c>
      <c r="F441" s="2" t="s">
        <v>161</v>
      </c>
      <c r="G441" s="2" t="s">
        <v>162</v>
      </c>
      <c r="H441" s="2" t="s">
        <v>2105</v>
      </c>
      <c r="I441" s="2" t="s">
        <v>163</v>
      </c>
      <c r="J441" s="2" t="s">
        <v>1853</v>
      </c>
      <c r="K441" s="3">
        <v>45010.0</v>
      </c>
      <c r="L441" s="2" t="s">
        <v>1854</v>
      </c>
      <c r="M441" s="2" t="s">
        <v>511</v>
      </c>
      <c r="N441" s="2">
        <v>441.03</v>
      </c>
      <c r="O441" s="2">
        <v>5.0</v>
      </c>
      <c r="P441" s="2" t="s">
        <v>78</v>
      </c>
      <c r="Q441" s="2">
        <v>7.0</v>
      </c>
      <c r="R441" s="2">
        <v>36.0</v>
      </c>
      <c r="S441" s="3">
        <v>45016.0</v>
      </c>
      <c r="T441" s="2" t="s">
        <v>1855</v>
      </c>
      <c r="U441" s="2">
        <f t="shared" si="1"/>
        <v>6</v>
      </c>
      <c r="V441" s="2">
        <f t="shared" si="2"/>
        <v>15</v>
      </c>
      <c r="W441" s="2">
        <f t="shared" si="3"/>
        <v>2205.15</v>
      </c>
      <c r="X441" s="2">
        <f t="shared" si="4"/>
        <v>2241.15</v>
      </c>
      <c r="Y441" s="2">
        <f t="shared" si="5"/>
        <v>0</v>
      </c>
      <c r="Z441" s="2">
        <f t="shared" si="6"/>
        <v>2205.15</v>
      </c>
      <c r="AA441" s="2">
        <f t="shared" si="7"/>
        <v>2241.15</v>
      </c>
      <c r="AB441" s="2" t="str">
        <f t="shared" si="8"/>
        <v>Saturday</v>
      </c>
      <c r="AC441" s="2" t="str">
        <f t="shared" si="9"/>
        <v>Weekend</v>
      </c>
      <c r="AD441" s="2" t="str">
        <f t="shared" si="10"/>
        <v>erin.miller</v>
      </c>
      <c r="AE441" s="2" t="str">
        <f t="shared" si="11"/>
        <v>gmail</v>
      </c>
      <c r="AF441" s="2" t="str">
        <f t="shared" si="12"/>
        <v>Erin Miller</v>
      </c>
      <c r="AG441" s="2" t="str">
        <f t="shared" si="13"/>
        <v>Erin</v>
      </c>
      <c r="AH441" s="2" t="str">
        <f t="shared" si="14"/>
        <v>Miller</v>
      </c>
      <c r="AI441" s="2" t="str">
        <f t="shared" si="15"/>
        <v>Before Time</v>
      </c>
      <c r="AJ441" s="2" t="str">
        <f t="shared" si="16"/>
        <v>#NAME?</v>
      </c>
    </row>
    <row r="442" ht="14.25" customHeight="1">
      <c r="A442" s="2" t="s">
        <v>539</v>
      </c>
      <c r="B442" s="2" t="s">
        <v>540</v>
      </c>
      <c r="C442" s="2" t="s">
        <v>541</v>
      </c>
      <c r="D442" s="2">
        <v>33.0</v>
      </c>
      <c r="E442" s="2" t="s">
        <v>45</v>
      </c>
      <c r="F442" s="2" t="s">
        <v>161</v>
      </c>
      <c r="G442" s="2" t="s">
        <v>542</v>
      </c>
      <c r="H442" s="2" t="s">
        <v>2145</v>
      </c>
      <c r="I442" s="2" t="s">
        <v>543</v>
      </c>
      <c r="J442" s="2" t="s">
        <v>1856</v>
      </c>
      <c r="K442" s="3">
        <v>45628.0</v>
      </c>
      <c r="L442" s="2" t="s">
        <v>1857</v>
      </c>
      <c r="M442" s="2" t="s">
        <v>423</v>
      </c>
      <c r="N442" s="2">
        <v>369.03</v>
      </c>
      <c r="O442" s="2">
        <v>4.0</v>
      </c>
      <c r="P442" s="2" t="s">
        <v>29</v>
      </c>
      <c r="Q442" s="2">
        <v>5.0</v>
      </c>
      <c r="R442" s="2">
        <v>48.0</v>
      </c>
      <c r="S442" s="3">
        <v>45629.0</v>
      </c>
      <c r="T442" s="2" t="s">
        <v>1858</v>
      </c>
      <c r="U442" s="2">
        <f t="shared" si="1"/>
        <v>1</v>
      </c>
      <c r="V442" s="2">
        <f t="shared" si="2"/>
        <v>15</v>
      </c>
      <c r="W442" s="2">
        <f t="shared" si="3"/>
        <v>1476.12</v>
      </c>
      <c r="X442" s="2">
        <f t="shared" si="4"/>
        <v>1524.12</v>
      </c>
      <c r="Y442" s="2">
        <f t="shared" si="5"/>
        <v>0</v>
      </c>
      <c r="Z442" s="2">
        <f t="shared" si="6"/>
        <v>1476.12</v>
      </c>
      <c r="AA442" s="2">
        <f t="shared" si="7"/>
        <v>1524.12</v>
      </c>
      <c r="AB442" s="2" t="str">
        <f t="shared" si="8"/>
        <v>Monday</v>
      </c>
      <c r="AC442" s="2" t="str">
        <f t="shared" si="9"/>
        <v>Weekday</v>
      </c>
      <c r="AD442" s="2" t="str">
        <f t="shared" si="10"/>
        <v>jodi.whitney</v>
      </c>
      <c r="AE442" s="2" t="str">
        <f t="shared" si="11"/>
        <v>yahoo</v>
      </c>
      <c r="AF442" s="2" t="str">
        <f t="shared" si="12"/>
        <v>Jodi Whitney</v>
      </c>
      <c r="AG442" s="2" t="str">
        <f t="shared" si="13"/>
        <v>Jodi</v>
      </c>
      <c r="AH442" s="2" t="str">
        <f t="shared" si="14"/>
        <v>Whitney</v>
      </c>
      <c r="AI442" s="2" t="str">
        <f t="shared" si="15"/>
        <v>Before Time</v>
      </c>
      <c r="AJ442" s="2" t="str">
        <f t="shared" si="16"/>
        <v>#NAME?</v>
      </c>
    </row>
    <row r="443" ht="14.25" customHeight="1">
      <c r="A443" s="2" t="s">
        <v>378</v>
      </c>
      <c r="B443" s="2" t="s">
        <v>379</v>
      </c>
      <c r="C443" s="2" t="s">
        <v>380</v>
      </c>
      <c r="D443" s="2">
        <v>47.0</v>
      </c>
      <c r="E443" s="2" t="s">
        <v>34</v>
      </c>
      <c r="F443" s="2" t="s">
        <v>83</v>
      </c>
      <c r="G443" s="2" t="s">
        <v>381</v>
      </c>
      <c r="H443" s="2" t="s">
        <v>2127</v>
      </c>
      <c r="I443" s="2" t="s">
        <v>382</v>
      </c>
      <c r="J443" s="2" t="s">
        <v>1859</v>
      </c>
      <c r="K443" s="3">
        <v>45529.0</v>
      </c>
      <c r="L443" s="2" t="s">
        <v>1860</v>
      </c>
      <c r="M443" s="2" t="s">
        <v>301</v>
      </c>
      <c r="N443" s="2">
        <v>129.75</v>
      </c>
      <c r="O443" s="2">
        <v>2.0</v>
      </c>
      <c r="P443" s="2" t="s">
        <v>78</v>
      </c>
      <c r="Q443" s="2">
        <v>5.0</v>
      </c>
      <c r="R443" s="2">
        <v>47.0</v>
      </c>
      <c r="S443" s="3">
        <v>45532.0</v>
      </c>
      <c r="T443" s="2" t="s">
        <v>1861</v>
      </c>
      <c r="U443" s="2">
        <f t="shared" si="1"/>
        <v>3</v>
      </c>
      <c r="V443" s="2">
        <f t="shared" si="2"/>
        <v>21</v>
      </c>
      <c r="W443" s="2">
        <f t="shared" si="3"/>
        <v>259.5</v>
      </c>
      <c r="X443" s="2">
        <f t="shared" si="4"/>
        <v>306.5</v>
      </c>
      <c r="Y443" s="2">
        <f t="shared" si="5"/>
        <v>0</v>
      </c>
      <c r="Z443" s="2">
        <f t="shared" si="6"/>
        <v>259.5</v>
      </c>
      <c r="AA443" s="2">
        <f t="shared" si="7"/>
        <v>306.5</v>
      </c>
      <c r="AB443" s="2" t="str">
        <f t="shared" si="8"/>
        <v>Sunday</v>
      </c>
      <c r="AC443" s="2" t="str">
        <f t="shared" si="9"/>
        <v>Weekend</v>
      </c>
      <c r="AD443" s="2" t="str">
        <f t="shared" si="10"/>
        <v>aaron.thompson</v>
      </c>
      <c r="AE443" s="2" t="str">
        <f t="shared" si="11"/>
        <v>gmail</v>
      </c>
      <c r="AF443" s="2" t="str">
        <f t="shared" si="12"/>
        <v>Aaron Thompson</v>
      </c>
      <c r="AG443" s="2" t="str">
        <f t="shared" si="13"/>
        <v>Aaron</v>
      </c>
      <c r="AH443" s="2" t="str">
        <f t="shared" si="14"/>
        <v>Thompson</v>
      </c>
      <c r="AI443" s="2" t="str">
        <f t="shared" si="15"/>
        <v>Before Time</v>
      </c>
      <c r="AJ443" s="2" t="str">
        <f t="shared" si="16"/>
        <v>#NAME?</v>
      </c>
    </row>
    <row r="444" ht="14.25" customHeight="1">
      <c r="A444" s="2" t="s">
        <v>1239</v>
      </c>
      <c r="B444" s="2" t="s">
        <v>59</v>
      </c>
      <c r="C444" s="2" t="s">
        <v>1240</v>
      </c>
      <c r="D444" s="2">
        <v>40.0</v>
      </c>
      <c r="E444" s="2" t="s">
        <v>22</v>
      </c>
      <c r="F444" s="2" t="s">
        <v>69</v>
      </c>
      <c r="G444" s="2" t="s">
        <v>1241</v>
      </c>
      <c r="H444" s="2" t="s">
        <v>2179</v>
      </c>
      <c r="I444" s="2" t="s">
        <v>1242</v>
      </c>
      <c r="J444" s="2" t="s">
        <v>1862</v>
      </c>
      <c r="K444" s="3">
        <v>45175.0</v>
      </c>
      <c r="L444" s="2" t="s">
        <v>1863</v>
      </c>
      <c r="M444" s="2" t="s">
        <v>192</v>
      </c>
      <c r="N444" s="2">
        <v>20.7</v>
      </c>
      <c r="O444" s="2">
        <v>2.0</v>
      </c>
      <c r="P444" s="2" t="s">
        <v>29</v>
      </c>
      <c r="Q444" s="2">
        <v>5.0</v>
      </c>
      <c r="R444" s="2">
        <v>61.0</v>
      </c>
      <c r="S444" s="3">
        <v>45177.0</v>
      </c>
      <c r="T444" s="2" t="s">
        <v>1864</v>
      </c>
      <c r="U444" s="2">
        <f t="shared" si="1"/>
        <v>2</v>
      </c>
      <c r="V444" s="2">
        <f t="shared" si="2"/>
        <v>16</v>
      </c>
      <c r="W444" s="2">
        <f t="shared" si="3"/>
        <v>41.4</v>
      </c>
      <c r="X444" s="2">
        <f t="shared" si="4"/>
        <v>102.4</v>
      </c>
      <c r="Y444" s="2">
        <f t="shared" si="5"/>
        <v>0</v>
      </c>
      <c r="Z444" s="2">
        <f t="shared" si="6"/>
        <v>41.4</v>
      </c>
      <c r="AA444" s="2">
        <f t="shared" si="7"/>
        <v>102.4</v>
      </c>
      <c r="AB444" s="2" t="str">
        <f t="shared" si="8"/>
        <v>Wednesday</v>
      </c>
      <c r="AC444" s="2" t="str">
        <f t="shared" si="9"/>
        <v>Weekday</v>
      </c>
      <c r="AD444" s="2" t="str">
        <f t="shared" si="10"/>
        <v>angela.casey</v>
      </c>
      <c r="AE444" s="2" t="str">
        <f t="shared" si="11"/>
        <v>gmail</v>
      </c>
      <c r="AF444" s="2" t="str">
        <f t="shared" si="12"/>
        <v>Angela Casey</v>
      </c>
      <c r="AG444" s="2" t="str">
        <f t="shared" si="13"/>
        <v>Angela</v>
      </c>
      <c r="AH444" s="2" t="str">
        <f t="shared" si="14"/>
        <v>Casey</v>
      </c>
      <c r="AI444" s="2" t="str">
        <f t="shared" si="15"/>
        <v>Before Time</v>
      </c>
      <c r="AJ444" s="2" t="str">
        <f t="shared" si="16"/>
        <v>#NAME?</v>
      </c>
    </row>
    <row r="445" ht="14.25" customHeight="1">
      <c r="A445" s="2" t="s">
        <v>717</v>
      </c>
      <c r="B445" s="2" t="s">
        <v>718</v>
      </c>
      <c r="C445" s="2" t="s">
        <v>160</v>
      </c>
      <c r="D445" s="2">
        <v>70.0</v>
      </c>
      <c r="E445" s="2" t="s">
        <v>34</v>
      </c>
      <c r="F445" s="2" t="s">
        <v>83</v>
      </c>
      <c r="G445" s="2" t="s">
        <v>719</v>
      </c>
      <c r="H445" s="2" t="s">
        <v>2157</v>
      </c>
      <c r="I445" s="2" t="s">
        <v>720</v>
      </c>
      <c r="J445" s="2" t="s">
        <v>1865</v>
      </c>
      <c r="K445" s="3">
        <v>45379.0</v>
      </c>
      <c r="L445" s="2" t="s">
        <v>1866</v>
      </c>
      <c r="M445" s="2" t="s">
        <v>337</v>
      </c>
      <c r="N445" s="2">
        <v>372.62</v>
      </c>
      <c r="O445" s="2">
        <v>2.0</v>
      </c>
      <c r="P445" s="2" t="s">
        <v>89</v>
      </c>
      <c r="Q445" s="2">
        <v>4.0</v>
      </c>
      <c r="R445" s="2">
        <v>57.0</v>
      </c>
      <c r="S445" s="3">
        <v>45382.0</v>
      </c>
      <c r="T445" s="2" t="s">
        <v>1867</v>
      </c>
      <c r="U445" s="2">
        <f t="shared" si="1"/>
        <v>3</v>
      </c>
      <c r="V445" s="2">
        <f t="shared" si="2"/>
        <v>13</v>
      </c>
      <c r="W445" s="2">
        <f t="shared" si="3"/>
        <v>745.24</v>
      </c>
      <c r="X445" s="2">
        <f t="shared" si="4"/>
        <v>802.24</v>
      </c>
      <c r="Y445" s="2">
        <f t="shared" si="5"/>
        <v>0</v>
      </c>
      <c r="Z445" s="2">
        <f t="shared" si="6"/>
        <v>745.24</v>
      </c>
      <c r="AA445" s="2">
        <f t="shared" si="7"/>
        <v>802.24</v>
      </c>
      <c r="AB445" s="2" t="str">
        <f t="shared" si="8"/>
        <v>Thursday</v>
      </c>
      <c r="AC445" s="2" t="str">
        <f t="shared" si="9"/>
        <v>Weekday</v>
      </c>
      <c r="AD445" s="2" t="str">
        <f t="shared" si="10"/>
        <v>lisa.miller</v>
      </c>
      <c r="AE445" s="2" t="str">
        <f t="shared" si="11"/>
        <v>gmail</v>
      </c>
      <c r="AF445" s="2" t="str">
        <f t="shared" si="12"/>
        <v>Lisa Miller</v>
      </c>
      <c r="AG445" s="2" t="str">
        <f t="shared" si="13"/>
        <v>Lisa</v>
      </c>
      <c r="AH445" s="2" t="str">
        <f t="shared" si="14"/>
        <v>Miller</v>
      </c>
      <c r="AI445" s="2" t="str">
        <f t="shared" si="15"/>
        <v>Before Time</v>
      </c>
      <c r="AJ445" s="2" t="str">
        <f t="shared" si="16"/>
        <v>#NAME?</v>
      </c>
    </row>
    <row r="446" ht="14.25" customHeight="1">
      <c r="A446" s="2" t="s">
        <v>1868</v>
      </c>
      <c r="B446" s="2" t="s">
        <v>1097</v>
      </c>
      <c r="C446" s="2" t="s">
        <v>1869</v>
      </c>
      <c r="D446" s="2">
        <v>64.0</v>
      </c>
      <c r="E446" s="2" t="s">
        <v>34</v>
      </c>
      <c r="F446" s="2" t="s">
        <v>69</v>
      </c>
      <c r="G446" s="2" t="s">
        <v>1870</v>
      </c>
      <c r="H446" s="2" t="s">
        <v>2190</v>
      </c>
      <c r="I446" s="2" t="s">
        <v>1871</v>
      </c>
      <c r="J446" s="2" t="s">
        <v>1872</v>
      </c>
      <c r="K446" s="3">
        <v>45633.0</v>
      </c>
      <c r="L446" s="2" t="s">
        <v>1873</v>
      </c>
      <c r="M446" s="2" t="s">
        <v>934</v>
      </c>
      <c r="N446" s="2">
        <v>107.47</v>
      </c>
      <c r="O446" s="2">
        <v>4.0</v>
      </c>
      <c r="P446" s="2" t="s">
        <v>78</v>
      </c>
      <c r="Q446" s="2">
        <v>5.0</v>
      </c>
      <c r="R446" s="2">
        <v>42.0</v>
      </c>
      <c r="S446" s="3">
        <v>45637.0</v>
      </c>
      <c r="T446" s="2" t="s">
        <v>1874</v>
      </c>
      <c r="U446" s="2">
        <f t="shared" si="1"/>
        <v>4</v>
      </c>
      <c r="V446" s="2">
        <f t="shared" si="2"/>
        <v>7</v>
      </c>
      <c r="W446" s="2">
        <f t="shared" si="3"/>
        <v>429.88</v>
      </c>
      <c r="X446" s="2">
        <f t="shared" si="4"/>
        <v>471.88</v>
      </c>
      <c r="Y446" s="2">
        <f t="shared" si="5"/>
        <v>0</v>
      </c>
      <c r="Z446" s="2">
        <f t="shared" si="6"/>
        <v>429.88</v>
      </c>
      <c r="AA446" s="2">
        <f t="shared" si="7"/>
        <v>471.88</v>
      </c>
      <c r="AB446" s="2" t="str">
        <f t="shared" si="8"/>
        <v>Saturday</v>
      </c>
      <c r="AC446" s="2" t="str">
        <f t="shared" si="9"/>
        <v>Weekend</v>
      </c>
      <c r="AD446" s="2" t="str">
        <f t="shared" si="10"/>
        <v>gary.jacobs</v>
      </c>
      <c r="AE446" s="2" t="str">
        <f t="shared" si="11"/>
        <v>gmail</v>
      </c>
      <c r="AF446" s="2" t="str">
        <f t="shared" si="12"/>
        <v>Gary Jacobs</v>
      </c>
      <c r="AG446" s="2" t="str">
        <f t="shared" si="13"/>
        <v>Gary</v>
      </c>
      <c r="AH446" s="2" t="str">
        <f t="shared" si="14"/>
        <v>Jacobs</v>
      </c>
      <c r="AI446" s="2" t="str">
        <f t="shared" si="15"/>
        <v>Before Time</v>
      </c>
      <c r="AJ446" s="2" t="str">
        <f t="shared" si="16"/>
        <v>#NAME?</v>
      </c>
    </row>
    <row r="447" ht="14.25" customHeight="1">
      <c r="A447" s="2" t="s">
        <v>1868</v>
      </c>
      <c r="B447" s="2" t="s">
        <v>1097</v>
      </c>
      <c r="C447" s="2" t="s">
        <v>1869</v>
      </c>
      <c r="D447" s="2">
        <v>64.0</v>
      </c>
      <c r="E447" s="2" t="s">
        <v>34</v>
      </c>
      <c r="F447" s="2" t="s">
        <v>69</v>
      </c>
      <c r="G447" s="2" t="s">
        <v>1870</v>
      </c>
      <c r="H447" s="2" t="s">
        <v>2190</v>
      </c>
      <c r="I447" s="2" t="s">
        <v>1871</v>
      </c>
      <c r="J447" s="2" t="s">
        <v>1875</v>
      </c>
      <c r="K447" s="3">
        <v>45539.0</v>
      </c>
      <c r="L447" s="2" t="s">
        <v>1876</v>
      </c>
      <c r="M447" s="2" t="s">
        <v>28</v>
      </c>
      <c r="N447" s="2">
        <v>308.88</v>
      </c>
      <c r="O447" s="2">
        <v>2.0</v>
      </c>
      <c r="P447" s="2" t="s">
        <v>78</v>
      </c>
      <c r="Q447" s="2">
        <v>2.0</v>
      </c>
      <c r="R447" s="2">
        <v>55.0</v>
      </c>
      <c r="S447" s="3">
        <v>45541.0</v>
      </c>
      <c r="T447" s="2" t="s">
        <v>1877</v>
      </c>
      <c r="U447" s="2">
        <f t="shared" si="1"/>
        <v>2</v>
      </c>
      <c r="V447" s="2">
        <f t="shared" si="2"/>
        <v>11</v>
      </c>
      <c r="W447" s="2">
        <f t="shared" si="3"/>
        <v>617.76</v>
      </c>
      <c r="X447" s="2">
        <f t="shared" si="4"/>
        <v>672.76</v>
      </c>
      <c r="Y447" s="2">
        <f t="shared" si="5"/>
        <v>0</v>
      </c>
      <c r="Z447" s="2">
        <f t="shared" si="6"/>
        <v>617.76</v>
      </c>
      <c r="AA447" s="2">
        <f t="shared" si="7"/>
        <v>672.76</v>
      </c>
      <c r="AB447" s="2" t="str">
        <f t="shared" si="8"/>
        <v>Wednesday</v>
      </c>
      <c r="AC447" s="2" t="str">
        <f t="shared" si="9"/>
        <v>Weekday</v>
      </c>
      <c r="AD447" s="2" t="str">
        <f t="shared" si="10"/>
        <v>gary.jacobs</v>
      </c>
      <c r="AE447" s="2" t="str">
        <f t="shared" si="11"/>
        <v>gmail</v>
      </c>
      <c r="AF447" s="2" t="str">
        <f t="shared" si="12"/>
        <v>Gary Jacobs</v>
      </c>
      <c r="AG447" s="2" t="str">
        <f t="shared" si="13"/>
        <v>Gary</v>
      </c>
      <c r="AH447" s="2" t="str">
        <f t="shared" si="14"/>
        <v>Jacobs</v>
      </c>
      <c r="AI447" s="2" t="str">
        <f t="shared" si="15"/>
        <v>InTime</v>
      </c>
      <c r="AJ447" s="2" t="str">
        <f t="shared" si="16"/>
        <v>#NAME?</v>
      </c>
    </row>
    <row r="448" ht="14.25" customHeight="1">
      <c r="A448" s="2" t="s">
        <v>31</v>
      </c>
      <c r="B448" s="2" t="s">
        <v>32</v>
      </c>
      <c r="C448" s="2" t="s">
        <v>33</v>
      </c>
      <c r="D448" s="2">
        <v>53.0</v>
      </c>
      <c r="E448" s="2" t="s">
        <v>34</v>
      </c>
      <c r="F448" s="2" t="s">
        <v>35</v>
      </c>
      <c r="G448" s="2" t="s">
        <v>36</v>
      </c>
      <c r="H448" s="2" t="s">
        <v>2093</v>
      </c>
      <c r="I448" s="2" t="s">
        <v>37</v>
      </c>
      <c r="J448" s="2" t="s">
        <v>1878</v>
      </c>
      <c r="K448" s="3">
        <v>45684.0</v>
      </c>
      <c r="L448" s="2" t="s">
        <v>1879</v>
      </c>
      <c r="M448" s="2" t="s">
        <v>263</v>
      </c>
      <c r="N448" s="2">
        <v>62.42</v>
      </c>
      <c r="O448" s="2">
        <v>5.0</v>
      </c>
      <c r="P448" s="2" t="s">
        <v>51</v>
      </c>
      <c r="Q448" s="2">
        <v>6.0</v>
      </c>
      <c r="R448" s="2">
        <v>69.0</v>
      </c>
      <c r="S448" s="3">
        <v>45690.0</v>
      </c>
      <c r="T448" s="2" t="s">
        <v>1880</v>
      </c>
      <c r="U448" s="2">
        <f t="shared" si="1"/>
        <v>6</v>
      </c>
      <c r="V448" s="2">
        <f t="shared" si="2"/>
        <v>3</v>
      </c>
      <c r="W448" s="2">
        <f t="shared" si="3"/>
        <v>312.1</v>
      </c>
      <c r="X448" s="2">
        <f t="shared" si="4"/>
        <v>381.1</v>
      </c>
      <c r="Y448" s="2">
        <f t="shared" si="5"/>
        <v>0</v>
      </c>
      <c r="Z448" s="2">
        <f t="shared" si="6"/>
        <v>312.1</v>
      </c>
      <c r="AA448" s="2">
        <f t="shared" si="7"/>
        <v>381.1</v>
      </c>
      <c r="AB448" s="2" t="str">
        <f t="shared" si="8"/>
        <v>Monday</v>
      </c>
      <c r="AC448" s="2" t="str">
        <f t="shared" si="9"/>
        <v>Weekday</v>
      </c>
      <c r="AD448" s="2" t="str">
        <f t="shared" si="10"/>
        <v>anthony.thomas</v>
      </c>
      <c r="AE448" s="2" t="str">
        <f t="shared" si="11"/>
        <v>rediffmail</v>
      </c>
      <c r="AF448" s="2" t="str">
        <f t="shared" si="12"/>
        <v>Anthony Thomas</v>
      </c>
      <c r="AG448" s="2" t="str">
        <f t="shared" si="13"/>
        <v>Anthony</v>
      </c>
      <c r="AH448" s="2" t="str">
        <f t="shared" si="14"/>
        <v>Thomas</v>
      </c>
      <c r="AI448" s="2" t="str">
        <f t="shared" si="15"/>
        <v>InTime</v>
      </c>
      <c r="AJ448" s="2" t="str">
        <f t="shared" si="16"/>
        <v>#NAME?</v>
      </c>
    </row>
    <row r="449" ht="14.25" customHeight="1">
      <c r="A449" s="2" t="s">
        <v>1607</v>
      </c>
      <c r="B449" s="2" t="s">
        <v>266</v>
      </c>
      <c r="C449" s="2" t="s">
        <v>1608</v>
      </c>
      <c r="D449" s="2">
        <v>62.0</v>
      </c>
      <c r="E449" s="2" t="s">
        <v>34</v>
      </c>
      <c r="F449" s="2" t="s">
        <v>35</v>
      </c>
      <c r="G449" s="2" t="s">
        <v>1609</v>
      </c>
      <c r="H449" s="2" t="s">
        <v>2186</v>
      </c>
      <c r="I449" s="2" t="s">
        <v>1610</v>
      </c>
      <c r="J449" s="2" t="s">
        <v>1881</v>
      </c>
      <c r="K449" s="3">
        <v>45429.0</v>
      </c>
      <c r="L449" s="2" t="s">
        <v>1882</v>
      </c>
      <c r="M449" s="2" t="s">
        <v>466</v>
      </c>
      <c r="N449" s="2">
        <v>286.07</v>
      </c>
      <c r="O449" s="2">
        <v>1.0</v>
      </c>
      <c r="P449" s="2" t="s">
        <v>56</v>
      </c>
      <c r="Q449" s="2">
        <v>4.0</v>
      </c>
      <c r="R449" s="2">
        <v>43.0</v>
      </c>
      <c r="S449" s="3">
        <v>45434.0</v>
      </c>
      <c r="T449" s="2" t="s">
        <v>1883</v>
      </c>
      <c r="U449" s="2">
        <f t="shared" si="1"/>
        <v>5</v>
      </c>
      <c r="V449" s="2">
        <f t="shared" si="2"/>
        <v>15</v>
      </c>
      <c r="W449" s="2">
        <f t="shared" si="3"/>
        <v>286.07</v>
      </c>
      <c r="X449" s="2">
        <f t="shared" si="4"/>
        <v>329.07</v>
      </c>
      <c r="Y449" s="2">
        <f t="shared" si="5"/>
        <v>0</v>
      </c>
      <c r="Z449" s="2">
        <f t="shared" si="6"/>
        <v>286.07</v>
      </c>
      <c r="AA449" s="2">
        <f t="shared" si="7"/>
        <v>286.07</v>
      </c>
      <c r="AB449" s="2" t="str">
        <f t="shared" si="8"/>
        <v>Friday</v>
      </c>
      <c r="AC449" s="2" t="str">
        <f t="shared" si="9"/>
        <v>Weekday</v>
      </c>
      <c r="AD449" s="2" t="str">
        <f t="shared" si="10"/>
        <v>lauren.crane</v>
      </c>
      <c r="AE449" s="2" t="str">
        <f t="shared" si="11"/>
        <v>yahoo</v>
      </c>
      <c r="AF449" s="2" t="str">
        <f t="shared" si="12"/>
        <v>Lauren Crane</v>
      </c>
      <c r="AG449" s="2" t="str">
        <f t="shared" si="13"/>
        <v>Lauren</v>
      </c>
      <c r="AH449" s="2" t="str">
        <f t="shared" si="14"/>
        <v>Crane</v>
      </c>
      <c r="AI449" s="2" t="str">
        <f t="shared" si="15"/>
        <v>Late</v>
      </c>
      <c r="AJ449" s="2" t="str">
        <f t="shared" si="16"/>
        <v>#NAME?</v>
      </c>
    </row>
    <row r="450" ht="14.25" customHeight="1">
      <c r="A450" s="2" t="s">
        <v>1868</v>
      </c>
      <c r="B450" s="2" t="s">
        <v>1097</v>
      </c>
      <c r="C450" s="2" t="s">
        <v>1869</v>
      </c>
      <c r="D450" s="2">
        <v>64.0</v>
      </c>
      <c r="E450" s="2" t="s">
        <v>34</v>
      </c>
      <c r="F450" s="2" t="s">
        <v>69</v>
      </c>
      <c r="G450" s="2" t="s">
        <v>1870</v>
      </c>
      <c r="H450" s="2" t="s">
        <v>2190</v>
      </c>
      <c r="I450" s="2" t="s">
        <v>1871</v>
      </c>
      <c r="J450" s="2" t="s">
        <v>1884</v>
      </c>
      <c r="K450" s="3">
        <v>45379.0</v>
      </c>
      <c r="L450" s="2" t="s">
        <v>1885</v>
      </c>
      <c r="M450" s="2" t="s">
        <v>40</v>
      </c>
      <c r="N450" s="2">
        <v>166.28</v>
      </c>
      <c r="O450" s="2">
        <v>2.0</v>
      </c>
      <c r="P450" s="2" t="s">
        <v>78</v>
      </c>
      <c r="Q450" s="2">
        <v>4.0</v>
      </c>
      <c r="R450" s="2">
        <v>40.0</v>
      </c>
      <c r="S450" s="3">
        <v>45384.0</v>
      </c>
      <c r="T450" s="2" t="s">
        <v>1886</v>
      </c>
      <c r="U450" s="2">
        <f t="shared" si="1"/>
        <v>5</v>
      </c>
      <c r="V450" s="2">
        <f t="shared" si="2"/>
        <v>2</v>
      </c>
      <c r="W450" s="2">
        <f t="shared" si="3"/>
        <v>332.56</v>
      </c>
      <c r="X450" s="2">
        <f t="shared" si="4"/>
        <v>372.56</v>
      </c>
      <c r="Y450" s="2">
        <f t="shared" si="5"/>
        <v>0</v>
      </c>
      <c r="Z450" s="2">
        <f t="shared" si="6"/>
        <v>332.56</v>
      </c>
      <c r="AA450" s="2">
        <f t="shared" si="7"/>
        <v>372.56</v>
      </c>
      <c r="AB450" s="2" t="str">
        <f t="shared" si="8"/>
        <v>Thursday</v>
      </c>
      <c r="AC450" s="2" t="str">
        <f t="shared" si="9"/>
        <v>Weekday</v>
      </c>
      <c r="AD450" s="2" t="str">
        <f t="shared" si="10"/>
        <v>gary.jacobs</v>
      </c>
      <c r="AE450" s="2" t="str">
        <f t="shared" si="11"/>
        <v>gmail</v>
      </c>
      <c r="AF450" s="2" t="str">
        <f t="shared" si="12"/>
        <v>Gary Jacobs</v>
      </c>
      <c r="AG450" s="2" t="str">
        <f t="shared" si="13"/>
        <v>Gary</v>
      </c>
      <c r="AH450" s="2" t="str">
        <f t="shared" si="14"/>
        <v>Jacobs</v>
      </c>
      <c r="AI450" s="2" t="str">
        <f t="shared" si="15"/>
        <v>Late</v>
      </c>
      <c r="AJ450" s="2" t="str">
        <f t="shared" si="16"/>
        <v>#NAME?</v>
      </c>
    </row>
    <row r="451" ht="14.25" customHeight="1">
      <c r="A451" s="2" t="s">
        <v>585</v>
      </c>
      <c r="B451" s="2" t="s">
        <v>586</v>
      </c>
      <c r="C451" s="2" t="s">
        <v>587</v>
      </c>
      <c r="D451" s="2">
        <v>21.0</v>
      </c>
      <c r="E451" s="2" t="s">
        <v>22</v>
      </c>
      <c r="F451" s="2" t="s">
        <v>35</v>
      </c>
      <c r="G451" s="2" t="s">
        <v>588</v>
      </c>
      <c r="H451" s="2" t="s">
        <v>2147</v>
      </c>
      <c r="I451" s="2" t="s">
        <v>589</v>
      </c>
      <c r="J451" s="2" t="s">
        <v>1887</v>
      </c>
      <c r="K451" s="3">
        <v>45638.0</v>
      </c>
      <c r="L451" s="2" t="s">
        <v>1888</v>
      </c>
      <c r="M451" s="2" t="s">
        <v>646</v>
      </c>
      <c r="N451" s="2">
        <v>433.62</v>
      </c>
      <c r="O451" s="2">
        <v>2.0</v>
      </c>
      <c r="P451" s="2" t="s">
        <v>89</v>
      </c>
      <c r="Q451" s="2">
        <v>7.0</v>
      </c>
      <c r="R451" s="2">
        <v>39.0</v>
      </c>
      <c r="S451" s="3">
        <v>45644.0</v>
      </c>
      <c r="T451" s="2" t="s">
        <v>1889</v>
      </c>
      <c r="U451" s="2">
        <f t="shared" si="1"/>
        <v>6</v>
      </c>
      <c r="V451" s="2">
        <f t="shared" si="2"/>
        <v>4</v>
      </c>
      <c r="W451" s="2">
        <f t="shared" si="3"/>
        <v>867.24</v>
      </c>
      <c r="X451" s="2">
        <f t="shared" si="4"/>
        <v>906.24</v>
      </c>
      <c r="Y451" s="2">
        <f t="shared" si="5"/>
        <v>0</v>
      </c>
      <c r="Z451" s="2">
        <f t="shared" si="6"/>
        <v>867.24</v>
      </c>
      <c r="AA451" s="2">
        <f t="shared" si="7"/>
        <v>906.24</v>
      </c>
      <c r="AB451" s="2" t="str">
        <f t="shared" si="8"/>
        <v>Thursday</v>
      </c>
      <c r="AC451" s="2" t="str">
        <f t="shared" si="9"/>
        <v>Weekday</v>
      </c>
      <c r="AD451" s="2" t="str">
        <f t="shared" si="10"/>
        <v>william.mann</v>
      </c>
      <c r="AE451" s="2" t="str">
        <f t="shared" si="11"/>
        <v>yahoo</v>
      </c>
      <c r="AF451" s="2" t="str">
        <f t="shared" si="12"/>
        <v>William Mann</v>
      </c>
      <c r="AG451" s="2" t="str">
        <f t="shared" si="13"/>
        <v>William</v>
      </c>
      <c r="AH451" s="2" t="str">
        <f t="shared" si="14"/>
        <v>Mann</v>
      </c>
      <c r="AI451" s="2" t="str">
        <f t="shared" si="15"/>
        <v>Before Time</v>
      </c>
      <c r="AJ451" s="2" t="str">
        <f t="shared" si="16"/>
        <v>#NAME?</v>
      </c>
    </row>
    <row r="452" ht="14.25" customHeight="1">
      <c r="A452" s="2" t="s">
        <v>367</v>
      </c>
      <c r="B452" s="2" t="s">
        <v>33</v>
      </c>
      <c r="C452" s="2" t="s">
        <v>368</v>
      </c>
      <c r="D452" s="2">
        <v>50.0</v>
      </c>
      <c r="E452" s="2" t="s">
        <v>45</v>
      </c>
      <c r="F452" s="2" t="s">
        <v>133</v>
      </c>
      <c r="G452" s="2" t="s">
        <v>369</v>
      </c>
      <c r="H452" s="2" t="s">
        <v>2126</v>
      </c>
      <c r="I452" s="2" t="s">
        <v>370</v>
      </c>
      <c r="J452" s="2" t="s">
        <v>1890</v>
      </c>
      <c r="K452" s="3">
        <v>45149.0</v>
      </c>
      <c r="L452" s="2" t="s">
        <v>1891</v>
      </c>
      <c r="M452" s="2" t="s">
        <v>55</v>
      </c>
      <c r="N452" s="2">
        <v>405.0</v>
      </c>
      <c r="O452" s="2">
        <v>3.0</v>
      </c>
      <c r="P452" s="2" t="s">
        <v>89</v>
      </c>
      <c r="Q452" s="2">
        <v>6.0</v>
      </c>
      <c r="R452" s="2">
        <v>36.0</v>
      </c>
      <c r="S452" s="3">
        <v>45153.0</v>
      </c>
      <c r="T452" s="2" t="s">
        <v>1892</v>
      </c>
      <c r="U452" s="2">
        <f t="shared" si="1"/>
        <v>4</v>
      </c>
      <c r="V452" s="2">
        <f t="shared" si="2"/>
        <v>1</v>
      </c>
      <c r="W452" s="2">
        <f t="shared" si="3"/>
        <v>1215</v>
      </c>
      <c r="X452" s="2">
        <f t="shared" si="4"/>
        <v>1251</v>
      </c>
      <c r="Y452" s="2">
        <f t="shared" si="5"/>
        <v>0</v>
      </c>
      <c r="Z452" s="2">
        <f t="shared" si="6"/>
        <v>1215</v>
      </c>
      <c r="AA452" s="2">
        <f t="shared" si="7"/>
        <v>1251</v>
      </c>
      <c r="AB452" s="2" t="str">
        <f t="shared" si="8"/>
        <v>Friday</v>
      </c>
      <c r="AC452" s="2" t="str">
        <f t="shared" si="9"/>
        <v>Weekday</v>
      </c>
      <c r="AD452" s="2" t="str">
        <f t="shared" si="10"/>
        <v>thomas.andersen</v>
      </c>
      <c r="AE452" s="2" t="str">
        <f t="shared" si="11"/>
        <v>yahoo</v>
      </c>
      <c r="AF452" s="2" t="str">
        <f t="shared" si="12"/>
        <v>Thomas Andersen</v>
      </c>
      <c r="AG452" s="2" t="str">
        <f t="shared" si="13"/>
        <v>Thomas</v>
      </c>
      <c r="AH452" s="2" t="str">
        <f t="shared" si="14"/>
        <v>Andersen</v>
      </c>
      <c r="AI452" s="2" t="str">
        <f t="shared" si="15"/>
        <v>Before Time</v>
      </c>
      <c r="AJ452" s="2" t="str">
        <f t="shared" si="16"/>
        <v>#NAME?</v>
      </c>
    </row>
    <row r="453" ht="14.25" customHeight="1">
      <c r="A453" s="2" t="s">
        <v>31</v>
      </c>
      <c r="B453" s="2" t="s">
        <v>32</v>
      </c>
      <c r="C453" s="2" t="s">
        <v>33</v>
      </c>
      <c r="D453" s="2">
        <v>53.0</v>
      </c>
      <c r="E453" s="2" t="s">
        <v>34</v>
      </c>
      <c r="F453" s="2" t="s">
        <v>35</v>
      </c>
      <c r="G453" s="2" t="s">
        <v>36</v>
      </c>
      <c r="H453" s="2" t="s">
        <v>2093</v>
      </c>
      <c r="I453" s="2" t="s">
        <v>37</v>
      </c>
      <c r="J453" s="2" t="s">
        <v>1893</v>
      </c>
      <c r="K453" s="3">
        <v>45076.0</v>
      </c>
      <c r="L453" s="2" t="s">
        <v>1894</v>
      </c>
      <c r="M453" s="2" t="s">
        <v>74</v>
      </c>
      <c r="N453" s="2">
        <v>330.11</v>
      </c>
      <c r="O453" s="2">
        <v>3.0</v>
      </c>
      <c r="P453" s="2" t="s">
        <v>78</v>
      </c>
      <c r="Q453" s="2">
        <v>7.0</v>
      </c>
      <c r="R453" s="2">
        <v>40.0</v>
      </c>
      <c r="S453" s="3">
        <v>45080.0</v>
      </c>
      <c r="T453" s="2" t="s">
        <v>1895</v>
      </c>
      <c r="U453" s="2">
        <f t="shared" si="1"/>
        <v>4</v>
      </c>
      <c r="V453" s="2">
        <f t="shared" si="2"/>
        <v>11</v>
      </c>
      <c r="W453" s="2">
        <f t="shared" si="3"/>
        <v>990.33</v>
      </c>
      <c r="X453" s="2">
        <f t="shared" si="4"/>
        <v>1030.33</v>
      </c>
      <c r="Y453" s="2">
        <f t="shared" si="5"/>
        <v>0</v>
      </c>
      <c r="Z453" s="2">
        <f t="shared" si="6"/>
        <v>990.33</v>
      </c>
      <c r="AA453" s="2">
        <f t="shared" si="7"/>
        <v>1030.33</v>
      </c>
      <c r="AB453" s="2" t="str">
        <f t="shared" si="8"/>
        <v>Tuesday</v>
      </c>
      <c r="AC453" s="2" t="str">
        <f t="shared" si="9"/>
        <v>Weekday</v>
      </c>
      <c r="AD453" s="2" t="str">
        <f t="shared" si="10"/>
        <v>anthony.thomas</v>
      </c>
      <c r="AE453" s="2" t="str">
        <f t="shared" si="11"/>
        <v>rediffmail</v>
      </c>
      <c r="AF453" s="2" t="str">
        <f t="shared" si="12"/>
        <v>Anthony Thomas</v>
      </c>
      <c r="AG453" s="2" t="str">
        <f t="shared" si="13"/>
        <v>Anthony</v>
      </c>
      <c r="AH453" s="2" t="str">
        <f t="shared" si="14"/>
        <v>Thomas</v>
      </c>
      <c r="AI453" s="2" t="str">
        <f t="shared" si="15"/>
        <v>Before Time</v>
      </c>
      <c r="AJ453" s="2" t="str">
        <f t="shared" si="16"/>
        <v>#NAME?</v>
      </c>
    </row>
    <row r="454" ht="14.25" customHeight="1">
      <c r="A454" s="2" t="s">
        <v>1730</v>
      </c>
      <c r="B454" s="2" t="s">
        <v>1731</v>
      </c>
      <c r="C454" s="2" t="s">
        <v>1732</v>
      </c>
      <c r="D454" s="2">
        <v>47.0</v>
      </c>
      <c r="E454" s="2" t="s">
        <v>34</v>
      </c>
      <c r="F454" s="2" t="s">
        <v>23</v>
      </c>
      <c r="G454" s="2" t="s">
        <v>1733</v>
      </c>
      <c r="H454" s="2" t="s">
        <v>2149</v>
      </c>
      <c r="I454" s="2" t="s">
        <v>1734</v>
      </c>
      <c r="J454" s="2" t="s">
        <v>1896</v>
      </c>
      <c r="K454" s="3">
        <v>45380.0</v>
      </c>
      <c r="L454" s="2" t="s">
        <v>1897</v>
      </c>
      <c r="M454" s="2" t="s">
        <v>74</v>
      </c>
      <c r="N454" s="2">
        <v>330.11</v>
      </c>
      <c r="O454" s="2">
        <v>1.0</v>
      </c>
      <c r="P454" s="2" t="s">
        <v>89</v>
      </c>
      <c r="Q454" s="2">
        <v>4.0</v>
      </c>
      <c r="R454" s="2">
        <v>39.0</v>
      </c>
      <c r="S454" s="3">
        <v>45384.0</v>
      </c>
      <c r="T454" s="2" t="s">
        <v>1898</v>
      </c>
      <c r="U454" s="2">
        <f t="shared" si="1"/>
        <v>4</v>
      </c>
      <c r="V454" s="2">
        <f t="shared" si="2"/>
        <v>16</v>
      </c>
      <c r="W454" s="2">
        <f t="shared" si="3"/>
        <v>330.11</v>
      </c>
      <c r="X454" s="2">
        <f t="shared" si="4"/>
        <v>369.11</v>
      </c>
      <c r="Y454" s="2">
        <f t="shared" si="5"/>
        <v>0</v>
      </c>
      <c r="Z454" s="2">
        <f t="shared" si="6"/>
        <v>330.11</v>
      </c>
      <c r="AA454" s="2">
        <f t="shared" si="7"/>
        <v>369.11</v>
      </c>
      <c r="AB454" s="2" t="str">
        <f t="shared" si="8"/>
        <v>Friday</v>
      </c>
      <c r="AC454" s="2" t="str">
        <f t="shared" si="9"/>
        <v>Weekday</v>
      </c>
      <c r="AD454" s="2" t="str">
        <f t="shared" si="10"/>
        <v>regina.hawkins</v>
      </c>
      <c r="AE454" s="2" t="str">
        <f t="shared" si="11"/>
        <v>rediffmail</v>
      </c>
      <c r="AF454" s="2" t="str">
        <f t="shared" si="12"/>
        <v>Regina Hawkins</v>
      </c>
      <c r="AG454" s="2" t="str">
        <f t="shared" si="13"/>
        <v>Regina</v>
      </c>
      <c r="AH454" s="2" t="str">
        <f t="shared" si="14"/>
        <v>Hawkins</v>
      </c>
      <c r="AI454" s="2" t="str">
        <f t="shared" si="15"/>
        <v>InTime</v>
      </c>
      <c r="AJ454" s="2" t="str">
        <f t="shared" si="16"/>
        <v>#NAME?</v>
      </c>
    </row>
    <row r="455" ht="14.25" customHeight="1">
      <c r="A455" s="2" t="s">
        <v>1899</v>
      </c>
      <c r="B455" s="2" t="s">
        <v>1900</v>
      </c>
      <c r="C455" s="2" t="s">
        <v>1901</v>
      </c>
      <c r="D455" s="2">
        <v>43.0</v>
      </c>
      <c r="E455" s="2" t="s">
        <v>22</v>
      </c>
      <c r="F455" s="2" t="s">
        <v>35</v>
      </c>
      <c r="G455" s="2" t="s">
        <v>1902</v>
      </c>
      <c r="H455" s="2" t="s">
        <v>2191</v>
      </c>
      <c r="I455" s="2" t="s">
        <v>1903</v>
      </c>
      <c r="J455" s="2" t="s">
        <v>1904</v>
      </c>
      <c r="K455" s="3">
        <v>45571.0</v>
      </c>
      <c r="L455" s="2" t="s">
        <v>1905</v>
      </c>
      <c r="M455" s="2" t="s">
        <v>630</v>
      </c>
      <c r="N455" s="2">
        <v>445.81</v>
      </c>
      <c r="O455" s="2">
        <v>2.0</v>
      </c>
      <c r="P455" s="2" t="s">
        <v>51</v>
      </c>
      <c r="Q455" s="2">
        <v>4.0</v>
      </c>
      <c r="R455" s="2">
        <v>59.0</v>
      </c>
      <c r="S455" s="3">
        <v>45576.0</v>
      </c>
      <c r="T455" s="2" t="s">
        <v>1906</v>
      </c>
      <c r="U455" s="2">
        <f t="shared" si="1"/>
        <v>5</v>
      </c>
      <c r="V455" s="2">
        <f t="shared" si="2"/>
        <v>2</v>
      </c>
      <c r="W455" s="2">
        <f t="shared" si="3"/>
        <v>891.62</v>
      </c>
      <c r="X455" s="2">
        <f t="shared" si="4"/>
        <v>950.62</v>
      </c>
      <c r="Y455" s="2">
        <f t="shared" si="5"/>
        <v>0</v>
      </c>
      <c r="Z455" s="2">
        <f t="shared" si="6"/>
        <v>891.62</v>
      </c>
      <c r="AA455" s="2">
        <f t="shared" si="7"/>
        <v>950.62</v>
      </c>
      <c r="AB455" s="2" t="str">
        <f t="shared" si="8"/>
        <v>Sunday</v>
      </c>
      <c r="AC455" s="2" t="str">
        <f t="shared" si="9"/>
        <v>Weekend</v>
      </c>
      <c r="AD455" s="2" t="str">
        <f t="shared" si="10"/>
        <v>janice.gordon</v>
      </c>
      <c r="AE455" s="2" t="str">
        <f t="shared" si="11"/>
        <v>yahoo</v>
      </c>
      <c r="AF455" s="2" t="str">
        <f t="shared" si="12"/>
        <v>Janice Gordon</v>
      </c>
      <c r="AG455" s="2" t="str">
        <f t="shared" si="13"/>
        <v>Janice</v>
      </c>
      <c r="AH455" s="2" t="str">
        <f t="shared" si="14"/>
        <v>Gordon</v>
      </c>
      <c r="AI455" s="2" t="str">
        <f t="shared" si="15"/>
        <v>Late</v>
      </c>
      <c r="AJ455" s="2" t="str">
        <f t="shared" si="16"/>
        <v>#NAME?</v>
      </c>
    </row>
    <row r="456" ht="14.25" customHeight="1">
      <c r="A456" s="2" t="s">
        <v>1607</v>
      </c>
      <c r="B456" s="2" t="s">
        <v>266</v>
      </c>
      <c r="C456" s="2" t="s">
        <v>1608</v>
      </c>
      <c r="D456" s="2">
        <v>62.0</v>
      </c>
      <c r="E456" s="2" t="s">
        <v>34</v>
      </c>
      <c r="F456" s="2" t="s">
        <v>35</v>
      </c>
      <c r="G456" s="2" t="s">
        <v>1609</v>
      </c>
      <c r="H456" s="2" t="s">
        <v>2186</v>
      </c>
      <c r="I456" s="2" t="s">
        <v>1610</v>
      </c>
      <c r="J456" s="2" t="s">
        <v>1907</v>
      </c>
      <c r="K456" s="3">
        <v>45380.0</v>
      </c>
      <c r="L456" s="2" t="s">
        <v>1908</v>
      </c>
      <c r="M456" s="2" t="s">
        <v>977</v>
      </c>
      <c r="N456" s="2">
        <v>33.49</v>
      </c>
      <c r="O456" s="2">
        <v>1.0</v>
      </c>
      <c r="P456" s="2" t="s">
        <v>56</v>
      </c>
      <c r="Q456" s="2">
        <v>2.0</v>
      </c>
      <c r="R456" s="2">
        <v>69.0</v>
      </c>
      <c r="S456" s="3">
        <v>45385.0</v>
      </c>
      <c r="T456" s="2" t="s">
        <v>1909</v>
      </c>
      <c r="U456" s="2">
        <f t="shared" si="1"/>
        <v>5</v>
      </c>
      <c r="V456" s="2">
        <f t="shared" si="2"/>
        <v>12</v>
      </c>
      <c r="W456" s="2">
        <f t="shared" si="3"/>
        <v>33.49</v>
      </c>
      <c r="X456" s="2">
        <f t="shared" si="4"/>
        <v>102.49</v>
      </c>
      <c r="Y456" s="2">
        <f t="shared" si="5"/>
        <v>0</v>
      </c>
      <c r="Z456" s="2">
        <f t="shared" si="6"/>
        <v>33.49</v>
      </c>
      <c r="AA456" s="2">
        <f t="shared" si="7"/>
        <v>33.49</v>
      </c>
      <c r="AB456" s="2" t="str">
        <f t="shared" si="8"/>
        <v>Friday</v>
      </c>
      <c r="AC456" s="2" t="str">
        <f t="shared" si="9"/>
        <v>Weekday</v>
      </c>
      <c r="AD456" s="2" t="str">
        <f t="shared" si="10"/>
        <v>lauren.crane</v>
      </c>
      <c r="AE456" s="2" t="str">
        <f t="shared" si="11"/>
        <v>yahoo</v>
      </c>
      <c r="AF456" s="2" t="str">
        <f t="shared" si="12"/>
        <v>Lauren Crane</v>
      </c>
      <c r="AG456" s="2" t="str">
        <f t="shared" si="13"/>
        <v>Lauren</v>
      </c>
      <c r="AH456" s="2" t="str">
        <f t="shared" si="14"/>
        <v>Crane</v>
      </c>
      <c r="AI456" s="2" t="str">
        <f t="shared" si="15"/>
        <v>Late</v>
      </c>
      <c r="AJ456" s="2" t="str">
        <f t="shared" si="16"/>
        <v>#NAME?</v>
      </c>
    </row>
    <row r="457" ht="14.25" customHeight="1">
      <c r="A457" s="2" t="s">
        <v>359</v>
      </c>
      <c r="B457" s="2" t="s">
        <v>360</v>
      </c>
      <c r="C457" s="2" t="s">
        <v>361</v>
      </c>
      <c r="D457" s="2">
        <v>31.0</v>
      </c>
      <c r="E457" s="2" t="s">
        <v>45</v>
      </c>
      <c r="F457" s="2" t="s">
        <v>133</v>
      </c>
      <c r="G457" s="2" t="s">
        <v>362</v>
      </c>
      <c r="H457" s="2" t="s">
        <v>2125</v>
      </c>
      <c r="I457" s="2" t="s">
        <v>363</v>
      </c>
      <c r="J457" s="2" t="s">
        <v>1910</v>
      </c>
      <c r="K457" s="3">
        <v>45525.0</v>
      </c>
      <c r="L457" s="2" t="s">
        <v>1911</v>
      </c>
      <c r="M457" s="2" t="s">
        <v>280</v>
      </c>
      <c r="N457" s="2">
        <v>157.64</v>
      </c>
      <c r="O457" s="2">
        <v>1.0</v>
      </c>
      <c r="P457" s="2" t="s">
        <v>78</v>
      </c>
      <c r="Q457" s="2">
        <v>7.0</v>
      </c>
      <c r="R457" s="2">
        <v>46.0</v>
      </c>
      <c r="S457" s="3">
        <v>45527.0</v>
      </c>
      <c r="T457" s="2" t="s">
        <v>1912</v>
      </c>
      <c r="U457" s="2">
        <f t="shared" si="1"/>
        <v>2</v>
      </c>
      <c r="V457" s="2">
        <f t="shared" si="2"/>
        <v>3</v>
      </c>
      <c r="W457" s="2">
        <f t="shared" si="3"/>
        <v>157.64</v>
      </c>
      <c r="X457" s="2">
        <f t="shared" si="4"/>
        <v>203.64</v>
      </c>
      <c r="Y457" s="2">
        <f t="shared" si="5"/>
        <v>0</v>
      </c>
      <c r="Z457" s="2">
        <f t="shared" si="6"/>
        <v>157.64</v>
      </c>
      <c r="AA457" s="2">
        <f t="shared" si="7"/>
        <v>203.64</v>
      </c>
      <c r="AB457" s="2" t="str">
        <f t="shared" si="8"/>
        <v>Wednesday</v>
      </c>
      <c r="AC457" s="2" t="str">
        <f t="shared" si="9"/>
        <v>Weekday</v>
      </c>
      <c r="AD457" s="2" t="str">
        <f t="shared" si="10"/>
        <v>timothy.hicks</v>
      </c>
      <c r="AE457" s="2" t="str">
        <f t="shared" si="11"/>
        <v>gmail</v>
      </c>
      <c r="AF457" s="2" t="str">
        <f t="shared" si="12"/>
        <v>Timothy Hicks</v>
      </c>
      <c r="AG457" s="2" t="str">
        <f t="shared" si="13"/>
        <v>Timothy</v>
      </c>
      <c r="AH457" s="2" t="str">
        <f t="shared" si="14"/>
        <v>Hicks</v>
      </c>
      <c r="AI457" s="2" t="str">
        <f t="shared" si="15"/>
        <v>Before Time</v>
      </c>
      <c r="AJ457" s="2" t="str">
        <f t="shared" si="16"/>
        <v>#NAME?</v>
      </c>
    </row>
    <row r="458" ht="14.25" customHeight="1">
      <c r="A458" s="2" t="s">
        <v>351</v>
      </c>
      <c r="B458" s="2" t="s">
        <v>352</v>
      </c>
      <c r="C458" s="2" t="s">
        <v>353</v>
      </c>
      <c r="D458" s="2">
        <v>32.0</v>
      </c>
      <c r="E458" s="2" t="s">
        <v>34</v>
      </c>
      <c r="F458" s="2" t="s">
        <v>161</v>
      </c>
      <c r="G458" s="2" t="s">
        <v>354</v>
      </c>
      <c r="H458" s="2" t="s">
        <v>2124</v>
      </c>
      <c r="I458" s="2" t="s">
        <v>355</v>
      </c>
      <c r="J458" s="2" t="s">
        <v>1913</v>
      </c>
      <c r="K458" s="3">
        <v>45257.0</v>
      </c>
      <c r="L458" s="2" t="s">
        <v>1914</v>
      </c>
      <c r="M458" s="2" t="s">
        <v>119</v>
      </c>
      <c r="N458" s="2">
        <v>257.06</v>
      </c>
      <c r="O458" s="2">
        <v>1.0</v>
      </c>
      <c r="P458" s="2" t="s">
        <v>29</v>
      </c>
      <c r="Q458" s="2">
        <v>3.0</v>
      </c>
      <c r="R458" s="2">
        <v>47.0</v>
      </c>
      <c r="S458" s="3">
        <v>45259.0</v>
      </c>
      <c r="T458" s="2" t="s">
        <v>1915</v>
      </c>
      <c r="U458" s="2">
        <f t="shared" si="1"/>
        <v>2</v>
      </c>
      <c r="V458" s="2">
        <f t="shared" si="2"/>
        <v>17</v>
      </c>
      <c r="W458" s="2">
        <f t="shared" si="3"/>
        <v>257.06</v>
      </c>
      <c r="X458" s="2">
        <f t="shared" si="4"/>
        <v>304.06</v>
      </c>
      <c r="Y458" s="2">
        <f t="shared" si="5"/>
        <v>0</v>
      </c>
      <c r="Z458" s="2">
        <f t="shared" si="6"/>
        <v>257.06</v>
      </c>
      <c r="AA458" s="2">
        <f t="shared" si="7"/>
        <v>304.06</v>
      </c>
      <c r="AB458" s="2" t="str">
        <f t="shared" si="8"/>
        <v>Monday</v>
      </c>
      <c r="AC458" s="2" t="str">
        <f t="shared" si="9"/>
        <v>Weekday</v>
      </c>
      <c r="AD458" s="2" t="str">
        <f t="shared" si="10"/>
        <v>robert.castillo</v>
      </c>
      <c r="AE458" s="2" t="str">
        <f t="shared" si="11"/>
        <v>gmail</v>
      </c>
      <c r="AF458" s="2" t="str">
        <f t="shared" si="12"/>
        <v>Robert Castillo</v>
      </c>
      <c r="AG458" s="2" t="str">
        <f t="shared" si="13"/>
        <v>Robert</v>
      </c>
      <c r="AH458" s="2" t="str">
        <f t="shared" si="14"/>
        <v>Castillo</v>
      </c>
      <c r="AI458" s="2" t="str">
        <f t="shared" si="15"/>
        <v>Before Time</v>
      </c>
      <c r="AJ458" s="2" t="str">
        <f t="shared" si="16"/>
        <v>#NAME?</v>
      </c>
    </row>
    <row r="459" ht="14.25" customHeight="1">
      <c r="A459" s="2" t="s">
        <v>1035</v>
      </c>
      <c r="B459" s="2" t="s">
        <v>67</v>
      </c>
      <c r="C459" s="2" t="s">
        <v>1036</v>
      </c>
      <c r="D459" s="2">
        <v>46.0</v>
      </c>
      <c r="E459" s="2" t="s">
        <v>22</v>
      </c>
      <c r="F459" s="2" t="s">
        <v>23</v>
      </c>
      <c r="G459" s="2" t="s">
        <v>1037</v>
      </c>
      <c r="H459" s="2" t="s">
        <v>2173</v>
      </c>
      <c r="I459" s="2" t="s">
        <v>1038</v>
      </c>
      <c r="J459" s="2" t="s">
        <v>1916</v>
      </c>
      <c r="K459" s="3">
        <v>44980.0</v>
      </c>
      <c r="L459" s="2" t="s">
        <v>1917</v>
      </c>
      <c r="M459" s="2" t="s">
        <v>376</v>
      </c>
      <c r="N459" s="2">
        <v>431.44</v>
      </c>
      <c r="O459" s="2">
        <v>3.0</v>
      </c>
      <c r="P459" s="2" t="s">
        <v>29</v>
      </c>
      <c r="Q459" s="2">
        <v>6.0</v>
      </c>
      <c r="R459" s="2">
        <v>70.0</v>
      </c>
      <c r="S459" s="3">
        <v>44983.0</v>
      </c>
      <c r="T459" s="2" t="s">
        <v>1918</v>
      </c>
      <c r="U459" s="2">
        <f t="shared" si="1"/>
        <v>3</v>
      </c>
      <c r="V459" s="2">
        <f t="shared" si="2"/>
        <v>7</v>
      </c>
      <c r="W459" s="2">
        <f t="shared" si="3"/>
        <v>1294.32</v>
      </c>
      <c r="X459" s="2">
        <f t="shared" si="4"/>
        <v>1364.32</v>
      </c>
      <c r="Y459" s="2">
        <f t="shared" si="5"/>
        <v>0</v>
      </c>
      <c r="Z459" s="2">
        <f t="shared" si="6"/>
        <v>1294.32</v>
      </c>
      <c r="AA459" s="2">
        <f t="shared" si="7"/>
        <v>1364.32</v>
      </c>
      <c r="AB459" s="2" t="str">
        <f t="shared" si="8"/>
        <v>Thursday</v>
      </c>
      <c r="AC459" s="2" t="str">
        <f t="shared" si="9"/>
        <v>Weekday</v>
      </c>
      <c r="AD459" s="2" t="str">
        <f t="shared" si="10"/>
        <v>christine.aguilar</v>
      </c>
      <c r="AE459" s="2" t="str">
        <f t="shared" si="11"/>
        <v>gmail</v>
      </c>
      <c r="AF459" s="2" t="str">
        <f t="shared" si="12"/>
        <v>Christine Aguilar</v>
      </c>
      <c r="AG459" s="2" t="str">
        <f t="shared" si="13"/>
        <v>Christine</v>
      </c>
      <c r="AH459" s="2" t="str">
        <f t="shared" si="14"/>
        <v>Aguilar</v>
      </c>
      <c r="AI459" s="2" t="str">
        <f t="shared" si="15"/>
        <v>Before Time</v>
      </c>
      <c r="AJ459" s="2" t="str">
        <f t="shared" si="16"/>
        <v>#NAME?</v>
      </c>
    </row>
    <row r="460" ht="14.25" customHeight="1">
      <c r="A460" s="2" t="s">
        <v>1730</v>
      </c>
      <c r="B460" s="2" t="s">
        <v>1731</v>
      </c>
      <c r="C460" s="2" t="s">
        <v>1732</v>
      </c>
      <c r="D460" s="2">
        <v>47.0</v>
      </c>
      <c r="E460" s="2" t="s">
        <v>34</v>
      </c>
      <c r="F460" s="2" t="s">
        <v>23</v>
      </c>
      <c r="G460" s="2" t="s">
        <v>1733</v>
      </c>
      <c r="H460" s="2" t="s">
        <v>2159</v>
      </c>
      <c r="I460" s="2" t="s">
        <v>1734</v>
      </c>
      <c r="J460" s="2" t="s">
        <v>1919</v>
      </c>
      <c r="K460" s="3">
        <v>45183.0</v>
      </c>
      <c r="L460" s="2" t="s">
        <v>1920</v>
      </c>
      <c r="M460" s="2" t="s">
        <v>227</v>
      </c>
      <c r="N460" s="2">
        <v>132.97</v>
      </c>
      <c r="O460" s="2">
        <v>1.0</v>
      </c>
      <c r="P460" s="2" t="s">
        <v>51</v>
      </c>
      <c r="Q460" s="2">
        <v>6.0</v>
      </c>
      <c r="R460" s="2">
        <v>37.0</v>
      </c>
      <c r="S460" s="3">
        <v>45190.0</v>
      </c>
      <c r="T460" s="2" t="s">
        <v>1921</v>
      </c>
      <c r="U460" s="2">
        <f t="shared" si="1"/>
        <v>7</v>
      </c>
      <c r="V460" s="2">
        <f t="shared" si="2"/>
        <v>6</v>
      </c>
      <c r="W460" s="2">
        <f t="shared" si="3"/>
        <v>132.97</v>
      </c>
      <c r="X460" s="2">
        <f t="shared" si="4"/>
        <v>169.97</v>
      </c>
      <c r="Y460" s="2">
        <f t="shared" si="5"/>
        <v>0</v>
      </c>
      <c r="Z460" s="2">
        <f t="shared" si="6"/>
        <v>132.97</v>
      </c>
      <c r="AA460" s="2">
        <f t="shared" si="7"/>
        <v>169.97</v>
      </c>
      <c r="AB460" s="2" t="str">
        <f t="shared" si="8"/>
        <v>Thursday</v>
      </c>
      <c r="AC460" s="2" t="str">
        <f t="shared" si="9"/>
        <v>Weekday</v>
      </c>
      <c r="AD460" s="2" t="str">
        <f t="shared" si="10"/>
        <v>regina.hawkins</v>
      </c>
      <c r="AE460" s="2" t="str">
        <f t="shared" si="11"/>
        <v>rediffmail</v>
      </c>
      <c r="AF460" s="2" t="str">
        <f t="shared" si="12"/>
        <v>Regina Hawkins</v>
      </c>
      <c r="AG460" s="2" t="str">
        <f t="shared" si="13"/>
        <v>Regina</v>
      </c>
      <c r="AH460" s="2" t="str">
        <f t="shared" si="14"/>
        <v>Hawkins</v>
      </c>
      <c r="AI460" s="2" t="str">
        <f t="shared" si="15"/>
        <v>Late</v>
      </c>
      <c r="AJ460" s="2" t="str">
        <f t="shared" si="16"/>
        <v>#NAME?</v>
      </c>
    </row>
    <row r="461" ht="14.25" customHeight="1">
      <c r="A461" s="2" t="s">
        <v>1730</v>
      </c>
      <c r="B461" s="2" t="s">
        <v>1731</v>
      </c>
      <c r="C461" s="2" t="s">
        <v>1732</v>
      </c>
      <c r="D461" s="2">
        <v>47.0</v>
      </c>
      <c r="E461" s="2" t="s">
        <v>34</v>
      </c>
      <c r="F461" s="2" t="s">
        <v>23</v>
      </c>
      <c r="G461" s="2" t="s">
        <v>1733</v>
      </c>
      <c r="H461" s="2" t="s">
        <v>2170</v>
      </c>
      <c r="I461" s="2" t="s">
        <v>1734</v>
      </c>
      <c r="J461" s="2" t="s">
        <v>1922</v>
      </c>
      <c r="K461" s="3">
        <v>45015.0</v>
      </c>
      <c r="L461" s="2" t="s">
        <v>1923</v>
      </c>
      <c r="M461" s="2" t="s">
        <v>316</v>
      </c>
      <c r="N461" s="2">
        <v>481.48</v>
      </c>
      <c r="O461" s="2">
        <v>2.0</v>
      </c>
      <c r="P461" s="2" t="s">
        <v>56</v>
      </c>
      <c r="Q461" s="2">
        <v>5.0</v>
      </c>
      <c r="R461" s="2">
        <v>45.0</v>
      </c>
      <c r="S461" s="3">
        <v>45017.0</v>
      </c>
      <c r="T461" s="2" t="s">
        <v>1924</v>
      </c>
      <c r="U461" s="2">
        <f t="shared" si="1"/>
        <v>2</v>
      </c>
      <c r="V461" s="2">
        <f t="shared" si="2"/>
        <v>4</v>
      </c>
      <c r="W461" s="2">
        <f t="shared" si="3"/>
        <v>962.96</v>
      </c>
      <c r="X461" s="2">
        <f t="shared" si="4"/>
        <v>1007.96</v>
      </c>
      <c r="Y461" s="2">
        <f t="shared" si="5"/>
        <v>0</v>
      </c>
      <c r="Z461" s="2">
        <f t="shared" si="6"/>
        <v>962.96</v>
      </c>
      <c r="AA461" s="2">
        <f t="shared" si="7"/>
        <v>962.96</v>
      </c>
      <c r="AB461" s="2" t="str">
        <f t="shared" si="8"/>
        <v>Thursday</v>
      </c>
      <c r="AC461" s="2" t="str">
        <f t="shared" si="9"/>
        <v>Weekday</v>
      </c>
      <c r="AD461" s="2" t="str">
        <f t="shared" si="10"/>
        <v>regina.hawkins</v>
      </c>
      <c r="AE461" s="2" t="str">
        <f t="shared" si="11"/>
        <v>rediffmail</v>
      </c>
      <c r="AF461" s="2" t="str">
        <f t="shared" si="12"/>
        <v>Regina Hawkins</v>
      </c>
      <c r="AG461" s="2" t="str">
        <f t="shared" si="13"/>
        <v>Regina</v>
      </c>
      <c r="AH461" s="2" t="str">
        <f t="shared" si="14"/>
        <v>Hawkins</v>
      </c>
      <c r="AI461" s="2" t="str">
        <f t="shared" si="15"/>
        <v>Before Time</v>
      </c>
      <c r="AJ461" s="2" t="str">
        <f t="shared" si="16"/>
        <v>#NAME?</v>
      </c>
    </row>
    <row r="462" ht="14.25" customHeight="1">
      <c r="A462" s="2" t="s">
        <v>1925</v>
      </c>
      <c r="B462" s="2" t="s">
        <v>1926</v>
      </c>
      <c r="C462" s="2" t="s">
        <v>1927</v>
      </c>
      <c r="D462" s="2">
        <v>54.0</v>
      </c>
      <c r="E462" s="2" t="s">
        <v>34</v>
      </c>
      <c r="F462" s="2" t="s">
        <v>69</v>
      </c>
      <c r="G462" s="2" t="s">
        <v>1928</v>
      </c>
      <c r="H462" s="2" t="s">
        <v>2163</v>
      </c>
      <c r="I462" s="2" t="s">
        <v>1929</v>
      </c>
      <c r="J462" s="2" t="s">
        <v>1930</v>
      </c>
      <c r="K462" s="3">
        <v>45587.0</v>
      </c>
      <c r="L462" s="2" t="s">
        <v>1931</v>
      </c>
      <c r="M462" s="2" t="s">
        <v>474</v>
      </c>
      <c r="N462" s="2">
        <v>87.09</v>
      </c>
      <c r="O462" s="2">
        <v>5.0</v>
      </c>
      <c r="P462" s="2" t="s">
        <v>51</v>
      </c>
      <c r="Q462" s="2">
        <v>7.0</v>
      </c>
      <c r="R462" s="2">
        <v>40.0</v>
      </c>
      <c r="S462" s="3">
        <v>45589.0</v>
      </c>
      <c r="T462" s="2" t="s">
        <v>1932</v>
      </c>
      <c r="U462" s="2">
        <f t="shared" si="1"/>
        <v>2</v>
      </c>
      <c r="V462" s="2">
        <f t="shared" si="2"/>
        <v>4</v>
      </c>
      <c r="W462" s="2">
        <f t="shared" si="3"/>
        <v>435.45</v>
      </c>
      <c r="X462" s="2">
        <f t="shared" si="4"/>
        <v>475.45</v>
      </c>
      <c r="Y462" s="2">
        <f t="shared" si="5"/>
        <v>0</v>
      </c>
      <c r="Z462" s="2">
        <f t="shared" si="6"/>
        <v>435.45</v>
      </c>
      <c r="AA462" s="2">
        <f t="shared" si="7"/>
        <v>475.45</v>
      </c>
      <c r="AB462" s="2" t="str">
        <f t="shared" si="8"/>
        <v>Tuesday</v>
      </c>
      <c r="AC462" s="2" t="str">
        <f t="shared" si="9"/>
        <v>Weekday</v>
      </c>
      <c r="AD462" s="2" t="str">
        <f t="shared" si="10"/>
        <v>diana.french</v>
      </c>
      <c r="AE462" s="2" t="str">
        <f t="shared" si="11"/>
        <v>outlook</v>
      </c>
      <c r="AF462" s="2" t="str">
        <f t="shared" si="12"/>
        <v>Diana French</v>
      </c>
      <c r="AG462" s="2" t="str">
        <f t="shared" si="13"/>
        <v>Diana</v>
      </c>
      <c r="AH462" s="2" t="str">
        <f t="shared" si="14"/>
        <v>French</v>
      </c>
      <c r="AI462" s="2" t="str">
        <f t="shared" si="15"/>
        <v>Before Time</v>
      </c>
      <c r="AJ462" s="2" t="str">
        <f t="shared" si="16"/>
        <v>#NAME?</v>
      </c>
    </row>
    <row r="463" ht="14.25" customHeight="1">
      <c r="A463" s="2" t="s">
        <v>816</v>
      </c>
      <c r="B463" s="2" t="s">
        <v>817</v>
      </c>
      <c r="C463" s="2" t="s">
        <v>818</v>
      </c>
      <c r="D463" s="2">
        <v>42.0</v>
      </c>
      <c r="E463" s="2" t="s">
        <v>22</v>
      </c>
      <c r="F463" s="2" t="s">
        <v>69</v>
      </c>
      <c r="G463" s="2" t="s">
        <v>819</v>
      </c>
      <c r="H463" s="2" t="s">
        <v>2164</v>
      </c>
      <c r="I463" s="2" t="s">
        <v>820</v>
      </c>
      <c r="J463" s="2" t="s">
        <v>1933</v>
      </c>
      <c r="K463" s="3">
        <v>45596.0</v>
      </c>
      <c r="L463" s="2" t="s">
        <v>1934</v>
      </c>
      <c r="M463" s="2" t="s">
        <v>741</v>
      </c>
      <c r="N463" s="2">
        <v>381.73</v>
      </c>
      <c r="O463" s="2">
        <v>5.0</v>
      </c>
      <c r="P463" s="2" t="s">
        <v>51</v>
      </c>
      <c r="Q463" s="2">
        <v>1.0</v>
      </c>
      <c r="R463" s="2">
        <v>53.0</v>
      </c>
      <c r="S463" s="3">
        <v>45603.0</v>
      </c>
      <c r="T463" s="2" t="s">
        <v>1935</v>
      </c>
      <c r="U463" s="2">
        <f t="shared" si="1"/>
        <v>7</v>
      </c>
      <c r="V463" s="2">
        <f t="shared" si="2"/>
        <v>22</v>
      </c>
      <c r="W463" s="2">
        <f t="shared" si="3"/>
        <v>1908.65</v>
      </c>
      <c r="X463" s="2">
        <f t="shared" si="4"/>
        <v>1961.65</v>
      </c>
      <c r="Y463" s="2">
        <f t="shared" si="5"/>
        <v>0</v>
      </c>
      <c r="Z463" s="2">
        <f t="shared" si="6"/>
        <v>1908.65</v>
      </c>
      <c r="AA463" s="2">
        <f t="shared" si="7"/>
        <v>1961.65</v>
      </c>
      <c r="AB463" s="2" t="str">
        <f t="shared" si="8"/>
        <v>Thursday</v>
      </c>
      <c r="AC463" s="2" t="str">
        <f t="shared" si="9"/>
        <v>Weekday</v>
      </c>
      <c r="AD463" s="2" t="str">
        <f t="shared" si="10"/>
        <v>edward.black</v>
      </c>
      <c r="AE463" s="2" t="str">
        <f t="shared" si="11"/>
        <v>gmail</v>
      </c>
      <c r="AF463" s="2" t="str">
        <f t="shared" si="12"/>
        <v>Edward Black</v>
      </c>
      <c r="AG463" s="2" t="str">
        <f t="shared" si="13"/>
        <v>Edward</v>
      </c>
      <c r="AH463" s="2" t="str">
        <f t="shared" si="14"/>
        <v>Black</v>
      </c>
      <c r="AI463" s="2" t="str">
        <f t="shared" si="15"/>
        <v>Late</v>
      </c>
      <c r="AJ463" s="2" t="str">
        <f t="shared" si="16"/>
        <v>#NAME?</v>
      </c>
    </row>
    <row r="464" ht="14.25" customHeight="1">
      <c r="A464" s="2" t="s">
        <v>1311</v>
      </c>
      <c r="B464" s="2" t="s">
        <v>1312</v>
      </c>
      <c r="C464" s="2" t="s">
        <v>1313</v>
      </c>
      <c r="D464" s="2">
        <v>43.0</v>
      </c>
      <c r="E464" s="2" t="s">
        <v>22</v>
      </c>
      <c r="F464" s="2" t="s">
        <v>133</v>
      </c>
      <c r="G464" s="2" t="s">
        <v>1314</v>
      </c>
      <c r="H464" s="2" t="s">
        <v>2181</v>
      </c>
      <c r="I464" s="2" t="s">
        <v>1315</v>
      </c>
      <c r="J464" s="2" t="s">
        <v>1936</v>
      </c>
      <c r="K464" s="3">
        <v>45087.0</v>
      </c>
      <c r="L464" s="2" t="s">
        <v>1937</v>
      </c>
      <c r="M464" s="2" t="s">
        <v>376</v>
      </c>
      <c r="N464" s="2">
        <v>431.44</v>
      </c>
      <c r="O464" s="2">
        <v>3.0</v>
      </c>
      <c r="P464" s="2" t="s">
        <v>51</v>
      </c>
      <c r="Q464" s="2">
        <v>4.0</v>
      </c>
      <c r="R464" s="2">
        <v>58.0</v>
      </c>
      <c r="S464" s="3">
        <v>45092.0</v>
      </c>
      <c r="T464" s="2" t="s">
        <v>1938</v>
      </c>
      <c r="U464" s="2">
        <f t="shared" si="1"/>
        <v>5</v>
      </c>
      <c r="V464" s="2">
        <f t="shared" si="2"/>
        <v>18</v>
      </c>
      <c r="W464" s="2">
        <f t="shared" si="3"/>
        <v>1294.32</v>
      </c>
      <c r="X464" s="2">
        <f t="shared" si="4"/>
        <v>1352.32</v>
      </c>
      <c r="Y464" s="2">
        <f t="shared" si="5"/>
        <v>0</v>
      </c>
      <c r="Z464" s="2">
        <f t="shared" si="6"/>
        <v>1294.32</v>
      </c>
      <c r="AA464" s="2">
        <f t="shared" si="7"/>
        <v>1352.32</v>
      </c>
      <c r="AB464" s="2" t="str">
        <f t="shared" si="8"/>
        <v>Saturday</v>
      </c>
      <c r="AC464" s="2" t="str">
        <f t="shared" si="9"/>
        <v>Weekend</v>
      </c>
      <c r="AD464" s="2" t="str">
        <f t="shared" si="10"/>
        <v>jared.horn</v>
      </c>
      <c r="AE464" s="2" t="str">
        <f t="shared" si="11"/>
        <v>outlook</v>
      </c>
      <c r="AF464" s="2" t="str">
        <f t="shared" si="12"/>
        <v>Jared Horn</v>
      </c>
      <c r="AG464" s="2" t="str">
        <f t="shared" si="13"/>
        <v>Jared</v>
      </c>
      <c r="AH464" s="2" t="str">
        <f t="shared" si="14"/>
        <v>Horn</v>
      </c>
      <c r="AI464" s="2" t="str">
        <f t="shared" si="15"/>
        <v>Late</v>
      </c>
      <c r="AJ464" s="2" t="str">
        <f t="shared" si="16"/>
        <v>#NAME?</v>
      </c>
    </row>
    <row r="465" ht="14.25" customHeight="1">
      <c r="A465" s="2" t="s">
        <v>1607</v>
      </c>
      <c r="B465" s="2" t="s">
        <v>266</v>
      </c>
      <c r="C465" s="2" t="s">
        <v>1608</v>
      </c>
      <c r="D465" s="2">
        <v>62.0</v>
      </c>
      <c r="E465" s="2" t="s">
        <v>34</v>
      </c>
      <c r="F465" s="2" t="s">
        <v>35</v>
      </c>
      <c r="G465" s="2" t="s">
        <v>1609</v>
      </c>
      <c r="H465" s="2" t="s">
        <v>2186</v>
      </c>
      <c r="I465" s="2" t="s">
        <v>1610</v>
      </c>
      <c r="J465" s="2" t="s">
        <v>1939</v>
      </c>
      <c r="K465" s="3">
        <v>45393.0</v>
      </c>
      <c r="L465" s="2" t="s">
        <v>1940</v>
      </c>
      <c r="M465" s="2" t="s">
        <v>650</v>
      </c>
      <c r="N465" s="2">
        <v>235.63</v>
      </c>
      <c r="O465" s="2">
        <v>3.0</v>
      </c>
      <c r="P465" s="2" t="s">
        <v>56</v>
      </c>
      <c r="Q465" s="2">
        <v>6.0</v>
      </c>
      <c r="R465" s="2">
        <v>41.0</v>
      </c>
      <c r="S465" s="3">
        <v>45398.0</v>
      </c>
      <c r="T465" s="2" t="s">
        <v>1941</v>
      </c>
      <c r="U465" s="2">
        <f t="shared" si="1"/>
        <v>5</v>
      </c>
      <c r="V465" s="2">
        <f t="shared" si="2"/>
        <v>12</v>
      </c>
      <c r="W465" s="2">
        <f t="shared" si="3"/>
        <v>706.89</v>
      </c>
      <c r="X465" s="2">
        <f t="shared" si="4"/>
        <v>747.89</v>
      </c>
      <c r="Y465" s="2">
        <f t="shared" si="5"/>
        <v>0</v>
      </c>
      <c r="Z465" s="2">
        <f t="shared" si="6"/>
        <v>706.89</v>
      </c>
      <c r="AA465" s="2">
        <f t="shared" si="7"/>
        <v>706.89</v>
      </c>
      <c r="AB465" s="2" t="str">
        <f t="shared" si="8"/>
        <v>Thursday</v>
      </c>
      <c r="AC465" s="2" t="str">
        <f t="shared" si="9"/>
        <v>Weekday</v>
      </c>
      <c r="AD465" s="2" t="str">
        <f t="shared" si="10"/>
        <v>lauren.crane</v>
      </c>
      <c r="AE465" s="2" t="str">
        <f t="shared" si="11"/>
        <v>yahoo</v>
      </c>
      <c r="AF465" s="2" t="str">
        <f t="shared" si="12"/>
        <v>Lauren Crane</v>
      </c>
      <c r="AG465" s="2" t="str">
        <f t="shared" si="13"/>
        <v>Lauren</v>
      </c>
      <c r="AH465" s="2" t="str">
        <f t="shared" si="14"/>
        <v>Crane</v>
      </c>
      <c r="AI465" s="2" t="str">
        <f t="shared" si="15"/>
        <v>Before Time</v>
      </c>
      <c r="AJ465" s="2" t="str">
        <f t="shared" si="16"/>
        <v>#NAME?</v>
      </c>
    </row>
    <row r="466" ht="14.25" customHeight="1">
      <c r="A466" s="2" t="s">
        <v>158</v>
      </c>
      <c r="B466" s="2" t="s">
        <v>159</v>
      </c>
      <c r="C466" s="2" t="s">
        <v>160</v>
      </c>
      <c r="D466" s="2">
        <v>46.0</v>
      </c>
      <c r="E466" s="2" t="s">
        <v>22</v>
      </c>
      <c r="F466" s="2" t="s">
        <v>161</v>
      </c>
      <c r="G466" s="2" t="s">
        <v>162</v>
      </c>
      <c r="H466" s="2" t="s">
        <v>2105</v>
      </c>
      <c r="I466" s="2" t="s">
        <v>163</v>
      </c>
      <c r="J466" s="2" t="s">
        <v>1942</v>
      </c>
      <c r="K466" s="3">
        <v>45525.0</v>
      </c>
      <c r="L466" s="2" t="s">
        <v>1943</v>
      </c>
      <c r="M466" s="2" t="s">
        <v>337</v>
      </c>
      <c r="N466" s="2">
        <v>372.62</v>
      </c>
      <c r="O466" s="2">
        <v>4.0</v>
      </c>
      <c r="P466" s="2" t="s">
        <v>29</v>
      </c>
      <c r="Q466" s="2">
        <v>3.0</v>
      </c>
      <c r="R466" s="2">
        <v>48.0</v>
      </c>
      <c r="S466" s="3">
        <v>45530.0</v>
      </c>
      <c r="T466" s="2" t="s">
        <v>1944</v>
      </c>
      <c r="U466" s="2">
        <f t="shared" si="1"/>
        <v>5</v>
      </c>
      <c r="V466" s="2">
        <f t="shared" si="2"/>
        <v>4</v>
      </c>
      <c r="W466" s="2">
        <f t="shared" si="3"/>
        <v>1490.48</v>
      </c>
      <c r="X466" s="2">
        <f t="shared" si="4"/>
        <v>1538.48</v>
      </c>
      <c r="Y466" s="2">
        <f t="shared" si="5"/>
        <v>0</v>
      </c>
      <c r="Z466" s="2">
        <f t="shared" si="6"/>
        <v>1490.48</v>
      </c>
      <c r="AA466" s="2">
        <f t="shared" si="7"/>
        <v>1538.48</v>
      </c>
      <c r="AB466" s="2" t="str">
        <f t="shared" si="8"/>
        <v>Wednesday</v>
      </c>
      <c r="AC466" s="2" t="str">
        <f t="shared" si="9"/>
        <v>Weekday</v>
      </c>
      <c r="AD466" s="2" t="str">
        <f t="shared" si="10"/>
        <v>erin.miller</v>
      </c>
      <c r="AE466" s="2" t="str">
        <f t="shared" si="11"/>
        <v>gmail</v>
      </c>
      <c r="AF466" s="2" t="str">
        <f t="shared" si="12"/>
        <v>Erin Miller</v>
      </c>
      <c r="AG466" s="2" t="str">
        <f t="shared" si="13"/>
        <v>Erin</v>
      </c>
      <c r="AH466" s="2" t="str">
        <f t="shared" si="14"/>
        <v>Miller</v>
      </c>
      <c r="AI466" s="2" t="str">
        <f t="shared" si="15"/>
        <v>Late</v>
      </c>
      <c r="AJ466" s="2" t="str">
        <f t="shared" si="16"/>
        <v>#NAME?</v>
      </c>
    </row>
    <row r="467" ht="14.25" customHeight="1">
      <c r="A467" s="2" t="s">
        <v>309</v>
      </c>
      <c r="B467" s="2" t="s">
        <v>310</v>
      </c>
      <c r="C467" s="2" t="s">
        <v>311</v>
      </c>
      <c r="D467" s="2">
        <v>45.0</v>
      </c>
      <c r="E467" s="2" t="s">
        <v>22</v>
      </c>
      <c r="F467" s="2" t="s">
        <v>35</v>
      </c>
      <c r="G467" s="2" t="s">
        <v>312</v>
      </c>
      <c r="H467" s="2" t="s">
        <v>2120</v>
      </c>
      <c r="I467" s="2" t="s">
        <v>313</v>
      </c>
      <c r="J467" s="2" t="s">
        <v>1945</v>
      </c>
      <c r="K467" s="3">
        <v>45103.0</v>
      </c>
      <c r="L467" s="2" t="s">
        <v>1946</v>
      </c>
      <c r="M467" s="2" t="s">
        <v>630</v>
      </c>
      <c r="N467" s="2">
        <v>445.81</v>
      </c>
      <c r="O467" s="2">
        <v>3.0</v>
      </c>
      <c r="P467" s="2" t="s">
        <v>78</v>
      </c>
      <c r="Q467" s="2">
        <v>1.0</v>
      </c>
      <c r="R467" s="2">
        <v>58.0</v>
      </c>
      <c r="S467" s="3">
        <v>45109.0</v>
      </c>
      <c r="T467" s="2" t="s">
        <v>1947</v>
      </c>
      <c r="U467" s="2">
        <f t="shared" si="1"/>
        <v>6</v>
      </c>
      <c r="V467" s="2">
        <f t="shared" si="2"/>
        <v>10</v>
      </c>
      <c r="W467" s="2">
        <f t="shared" si="3"/>
        <v>1337.43</v>
      </c>
      <c r="X467" s="2">
        <f t="shared" si="4"/>
        <v>1395.43</v>
      </c>
      <c r="Y467" s="2">
        <f t="shared" si="5"/>
        <v>0</v>
      </c>
      <c r="Z467" s="2">
        <f t="shared" si="6"/>
        <v>1337.43</v>
      </c>
      <c r="AA467" s="2">
        <f t="shared" si="7"/>
        <v>1395.43</v>
      </c>
      <c r="AB467" s="2" t="str">
        <f t="shared" si="8"/>
        <v>Monday</v>
      </c>
      <c r="AC467" s="2" t="str">
        <f t="shared" si="9"/>
        <v>Weekday</v>
      </c>
      <c r="AD467" s="2" t="str">
        <f t="shared" si="10"/>
        <v>jenny.estrada</v>
      </c>
      <c r="AE467" s="2" t="str">
        <f t="shared" si="11"/>
        <v>yahoo</v>
      </c>
      <c r="AF467" s="2" t="str">
        <f t="shared" si="12"/>
        <v>Jenny Estrada</v>
      </c>
      <c r="AG467" s="2" t="str">
        <f t="shared" si="13"/>
        <v>Jenny</v>
      </c>
      <c r="AH467" s="2" t="str">
        <f t="shared" si="14"/>
        <v>Estrada</v>
      </c>
      <c r="AI467" s="2" t="str">
        <f t="shared" si="15"/>
        <v>Late</v>
      </c>
      <c r="AJ467" s="2" t="str">
        <f t="shared" si="16"/>
        <v>#NAME?</v>
      </c>
    </row>
    <row r="468" ht="14.25" customHeight="1">
      <c r="A468" s="2" t="s">
        <v>632</v>
      </c>
      <c r="B468" s="2" t="s">
        <v>141</v>
      </c>
      <c r="C468" s="2" t="s">
        <v>633</v>
      </c>
      <c r="D468" s="2">
        <v>44.0</v>
      </c>
      <c r="E468" s="2" t="s">
        <v>45</v>
      </c>
      <c r="F468" s="2" t="s">
        <v>83</v>
      </c>
      <c r="G468" s="2" t="s">
        <v>634</v>
      </c>
      <c r="H468" s="2" t="s">
        <v>2150</v>
      </c>
      <c r="I468" s="2" t="s">
        <v>635</v>
      </c>
      <c r="J468" s="2" t="s">
        <v>1948</v>
      </c>
      <c r="K468" s="3">
        <v>45410.0</v>
      </c>
      <c r="L468" s="2" t="s">
        <v>1949</v>
      </c>
      <c r="M468" s="2" t="s">
        <v>583</v>
      </c>
      <c r="N468" s="2">
        <v>403.03</v>
      </c>
      <c r="O468" s="2">
        <v>2.0</v>
      </c>
      <c r="P468" s="2" t="s">
        <v>51</v>
      </c>
      <c r="Q468" s="2">
        <v>7.0</v>
      </c>
      <c r="R468" s="2">
        <v>39.0</v>
      </c>
      <c r="S468" s="3">
        <v>45417.0</v>
      </c>
      <c r="T468" s="2" t="s">
        <v>1950</v>
      </c>
      <c r="U468" s="2">
        <f t="shared" si="1"/>
        <v>7</v>
      </c>
      <c r="V468" s="2">
        <f t="shared" si="2"/>
        <v>20</v>
      </c>
      <c r="W468" s="2">
        <f t="shared" si="3"/>
        <v>806.06</v>
      </c>
      <c r="X468" s="2">
        <f t="shared" si="4"/>
        <v>845.06</v>
      </c>
      <c r="Y468" s="2">
        <f t="shared" si="5"/>
        <v>0</v>
      </c>
      <c r="Z468" s="2">
        <f t="shared" si="6"/>
        <v>806.06</v>
      </c>
      <c r="AA468" s="2">
        <f t="shared" si="7"/>
        <v>845.06</v>
      </c>
      <c r="AB468" s="2" t="str">
        <f t="shared" si="8"/>
        <v>Sunday</v>
      </c>
      <c r="AC468" s="2" t="str">
        <f t="shared" si="9"/>
        <v>Weekend</v>
      </c>
      <c r="AD468" s="2" t="str">
        <f t="shared" si="10"/>
        <v>amy.ellis</v>
      </c>
      <c r="AE468" s="2" t="str">
        <f t="shared" si="11"/>
        <v>gmail</v>
      </c>
      <c r="AF468" s="2" t="str">
        <f t="shared" si="12"/>
        <v>Amy Ellis</v>
      </c>
      <c r="AG468" s="2" t="str">
        <f t="shared" si="13"/>
        <v>Amy</v>
      </c>
      <c r="AH468" s="2" t="str">
        <f t="shared" si="14"/>
        <v>Ellis</v>
      </c>
      <c r="AI468" s="2" t="str">
        <f t="shared" si="15"/>
        <v>InTime</v>
      </c>
      <c r="AJ468" s="2" t="str">
        <f t="shared" si="16"/>
        <v>#NAME?</v>
      </c>
    </row>
    <row r="469" ht="14.25" customHeight="1">
      <c r="A469" s="2" t="s">
        <v>887</v>
      </c>
      <c r="B469" s="2" t="s">
        <v>141</v>
      </c>
      <c r="C469" s="2" t="s">
        <v>888</v>
      </c>
      <c r="D469" s="2">
        <v>29.0</v>
      </c>
      <c r="E469" s="2" t="s">
        <v>22</v>
      </c>
      <c r="F469" s="2" t="s">
        <v>35</v>
      </c>
      <c r="G469" s="2" t="s">
        <v>889</v>
      </c>
      <c r="H469" s="2" t="s">
        <v>2168</v>
      </c>
      <c r="I469" s="2" t="s">
        <v>890</v>
      </c>
      <c r="J469" s="2" t="s">
        <v>1951</v>
      </c>
      <c r="K469" s="3">
        <v>45423.0</v>
      </c>
      <c r="L469" s="2" t="s">
        <v>1952</v>
      </c>
      <c r="M469" s="2" t="s">
        <v>349</v>
      </c>
      <c r="N469" s="2">
        <v>496.59</v>
      </c>
      <c r="O469" s="2">
        <v>5.0</v>
      </c>
      <c r="P469" s="2" t="s">
        <v>29</v>
      </c>
      <c r="Q469" s="2">
        <v>3.0</v>
      </c>
      <c r="R469" s="2">
        <v>61.0</v>
      </c>
      <c r="S469" s="3">
        <v>45425.0</v>
      </c>
      <c r="T469" s="2" t="s">
        <v>1953</v>
      </c>
      <c r="U469" s="2">
        <f t="shared" si="1"/>
        <v>2</v>
      </c>
      <c r="V469" s="2">
        <f t="shared" si="2"/>
        <v>12</v>
      </c>
      <c r="W469" s="2">
        <f t="shared" si="3"/>
        <v>2482.95</v>
      </c>
      <c r="X469" s="2">
        <f t="shared" si="4"/>
        <v>2543.95</v>
      </c>
      <c r="Y469" s="2">
        <f t="shared" si="5"/>
        <v>0</v>
      </c>
      <c r="Z469" s="2">
        <f t="shared" si="6"/>
        <v>2482.95</v>
      </c>
      <c r="AA469" s="2">
        <f t="shared" si="7"/>
        <v>2543.95</v>
      </c>
      <c r="AB469" s="2" t="str">
        <f t="shared" si="8"/>
        <v>Saturday</v>
      </c>
      <c r="AC469" s="2" t="str">
        <f t="shared" si="9"/>
        <v>Weekend</v>
      </c>
      <c r="AD469" s="2" t="str">
        <f t="shared" si="10"/>
        <v>amy.griffin</v>
      </c>
      <c r="AE469" s="2" t="str">
        <f t="shared" si="11"/>
        <v>rediffmail</v>
      </c>
      <c r="AF469" s="2" t="str">
        <f t="shared" si="12"/>
        <v>Amy Griffin</v>
      </c>
      <c r="AG469" s="2" t="str">
        <f t="shared" si="13"/>
        <v>Amy</v>
      </c>
      <c r="AH469" s="2" t="str">
        <f t="shared" si="14"/>
        <v>Griffin</v>
      </c>
      <c r="AI469" s="2" t="str">
        <f t="shared" si="15"/>
        <v>Before Time</v>
      </c>
      <c r="AJ469" s="2" t="str">
        <f t="shared" si="16"/>
        <v>#NAME?</v>
      </c>
    </row>
    <row r="470" ht="14.25" customHeight="1">
      <c r="A470" s="2" t="s">
        <v>58</v>
      </c>
      <c r="B470" s="2" t="s">
        <v>59</v>
      </c>
      <c r="C470" s="2" t="s">
        <v>60</v>
      </c>
      <c r="D470" s="2">
        <v>49.0</v>
      </c>
      <c r="E470" s="2" t="s">
        <v>45</v>
      </c>
      <c r="F470" s="2" t="s">
        <v>23</v>
      </c>
      <c r="G470" s="2" t="s">
        <v>61</v>
      </c>
      <c r="H470" s="2" t="s">
        <v>2095</v>
      </c>
      <c r="I470" s="2" t="s">
        <v>62</v>
      </c>
      <c r="J470" s="2" t="s">
        <v>1954</v>
      </c>
      <c r="K470" s="3">
        <v>45377.0</v>
      </c>
      <c r="L470" s="2" t="s">
        <v>1955</v>
      </c>
      <c r="M470" s="2" t="s">
        <v>411</v>
      </c>
      <c r="N470" s="2">
        <v>44.5</v>
      </c>
      <c r="O470" s="2">
        <v>3.0</v>
      </c>
      <c r="P470" s="2" t="s">
        <v>78</v>
      </c>
      <c r="Q470" s="2">
        <v>7.0</v>
      </c>
      <c r="R470" s="2">
        <v>40.0</v>
      </c>
      <c r="S470" s="3">
        <v>45382.0</v>
      </c>
      <c r="T470" s="2" t="s">
        <v>1956</v>
      </c>
      <c r="U470" s="2">
        <f t="shared" si="1"/>
        <v>5</v>
      </c>
      <c r="V470" s="2">
        <f t="shared" si="2"/>
        <v>22</v>
      </c>
      <c r="W470" s="2">
        <f t="shared" si="3"/>
        <v>133.5</v>
      </c>
      <c r="X470" s="2">
        <f t="shared" si="4"/>
        <v>173.5</v>
      </c>
      <c r="Y470" s="2">
        <f t="shared" si="5"/>
        <v>0</v>
      </c>
      <c r="Z470" s="2">
        <f t="shared" si="6"/>
        <v>133.5</v>
      </c>
      <c r="AA470" s="2">
        <f t="shared" si="7"/>
        <v>173.5</v>
      </c>
      <c r="AB470" s="2" t="str">
        <f t="shared" si="8"/>
        <v>Tuesday</v>
      </c>
      <c r="AC470" s="2" t="str">
        <f t="shared" si="9"/>
        <v>Weekday</v>
      </c>
      <c r="AD470" s="2" t="str">
        <f t="shared" si="10"/>
        <v>angela.horne</v>
      </c>
      <c r="AE470" s="2" t="str">
        <f t="shared" si="11"/>
        <v>outlook</v>
      </c>
      <c r="AF470" s="2" t="str">
        <f t="shared" si="12"/>
        <v>Angela Horne</v>
      </c>
      <c r="AG470" s="2" t="str">
        <f t="shared" si="13"/>
        <v>Angela</v>
      </c>
      <c r="AH470" s="2" t="str">
        <f t="shared" si="14"/>
        <v>Horne</v>
      </c>
      <c r="AI470" s="2" t="str">
        <f t="shared" si="15"/>
        <v>Before Time</v>
      </c>
      <c r="AJ470" s="2" t="str">
        <f t="shared" si="16"/>
        <v>#NAME?</v>
      </c>
    </row>
    <row r="471" ht="14.25" customHeight="1">
      <c r="A471" s="2" t="s">
        <v>1607</v>
      </c>
      <c r="B471" s="2" t="s">
        <v>266</v>
      </c>
      <c r="C471" s="2" t="s">
        <v>1608</v>
      </c>
      <c r="D471" s="2">
        <v>62.0</v>
      </c>
      <c r="E471" s="2" t="s">
        <v>34</v>
      </c>
      <c r="F471" s="2" t="s">
        <v>35</v>
      </c>
      <c r="G471" s="2" t="s">
        <v>1609</v>
      </c>
      <c r="H471" s="2" t="s">
        <v>2186</v>
      </c>
      <c r="I471" s="2" t="s">
        <v>1610</v>
      </c>
      <c r="J471" s="2" t="s">
        <v>1957</v>
      </c>
      <c r="K471" s="3">
        <v>45451.0</v>
      </c>
      <c r="L471" s="2" t="s">
        <v>1958</v>
      </c>
      <c r="M471" s="2" t="s">
        <v>263</v>
      </c>
      <c r="N471" s="2">
        <v>62.42</v>
      </c>
      <c r="O471" s="2">
        <v>5.0</v>
      </c>
      <c r="P471" s="2" t="s">
        <v>56</v>
      </c>
      <c r="Q471" s="2">
        <v>2.0</v>
      </c>
      <c r="R471" s="2">
        <v>47.0</v>
      </c>
      <c r="S471" s="3">
        <v>45453.0</v>
      </c>
      <c r="T471" s="2" t="s">
        <v>1959</v>
      </c>
      <c r="U471" s="2">
        <f t="shared" si="1"/>
        <v>2</v>
      </c>
      <c r="V471" s="2">
        <f t="shared" si="2"/>
        <v>13</v>
      </c>
      <c r="W471" s="2">
        <f t="shared" si="3"/>
        <v>312.1</v>
      </c>
      <c r="X471" s="2">
        <f t="shared" si="4"/>
        <v>359.1</v>
      </c>
      <c r="Y471" s="2">
        <f t="shared" si="5"/>
        <v>0</v>
      </c>
      <c r="Z471" s="2">
        <f t="shared" si="6"/>
        <v>312.1</v>
      </c>
      <c r="AA471" s="2">
        <f t="shared" si="7"/>
        <v>312.1</v>
      </c>
      <c r="AB471" s="2" t="str">
        <f t="shared" si="8"/>
        <v>Saturday</v>
      </c>
      <c r="AC471" s="2" t="str">
        <f t="shared" si="9"/>
        <v>Weekend</v>
      </c>
      <c r="AD471" s="2" t="str">
        <f t="shared" si="10"/>
        <v>lauren.crane</v>
      </c>
      <c r="AE471" s="2" t="str">
        <f t="shared" si="11"/>
        <v>yahoo</v>
      </c>
      <c r="AF471" s="2" t="str">
        <f t="shared" si="12"/>
        <v>Lauren Crane</v>
      </c>
      <c r="AG471" s="2" t="str">
        <f t="shared" si="13"/>
        <v>Lauren</v>
      </c>
      <c r="AH471" s="2" t="str">
        <f t="shared" si="14"/>
        <v>Crane</v>
      </c>
      <c r="AI471" s="2" t="str">
        <f t="shared" si="15"/>
        <v>InTime</v>
      </c>
      <c r="AJ471" s="2" t="str">
        <f t="shared" si="16"/>
        <v>#NAME?</v>
      </c>
    </row>
    <row r="472" ht="14.25" customHeight="1">
      <c r="A472" s="2" t="s">
        <v>698</v>
      </c>
      <c r="B472" s="2" t="s">
        <v>699</v>
      </c>
      <c r="C472" s="2" t="s">
        <v>700</v>
      </c>
      <c r="D472" s="2">
        <v>26.0</v>
      </c>
      <c r="E472" s="2" t="s">
        <v>45</v>
      </c>
      <c r="F472" s="2" t="s">
        <v>69</v>
      </c>
      <c r="G472" s="2" t="s">
        <v>701</v>
      </c>
      <c r="H472" s="2" t="s">
        <v>2155</v>
      </c>
      <c r="I472" s="2" t="s">
        <v>702</v>
      </c>
      <c r="J472" s="2" t="s">
        <v>1960</v>
      </c>
      <c r="K472" s="3">
        <v>45362.0</v>
      </c>
      <c r="L472" s="2" t="s">
        <v>1961</v>
      </c>
      <c r="M472" s="2" t="s">
        <v>474</v>
      </c>
      <c r="N472" s="2">
        <v>87.09</v>
      </c>
      <c r="O472" s="2">
        <v>4.0</v>
      </c>
      <c r="P472" s="2" t="s">
        <v>89</v>
      </c>
      <c r="Q472" s="2">
        <v>5.0</v>
      </c>
      <c r="R472" s="2">
        <v>45.0</v>
      </c>
      <c r="S472" s="3">
        <v>45368.0</v>
      </c>
      <c r="T472" s="2" t="s">
        <v>1962</v>
      </c>
      <c r="U472" s="2">
        <f t="shared" si="1"/>
        <v>6</v>
      </c>
      <c r="V472" s="2">
        <f t="shared" si="2"/>
        <v>15</v>
      </c>
      <c r="W472" s="2">
        <f t="shared" si="3"/>
        <v>348.36</v>
      </c>
      <c r="X472" s="2">
        <f t="shared" si="4"/>
        <v>393.36</v>
      </c>
      <c r="Y472" s="2">
        <f t="shared" si="5"/>
        <v>0</v>
      </c>
      <c r="Z472" s="2">
        <f t="shared" si="6"/>
        <v>348.36</v>
      </c>
      <c r="AA472" s="2">
        <f t="shared" si="7"/>
        <v>393.36</v>
      </c>
      <c r="AB472" s="2" t="str">
        <f t="shared" si="8"/>
        <v>Monday</v>
      </c>
      <c r="AC472" s="2" t="str">
        <f t="shared" si="9"/>
        <v>Weekday</v>
      </c>
      <c r="AD472" s="2" t="str">
        <f t="shared" si="10"/>
        <v>gregory.lee</v>
      </c>
      <c r="AE472" s="2" t="str">
        <f t="shared" si="11"/>
        <v>rediffmail</v>
      </c>
      <c r="AF472" s="2" t="str">
        <f t="shared" si="12"/>
        <v>Gregory Lee</v>
      </c>
      <c r="AG472" s="2" t="str">
        <f t="shared" si="13"/>
        <v>Gregory</v>
      </c>
      <c r="AH472" s="2" t="str">
        <f t="shared" si="14"/>
        <v>Lee</v>
      </c>
      <c r="AI472" s="2" t="str">
        <f t="shared" si="15"/>
        <v>Late</v>
      </c>
      <c r="AJ472" s="2" t="str">
        <f t="shared" si="16"/>
        <v>#NAME?</v>
      </c>
    </row>
    <row r="473" ht="14.25" customHeight="1">
      <c r="A473" s="2" t="s">
        <v>286</v>
      </c>
      <c r="B473" s="2" t="s">
        <v>287</v>
      </c>
      <c r="C473" s="2" t="s">
        <v>288</v>
      </c>
      <c r="D473" s="2">
        <v>48.0</v>
      </c>
      <c r="E473" s="2" t="s">
        <v>34</v>
      </c>
      <c r="F473" s="2" t="s">
        <v>83</v>
      </c>
      <c r="G473" s="2" t="s">
        <v>289</v>
      </c>
      <c r="H473" s="2" t="s">
        <v>2118</v>
      </c>
      <c r="I473" s="2" t="s">
        <v>290</v>
      </c>
      <c r="J473" s="2" t="s">
        <v>1963</v>
      </c>
      <c r="K473" s="3">
        <v>45283.0</v>
      </c>
      <c r="L473" s="2" t="s">
        <v>1964</v>
      </c>
      <c r="M473" s="2" t="s">
        <v>333</v>
      </c>
      <c r="N473" s="2">
        <v>77.84</v>
      </c>
      <c r="O473" s="2">
        <v>4.0</v>
      </c>
      <c r="P473" s="2" t="s">
        <v>78</v>
      </c>
      <c r="Q473" s="2">
        <v>5.0</v>
      </c>
      <c r="R473" s="2">
        <v>55.0</v>
      </c>
      <c r="S473" s="3">
        <v>45286.0</v>
      </c>
      <c r="T473" s="2" t="s">
        <v>1965</v>
      </c>
      <c r="U473" s="2">
        <f t="shared" si="1"/>
        <v>3</v>
      </c>
      <c r="V473" s="2">
        <f t="shared" si="2"/>
        <v>16</v>
      </c>
      <c r="W473" s="2">
        <f t="shared" si="3"/>
        <v>311.36</v>
      </c>
      <c r="X473" s="2">
        <f t="shared" si="4"/>
        <v>366.36</v>
      </c>
      <c r="Y473" s="2">
        <f t="shared" si="5"/>
        <v>0</v>
      </c>
      <c r="Z473" s="2">
        <f t="shared" si="6"/>
        <v>311.36</v>
      </c>
      <c r="AA473" s="2">
        <f t="shared" si="7"/>
        <v>366.36</v>
      </c>
      <c r="AB473" s="2" t="str">
        <f t="shared" si="8"/>
        <v>Saturday</v>
      </c>
      <c r="AC473" s="2" t="str">
        <f t="shared" si="9"/>
        <v>Weekend</v>
      </c>
      <c r="AD473" s="2" t="str">
        <f t="shared" si="10"/>
        <v>heather.schneider</v>
      </c>
      <c r="AE473" s="2" t="str">
        <f t="shared" si="11"/>
        <v>outlook</v>
      </c>
      <c r="AF473" s="2" t="str">
        <f t="shared" si="12"/>
        <v>Heather Schneider</v>
      </c>
      <c r="AG473" s="2" t="str">
        <f t="shared" si="13"/>
        <v>Heather</v>
      </c>
      <c r="AH473" s="2" t="str">
        <f t="shared" si="14"/>
        <v>Schneider</v>
      </c>
      <c r="AI473" s="2" t="str">
        <f t="shared" si="15"/>
        <v>Before Time</v>
      </c>
      <c r="AJ473" s="2" t="str">
        <f t="shared" si="16"/>
        <v>#NAME?</v>
      </c>
    </row>
    <row r="474" ht="14.25" customHeight="1">
      <c r="A474" s="2" t="s">
        <v>1899</v>
      </c>
      <c r="B474" s="2" t="s">
        <v>1900</v>
      </c>
      <c r="C474" s="2" t="s">
        <v>1901</v>
      </c>
      <c r="D474" s="2">
        <v>43.0</v>
      </c>
      <c r="E474" s="2" t="s">
        <v>22</v>
      </c>
      <c r="F474" s="2" t="s">
        <v>35</v>
      </c>
      <c r="G474" s="2" t="s">
        <v>1902</v>
      </c>
      <c r="H474" s="2" t="s">
        <v>2191</v>
      </c>
      <c r="I474" s="2" t="s">
        <v>1903</v>
      </c>
      <c r="J474" s="2" t="s">
        <v>1966</v>
      </c>
      <c r="K474" s="3">
        <v>45012.0</v>
      </c>
      <c r="L474" s="2" t="s">
        <v>1967</v>
      </c>
      <c r="M474" s="2" t="s">
        <v>333</v>
      </c>
      <c r="N474" s="2">
        <v>77.84</v>
      </c>
      <c r="O474" s="2">
        <v>5.0</v>
      </c>
      <c r="P474" s="2" t="s">
        <v>89</v>
      </c>
      <c r="Q474" s="2">
        <v>2.0</v>
      </c>
      <c r="R474" s="2">
        <v>53.0</v>
      </c>
      <c r="S474" s="3">
        <v>45017.0</v>
      </c>
      <c r="T474" s="2" t="s">
        <v>1968</v>
      </c>
      <c r="U474" s="2">
        <f t="shared" si="1"/>
        <v>5</v>
      </c>
      <c r="V474" s="2">
        <f t="shared" si="2"/>
        <v>15</v>
      </c>
      <c r="W474" s="2">
        <f t="shared" si="3"/>
        <v>389.2</v>
      </c>
      <c r="X474" s="2">
        <f t="shared" si="4"/>
        <v>442.2</v>
      </c>
      <c r="Y474" s="2">
        <f t="shared" si="5"/>
        <v>0</v>
      </c>
      <c r="Z474" s="2">
        <f t="shared" si="6"/>
        <v>389.2</v>
      </c>
      <c r="AA474" s="2">
        <f t="shared" si="7"/>
        <v>442.2</v>
      </c>
      <c r="AB474" s="2" t="str">
        <f t="shared" si="8"/>
        <v>Monday</v>
      </c>
      <c r="AC474" s="2" t="str">
        <f t="shared" si="9"/>
        <v>Weekday</v>
      </c>
      <c r="AD474" s="2" t="str">
        <f t="shared" si="10"/>
        <v>janice.gordon</v>
      </c>
      <c r="AE474" s="2" t="str">
        <f t="shared" si="11"/>
        <v>yahoo</v>
      </c>
      <c r="AF474" s="2" t="str">
        <f t="shared" si="12"/>
        <v>Janice Gordon</v>
      </c>
      <c r="AG474" s="2" t="str">
        <f t="shared" si="13"/>
        <v>Janice</v>
      </c>
      <c r="AH474" s="2" t="str">
        <f t="shared" si="14"/>
        <v>Gordon</v>
      </c>
      <c r="AI474" s="2" t="str">
        <f t="shared" si="15"/>
        <v>Late</v>
      </c>
      <c r="AJ474" s="2" t="str">
        <f t="shared" si="16"/>
        <v>#NAME?</v>
      </c>
    </row>
    <row r="475" ht="14.25" customHeight="1">
      <c r="A475" s="2" t="s">
        <v>468</v>
      </c>
      <c r="B475" s="2" t="s">
        <v>101</v>
      </c>
      <c r="C475" s="2" t="s">
        <v>469</v>
      </c>
      <c r="D475" s="2">
        <v>33.0</v>
      </c>
      <c r="E475" s="2" t="s">
        <v>22</v>
      </c>
      <c r="F475" s="2" t="s">
        <v>161</v>
      </c>
      <c r="G475" s="2" t="s">
        <v>470</v>
      </c>
      <c r="H475" s="2" t="s">
        <v>2137</v>
      </c>
      <c r="I475" s="2" t="s">
        <v>471</v>
      </c>
      <c r="J475" s="2" t="s">
        <v>1969</v>
      </c>
      <c r="K475" s="3">
        <v>45528.0</v>
      </c>
      <c r="L475" s="2" t="s">
        <v>1970</v>
      </c>
      <c r="M475" s="2" t="s">
        <v>227</v>
      </c>
      <c r="N475" s="2">
        <v>132.97</v>
      </c>
      <c r="O475" s="2">
        <v>4.0</v>
      </c>
      <c r="P475" s="2" t="s">
        <v>56</v>
      </c>
      <c r="Q475" s="2">
        <v>6.0</v>
      </c>
      <c r="R475" s="2">
        <v>63.0</v>
      </c>
      <c r="S475" s="3">
        <v>45535.0</v>
      </c>
      <c r="T475" s="2" t="s">
        <v>1971</v>
      </c>
      <c r="U475" s="2">
        <f t="shared" si="1"/>
        <v>7</v>
      </c>
      <c r="V475" s="2">
        <f t="shared" si="2"/>
        <v>5</v>
      </c>
      <c r="W475" s="2">
        <f t="shared" si="3"/>
        <v>531.88</v>
      </c>
      <c r="X475" s="2">
        <f t="shared" si="4"/>
        <v>594.88</v>
      </c>
      <c r="Y475" s="2">
        <f t="shared" si="5"/>
        <v>0</v>
      </c>
      <c r="Z475" s="2">
        <f t="shared" si="6"/>
        <v>531.88</v>
      </c>
      <c r="AA475" s="2">
        <f t="shared" si="7"/>
        <v>531.88</v>
      </c>
      <c r="AB475" s="2" t="str">
        <f t="shared" si="8"/>
        <v>Saturday</v>
      </c>
      <c r="AC475" s="2" t="str">
        <f t="shared" si="9"/>
        <v>Weekend</v>
      </c>
      <c r="AD475" s="2" t="str">
        <f t="shared" si="10"/>
        <v>debra.hayes</v>
      </c>
      <c r="AE475" s="2" t="str">
        <f t="shared" si="11"/>
        <v>yahoo</v>
      </c>
      <c r="AF475" s="2" t="str">
        <f t="shared" si="12"/>
        <v>Debra Hayes</v>
      </c>
      <c r="AG475" s="2" t="str">
        <f t="shared" si="13"/>
        <v>Debra</v>
      </c>
      <c r="AH475" s="2" t="str">
        <f t="shared" si="14"/>
        <v>Hayes</v>
      </c>
      <c r="AI475" s="2" t="str">
        <f t="shared" si="15"/>
        <v>Late</v>
      </c>
      <c r="AJ475" s="2" t="str">
        <f t="shared" si="16"/>
        <v>#NAME?</v>
      </c>
    </row>
    <row r="476" ht="14.25" customHeight="1">
      <c r="A476" s="2" t="s">
        <v>229</v>
      </c>
      <c r="B476" s="2" t="s">
        <v>59</v>
      </c>
      <c r="C476" s="2" t="s">
        <v>230</v>
      </c>
      <c r="D476" s="2">
        <v>52.0</v>
      </c>
      <c r="E476" s="2" t="s">
        <v>45</v>
      </c>
      <c r="F476" s="2" t="s">
        <v>35</v>
      </c>
      <c r="G476" s="2" t="s">
        <v>231</v>
      </c>
      <c r="H476" s="2" t="s">
        <v>2113</v>
      </c>
      <c r="I476" s="2" t="s">
        <v>232</v>
      </c>
      <c r="J476" s="2" t="s">
        <v>1972</v>
      </c>
      <c r="K476" s="3">
        <v>45354.0</v>
      </c>
      <c r="L476" s="2" t="s">
        <v>1973</v>
      </c>
      <c r="M476" s="2" t="s">
        <v>218</v>
      </c>
      <c r="N476" s="2">
        <v>461.07</v>
      </c>
      <c r="O476" s="2">
        <v>3.0</v>
      </c>
      <c r="P476" s="2" t="s">
        <v>51</v>
      </c>
      <c r="Q476" s="2">
        <v>4.0</v>
      </c>
      <c r="R476" s="2">
        <v>54.0</v>
      </c>
      <c r="S476" s="3">
        <v>45357.0</v>
      </c>
      <c r="T476" s="2" t="s">
        <v>1974</v>
      </c>
      <c r="U476" s="2">
        <f t="shared" si="1"/>
        <v>3</v>
      </c>
      <c r="V476" s="2">
        <f t="shared" si="2"/>
        <v>12</v>
      </c>
      <c r="W476" s="2">
        <f t="shared" si="3"/>
        <v>1383.21</v>
      </c>
      <c r="X476" s="2">
        <f t="shared" si="4"/>
        <v>1437.21</v>
      </c>
      <c r="Y476" s="2">
        <f t="shared" si="5"/>
        <v>0</v>
      </c>
      <c r="Z476" s="2">
        <f t="shared" si="6"/>
        <v>1383.21</v>
      </c>
      <c r="AA476" s="2">
        <f t="shared" si="7"/>
        <v>1437.21</v>
      </c>
      <c r="AB476" s="2" t="str">
        <f t="shared" si="8"/>
        <v>Sunday</v>
      </c>
      <c r="AC476" s="2" t="str">
        <f t="shared" si="9"/>
        <v>Weekend</v>
      </c>
      <c r="AD476" s="2" t="str">
        <f t="shared" si="10"/>
        <v>angela.evans</v>
      </c>
      <c r="AE476" s="2" t="str">
        <f t="shared" si="11"/>
        <v>outlook</v>
      </c>
      <c r="AF476" s="2" t="str">
        <f t="shared" si="12"/>
        <v>Angela Evans</v>
      </c>
      <c r="AG476" s="2" t="str">
        <f t="shared" si="13"/>
        <v>Angela</v>
      </c>
      <c r="AH476" s="2" t="str">
        <f t="shared" si="14"/>
        <v>Evans</v>
      </c>
      <c r="AI476" s="2" t="str">
        <f t="shared" si="15"/>
        <v>Before Time</v>
      </c>
      <c r="AJ476" s="2" t="str">
        <f t="shared" si="16"/>
        <v>#NAME?</v>
      </c>
    </row>
    <row r="477" ht="14.25" customHeight="1">
      <c r="A477" s="2" t="s">
        <v>639</v>
      </c>
      <c r="B477" s="2" t="s">
        <v>640</v>
      </c>
      <c r="C477" s="2" t="s">
        <v>641</v>
      </c>
      <c r="D477" s="2">
        <v>45.0</v>
      </c>
      <c r="E477" s="2" t="s">
        <v>45</v>
      </c>
      <c r="F477" s="2" t="s">
        <v>83</v>
      </c>
      <c r="G477" s="2" t="s">
        <v>642</v>
      </c>
      <c r="H477" s="2" t="s">
        <v>2151</v>
      </c>
      <c r="I477" s="2" t="s">
        <v>643</v>
      </c>
      <c r="J477" s="2" t="s">
        <v>1975</v>
      </c>
      <c r="K477" s="3">
        <v>45327.0</v>
      </c>
      <c r="L477" s="2" t="s">
        <v>1976</v>
      </c>
      <c r="M477" s="2" t="s">
        <v>40</v>
      </c>
      <c r="N477" s="2">
        <v>166.28</v>
      </c>
      <c r="O477" s="2">
        <v>1.0</v>
      </c>
      <c r="P477" s="2" t="s">
        <v>56</v>
      </c>
      <c r="Q477" s="2">
        <v>2.0</v>
      </c>
      <c r="R477" s="2">
        <v>38.0</v>
      </c>
      <c r="S477" s="3">
        <v>45328.0</v>
      </c>
      <c r="T477" s="2" t="s">
        <v>1977</v>
      </c>
      <c r="U477" s="2">
        <f t="shared" si="1"/>
        <v>1</v>
      </c>
      <c r="V477" s="2">
        <f t="shared" si="2"/>
        <v>12</v>
      </c>
      <c r="W477" s="2">
        <f t="shared" si="3"/>
        <v>166.28</v>
      </c>
      <c r="X477" s="2">
        <f t="shared" si="4"/>
        <v>204.28</v>
      </c>
      <c r="Y477" s="2">
        <f t="shared" si="5"/>
        <v>0</v>
      </c>
      <c r="Z477" s="2">
        <f t="shared" si="6"/>
        <v>166.28</v>
      </c>
      <c r="AA477" s="2">
        <f t="shared" si="7"/>
        <v>166.28</v>
      </c>
      <c r="AB477" s="2" t="str">
        <f t="shared" si="8"/>
        <v>Monday</v>
      </c>
      <c r="AC477" s="2" t="str">
        <f t="shared" si="9"/>
        <v>Weekday</v>
      </c>
      <c r="AD477" s="2" t="str">
        <f t="shared" si="10"/>
        <v>beth.mason</v>
      </c>
      <c r="AE477" s="2" t="str">
        <f t="shared" si="11"/>
        <v>outlook</v>
      </c>
      <c r="AF477" s="2" t="str">
        <f t="shared" si="12"/>
        <v>Beth Mason</v>
      </c>
      <c r="AG477" s="2" t="str">
        <f t="shared" si="13"/>
        <v>Beth</v>
      </c>
      <c r="AH477" s="2" t="str">
        <f t="shared" si="14"/>
        <v>Mason</v>
      </c>
      <c r="AI477" s="2" t="str">
        <f t="shared" si="15"/>
        <v>Before Time</v>
      </c>
      <c r="AJ477" s="2" t="str">
        <f t="shared" si="16"/>
        <v>#NAME?</v>
      </c>
    </row>
    <row r="478" ht="14.25" customHeight="1">
      <c r="A478" s="2" t="s">
        <v>1925</v>
      </c>
      <c r="B478" s="2" t="s">
        <v>1926</v>
      </c>
      <c r="C478" s="2" t="s">
        <v>1927</v>
      </c>
      <c r="D478" s="2">
        <v>54.0</v>
      </c>
      <c r="E478" s="2" t="s">
        <v>34</v>
      </c>
      <c r="F478" s="2" t="s">
        <v>69</v>
      </c>
      <c r="G478" s="2" t="s">
        <v>1928</v>
      </c>
      <c r="H478" s="2" t="s">
        <v>2184</v>
      </c>
      <c r="I478" s="2" t="s">
        <v>1929</v>
      </c>
      <c r="J478" s="2" t="s">
        <v>1978</v>
      </c>
      <c r="K478" s="3">
        <v>45353.0</v>
      </c>
      <c r="L478" s="2" t="s">
        <v>1979</v>
      </c>
      <c r="M478" s="2" t="s">
        <v>566</v>
      </c>
      <c r="N478" s="2">
        <v>477.52</v>
      </c>
      <c r="O478" s="2">
        <v>4.0</v>
      </c>
      <c r="P478" s="2" t="s">
        <v>89</v>
      </c>
      <c r="Q478" s="2">
        <v>3.0</v>
      </c>
      <c r="R478" s="2">
        <v>54.0</v>
      </c>
      <c r="S478" s="3">
        <v>45354.0</v>
      </c>
      <c r="T478" s="2" t="s">
        <v>1980</v>
      </c>
      <c r="U478" s="2">
        <f t="shared" si="1"/>
        <v>1</v>
      </c>
      <c r="V478" s="2">
        <f t="shared" si="2"/>
        <v>13</v>
      </c>
      <c r="W478" s="2">
        <f t="shared" si="3"/>
        <v>1910.08</v>
      </c>
      <c r="X478" s="2">
        <f t="shared" si="4"/>
        <v>1964.08</v>
      </c>
      <c r="Y478" s="2">
        <f t="shared" si="5"/>
        <v>0</v>
      </c>
      <c r="Z478" s="2">
        <f t="shared" si="6"/>
        <v>1910.08</v>
      </c>
      <c r="AA478" s="2">
        <f t="shared" si="7"/>
        <v>1964.08</v>
      </c>
      <c r="AB478" s="2" t="str">
        <f t="shared" si="8"/>
        <v>Saturday</v>
      </c>
      <c r="AC478" s="2" t="str">
        <f t="shared" si="9"/>
        <v>Weekend</v>
      </c>
      <c r="AD478" s="2" t="str">
        <f t="shared" si="10"/>
        <v>diana.french</v>
      </c>
      <c r="AE478" s="2" t="str">
        <f t="shared" si="11"/>
        <v>outlook</v>
      </c>
      <c r="AF478" s="2" t="str">
        <f t="shared" si="12"/>
        <v>Diana French</v>
      </c>
      <c r="AG478" s="2" t="str">
        <f t="shared" si="13"/>
        <v>Diana</v>
      </c>
      <c r="AH478" s="2" t="str">
        <f t="shared" si="14"/>
        <v>French</v>
      </c>
      <c r="AI478" s="2" t="str">
        <f t="shared" si="15"/>
        <v>Before Time</v>
      </c>
      <c r="AJ478" s="2" t="str">
        <f t="shared" si="16"/>
        <v>#NAME?</v>
      </c>
    </row>
    <row r="479" ht="14.25" customHeight="1">
      <c r="A479" s="2" t="s">
        <v>394</v>
      </c>
      <c r="B479" s="2" t="s">
        <v>395</v>
      </c>
      <c r="C479" s="2" t="s">
        <v>396</v>
      </c>
      <c r="D479" s="2">
        <v>70.0</v>
      </c>
      <c r="E479" s="2" t="s">
        <v>22</v>
      </c>
      <c r="F479" s="2" t="s">
        <v>23</v>
      </c>
      <c r="G479" s="2" t="s">
        <v>397</v>
      </c>
      <c r="H479" s="2" t="s">
        <v>2129</v>
      </c>
      <c r="I479" s="2" t="s">
        <v>398</v>
      </c>
      <c r="J479" s="2" t="s">
        <v>1981</v>
      </c>
      <c r="K479" s="3">
        <v>45392.0</v>
      </c>
      <c r="L479" s="2" t="s">
        <v>481</v>
      </c>
      <c r="M479" s="2" t="s">
        <v>566</v>
      </c>
      <c r="N479" s="2">
        <v>477.52</v>
      </c>
      <c r="O479" s="2">
        <v>5.0</v>
      </c>
      <c r="P479" s="2" t="s">
        <v>89</v>
      </c>
      <c r="Q479" s="2">
        <v>7.0</v>
      </c>
      <c r="R479" s="2">
        <v>53.0</v>
      </c>
      <c r="S479" s="3">
        <v>45394.0</v>
      </c>
      <c r="T479" s="2" t="s">
        <v>1982</v>
      </c>
      <c r="U479" s="2">
        <f t="shared" si="1"/>
        <v>2</v>
      </c>
      <c r="V479" s="2">
        <f t="shared" si="2"/>
        <v>18</v>
      </c>
      <c r="W479" s="2">
        <f t="shared" si="3"/>
        <v>2387.6</v>
      </c>
      <c r="X479" s="2">
        <f t="shared" si="4"/>
        <v>2440.6</v>
      </c>
      <c r="Y479" s="2">
        <f t="shared" si="5"/>
        <v>0</v>
      </c>
      <c r="Z479" s="2">
        <f t="shared" si="6"/>
        <v>2387.6</v>
      </c>
      <c r="AA479" s="2">
        <f t="shared" si="7"/>
        <v>2440.6</v>
      </c>
      <c r="AB479" s="2" t="str">
        <f t="shared" si="8"/>
        <v>Wednesday</v>
      </c>
      <c r="AC479" s="2" t="str">
        <f t="shared" si="9"/>
        <v>Weekday</v>
      </c>
      <c r="AD479" s="2" t="str">
        <f t="shared" si="10"/>
        <v>alexandra.smith</v>
      </c>
      <c r="AE479" s="2" t="str">
        <f t="shared" si="11"/>
        <v>rediffmail</v>
      </c>
      <c r="AF479" s="2" t="str">
        <f t="shared" si="12"/>
        <v>Alexandra Smith</v>
      </c>
      <c r="AG479" s="2" t="str">
        <f t="shared" si="13"/>
        <v>Alexandra</v>
      </c>
      <c r="AH479" s="2" t="str">
        <f t="shared" si="14"/>
        <v>Smith</v>
      </c>
      <c r="AI479" s="2" t="str">
        <f t="shared" si="15"/>
        <v>Before Time</v>
      </c>
      <c r="AJ479" s="2" t="str">
        <f t="shared" si="16"/>
        <v>#NAME?</v>
      </c>
    </row>
    <row r="480" ht="14.25" customHeight="1">
      <c r="A480" s="2" t="s">
        <v>1899</v>
      </c>
      <c r="B480" s="2" t="s">
        <v>1900</v>
      </c>
      <c r="C480" s="2" t="s">
        <v>1901</v>
      </c>
      <c r="D480" s="2">
        <v>43.0</v>
      </c>
      <c r="E480" s="2" t="s">
        <v>22</v>
      </c>
      <c r="F480" s="2" t="s">
        <v>35</v>
      </c>
      <c r="G480" s="2" t="s">
        <v>1902</v>
      </c>
      <c r="H480" s="2" t="s">
        <v>2191</v>
      </c>
      <c r="I480" s="2" t="s">
        <v>1903</v>
      </c>
      <c r="J480" s="2" t="s">
        <v>1983</v>
      </c>
      <c r="K480" s="3">
        <v>45259.0</v>
      </c>
      <c r="L480" s="2" t="s">
        <v>1984</v>
      </c>
      <c r="M480" s="2" t="s">
        <v>284</v>
      </c>
      <c r="N480" s="2">
        <v>158.53</v>
      </c>
      <c r="O480" s="2">
        <v>2.0</v>
      </c>
      <c r="P480" s="2" t="s">
        <v>56</v>
      </c>
      <c r="Q480" s="2">
        <v>5.0</v>
      </c>
      <c r="R480" s="2">
        <v>69.0</v>
      </c>
      <c r="S480" s="3">
        <v>45261.0</v>
      </c>
      <c r="T480" s="2" t="s">
        <v>1985</v>
      </c>
      <c r="U480" s="2">
        <f t="shared" si="1"/>
        <v>2</v>
      </c>
      <c r="V480" s="2">
        <f t="shared" si="2"/>
        <v>14</v>
      </c>
      <c r="W480" s="2">
        <f t="shared" si="3"/>
        <v>317.06</v>
      </c>
      <c r="X480" s="2">
        <f t="shared" si="4"/>
        <v>386.06</v>
      </c>
      <c r="Y480" s="2">
        <f t="shared" si="5"/>
        <v>0</v>
      </c>
      <c r="Z480" s="2">
        <f t="shared" si="6"/>
        <v>317.06</v>
      </c>
      <c r="AA480" s="2">
        <f t="shared" si="7"/>
        <v>317.06</v>
      </c>
      <c r="AB480" s="2" t="str">
        <f t="shared" si="8"/>
        <v>Wednesday</v>
      </c>
      <c r="AC480" s="2" t="str">
        <f t="shared" si="9"/>
        <v>Weekday</v>
      </c>
      <c r="AD480" s="2" t="str">
        <f t="shared" si="10"/>
        <v>janice.gordon</v>
      </c>
      <c r="AE480" s="2" t="str">
        <f t="shared" si="11"/>
        <v>yahoo</v>
      </c>
      <c r="AF480" s="2" t="str">
        <f t="shared" si="12"/>
        <v>Janice Gordon</v>
      </c>
      <c r="AG480" s="2" t="str">
        <f t="shared" si="13"/>
        <v>Janice</v>
      </c>
      <c r="AH480" s="2" t="str">
        <f t="shared" si="14"/>
        <v>Gordon</v>
      </c>
      <c r="AI480" s="2" t="str">
        <f t="shared" si="15"/>
        <v>Before Time</v>
      </c>
      <c r="AJ480" s="2" t="str">
        <f t="shared" si="16"/>
        <v>#NAME?</v>
      </c>
    </row>
    <row r="481" ht="14.25" customHeight="1">
      <c r="A481" s="2" t="s">
        <v>194</v>
      </c>
      <c r="B481" s="2" t="s">
        <v>195</v>
      </c>
      <c r="C481" s="2" t="s">
        <v>196</v>
      </c>
      <c r="D481" s="2">
        <v>23.0</v>
      </c>
      <c r="E481" s="2" t="s">
        <v>22</v>
      </c>
      <c r="F481" s="2" t="s">
        <v>83</v>
      </c>
      <c r="G481" s="2" t="s">
        <v>197</v>
      </c>
      <c r="H481" s="2" t="s">
        <v>2109</v>
      </c>
      <c r="I481" s="2" t="s">
        <v>198</v>
      </c>
      <c r="J481" s="2" t="s">
        <v>1986</v>
      </c>
      <c r="K481" s="3">
        <v>45373.0</v>
      </c>
      <c r="L481" s="2" t="s">
        <v>1987</v>
      </c>
      <c r="M481" s="2" t="s">
        <v>55</v>
      </c>
      <c r="N481" s="2">
        <v>405.0</v>
      </c>
      <c r="O481" s="2">
        <v>3.0</v>
      </c>
      <c r="P481" s="2" t="s">
        <v>89</v>
      </c>
      <c r="Q481" s="2">
        <v>5.0</v>
      </c>
      <c r="R481" s="2">
        <v>54.0</v>
      </c>
      <c r="S481" s="3">
        <v>45379.0</v>
      </c>
      <c r="T481" s="2" t="s">
        <v>1988</v>
      </c>
      <c r="U481" s="2">
        <f t="shared" si="1"/>
        <v>6</v>
      </c>
      <c r="V481" s="2">
        <f t="shared" si="2"/>
        <v>0</v>
      </c>
      <c r="W481" s="2">
        <f t="shared" si="3"/>
        <v>1215</v>
      </c>
      <c r="X481" s="2">
        <f t="shared" si="4"/>
        <v>1269</v>
      </c>
      <c r="Y481" s="2">
        <f t="shared" si="5"/>
        <v>0</v>
      </c>
      <c r="Z481" s="2">
        <f t="shared" si="6"/>
        <v>1215</v>
      </c>
      <c r="AA481" s="2">
        <f t="shared" si="7"/>
        <v>1269</v>
      </c>
      <c r="AB481" s="2" t="str">
        <f t="shared" si="8"/>
        <v>Friday</v>
      </c>
      <c r="AC481" s="2" t="str">
        <f t="shared" si="9"/>
        <v>Weekday</v>
      </c>
      <c r="AD481" s="2" t="str">
        <f t="shared" si="10"/>
        <v>deborah.bates</v>
      </c>
      <c r="AE481" s="2" t="str">
        <f t="shared" si="11"/>
        <v>yahoo</v>
      </c>
      <c r="AF481" s="2" t="str">
        <f t="shared" si="12"/>
        <v>Deborah Bates</v>
      </c>
      <c r="AG481" s="2" t="str">
        <f t="shared" si="13"/>
        <v>Deborah</v>
      </c>
      <c r="AH481" s="2" t="str">
        <f t="shared" si="14"/>
        <v>Bates</v>
      </c>
      <c r="AI481" s="2" t="str">
        <f t="shared" si="15"/>
        <v>Late</v>
      </c>
      <c r="AJ481" s="2" t="str">
        <f t="shared" si="16"/>
        <v>#NAME?</v>
      </c>
    </row>
    <row r="482" ht="14.25" customHeight="1">
      <c r="A482" s="2" t="s">
        <v>459</v>
      </c>
      <c r="B482" s="2" t="s">
        <v>460</v>
      </c>
      <c r="C482" s="2" t="s">
        <v>461</v>
      </c>
      <c r="D482" s="2">
        <v>18.0</v>
      </c>
      <c r="E482" s="2" t="s">
        <v>34</v>
      </c>
      <c r="F482" s="2" t="s">
        <v>35</v>
      </c>
      <c r="G482" s="2" t="s">
        <v>462</v>
      </c>
      <c r="H482" s="2" t="s">
        <v>2136</v>
      </c>
      <c r="I482" s="2" t="s">
        <v>463</v>
      </c>
      <c r="J482" s="2" t="s">
        <v>1989</v>
      </c>
      <c r="K482" s="3">
        <v>45380.0</v>
      </c>
      <c r="L482" s="2" t="s">
        <v>1990</v>
      </c>
      <c r="M482" s="2" t="s">
        <v>934</v>
      </c>
      <c r="N482" s="2">
        <v>107.47</v>
      </c>
      <c r="O482" s="2">
        <v>4.0</v>
      </c>
      <c r="P482" s="2" t="s">
        <v>89</v>
      </c>
      <c r="Q482" s="2">
        <v>3.0</v>
      </c>
      <c r="R482" s="2">
        <v>65.0</v>
      </c>
      <c r="S482" s="3">
        <v>45385.0</v>
      </c>
      <c r="T482" s="2" t="s">
        <v>1991</v>
      </c>
      <c r="U482" s="2">
        <f t="shared" si="1"/>
        <v>5</v>
      </c>
      <c r="V482" s="2">
        <f t="shared" si="2"/>
        <v>5</v>
      </c>
      <c r="W482" s="2">
        <f t="shared" si="3"/>
        <v>429.88</v>
      </c>
      <c r="X482" s="2">
        <f t="shared" si="4"/>
        <v>494.88</v>
      </c>
      <c r="Y482" s="2">
        <f t="shared" si="5"/>
        <v>0</v>
      </c>
      <c r="Z482" s="2">
        <f t="shared" si="6"/>
        <v>429.88</v>
      </c>
      <c r="AA482" s="2">
        <f t="shared" si="7"/>
        <v>494.88</v>
      </c>
      <c r="AB482" s="2" t="str">
        <f t="shared" si="8"/>
        <v>Friday</v>
      </c>
      <c r="AC482" s="2" t="str">
        <f t="shared" si="9"/>
        <v>Weekday</v>
      </c>
      <c r="AD482" s="2" t="str">
        <f t="shared" si="10"/>
        <v>lori.cook</v>
      </c>
      <c r="AE482" s="2" t="str">
        <f t="shared" si="11"/>
        <v>rediffmail</v>
      </c>
      <c r="AF482" s="2" t="str">
        <f t="shared" si="12"/>
        <v>Lori Cook</v>
      </c>
      <c r="AG482" s="2" t="str">
        <f t="shared" si="13"/>
        <v>Lori</v>
      </c>
      <c r="AH482" s="2" t="str">
        <f t="shared" si="14"/>
        <v>Cook</v>
      </c>
      <c r="AI482" s="2" t="str">
        <f t="shared" si="15"/>
        <v>Late</v>
      </c>
      <c r="AJ482" s="2" t="str">
        <f t="shared" si="16"/>
        <v>#NAME?</v>
      </c>
    </row>
    <row r="483" ht="14.25" customHeight="1">
      <c r="A483" s="2" t="s">
        <v>476</v>
      </c>
      <c r="B483" s="2" t="s">
        <v>477</v>
      </c>
      <c r="C483" s="2" t="s">
        <v>123</v>
      </c>
      <c r="D483" s="2">
        <v>68.0</v>
      </c>
      <c r="E483" s="2" t="s">
        <v>45</v>
      </c>
      <c r="F483" s="2" t="s">
        <v>213</v>
      </c>
      <c r="G483" s="2" t="s">
        <v>478</v>
      </c>
      <c r="H483" s="2" t="s">
        <v>2138</v>
      </c>
      <c r="I483" s="2" t="s">
        <v>479</v>
      </c>
      <c r="J483" s="2" t="s">
        <v>1992</v>
      </c>
      <c r="K483" s="3">
        <v>45072.0</v>
      </c>
      <c r="L483" s="2" t="s">
        <v>1993</v>
      </c>
      <c r="M483" s="2" t="s">
        <v>243</v>
      </c>
      <c r="N483" s="2">
        <v>128.14</v>
      </c>
      <c r="O483" s="2">
        <v>3.0</v>
      </c>
      <c r="P483" s="2" t="s">
        <v>78</v>
      </c>
      <c r="Q483" s="2">
        <v>2.0</v>
      </c>
      <c r="R483" s="2">
        <v>59.0</v>
      </c>
      <c r="S483" s="3">
        <v>45076.0</v>
      </c>
      <c r="T483" s="2" t="s">
        <v>1994</v>
      </c>
      <c r="U483" s="2">
        <f t="shared" si="1"/>
        <v>4</v>
      </c>
      <c r="V483" s="2">
        <f t="shared" si="2"/>
        <v>16</v>
      </c>
      <c r="W483" s="2">
        <f t="shared" si="3"/>
        <v>384.42</v>
      </c>
      <c r="X483" s="2">
        <f t="shared" si="4"/>
        <v>443.42</v>
      </c>
      <c r="Y483" s="2">
        <f t="shared" si="5"/>
        <v>0</v>
      </c>
      <c r="Z483" s="2">
        <f t="shared" si="6"/>
        <v>384.42</v>
      </c>
      <c r="AA483" s="2">
        <f t="shared" si="7"/>
        <v>443.42</v>
      </c>
      <c r="AB483" s="2" t="str">
        <f t="shared" si="8"/>
        <v>Friday</v>
      </c>
      <c r="AC483" s="2" t="str">
        <f t="shared" si="9"/>
        <v>Weekday</v>
      </c>
      <c r="AD483" s="2" t="str">
        <f t="shared" si="10"/>
        <v>brittany.stewart</v>
      </c>
      <c r="AE483" s="2" t="str">
        <f t="shared" si="11"/>
        <v>gmail</v>
      </c>
      <c r="AF483" s="2" t="str">
        <f t="shared" si="12"/>
        <v>Brittany Stewart</v>
      </c>
      <c r="AG483" s="2" t="str">
        <f t="shared" si="13"/>
        <v>Brittany</v>
      </c>
      <c r="AH483" s="2" t="str">
        <f t="shared" si="14"/>
        <v>Stewart</v>
      </c>
      <c r="AI483" s="2" t="str">
        <f t="shared" si="15"/>
        <v>Late</v>
      </c>
      <c r="AJ483" s="2" t="str">
        <f t="shared" si="16"/>
        <v>#NAME?</v>
      </c>
    </row>
    <row r="484" ht="14.25" customHeight="1">
      <c r="A484" s="2" t="s">
        <v>177</v>
      </c>
      <c r="B484" s="2" t="s">
        <v>178</v>
      </c>
      <c r="C484" s="2" t="s">
        <v>179</v>
      </c>
      <c r="D484" s="2">
        <v>42.0</v>
      </c>
      <c r="E484" s="2" t="s">
        <v>34</v>
      </c>
      <c r="F484" s="2" t="s">
        <v>161</v>
      </c>
      <c r="G484" s="2" t="s">
        <v>180</v>
      </c>
      <c r="H484" s="2" t="s">
        <v>2107</v>
      </c>
      <c r="I484" s="2" t="s">
        <v>181</v>
      </c>
      <c r="J484" s="2" t="s">
        <v>1995</v>
      </c>
      <c r="K484" s="3">
        <v>45290.0</v>
      </c>
      <c r="L484" s="2" t="s">
        <v>1996</v>
      </c>
      <c r="M484" s="2" t="s">
        <v>192</v>
      </c>
      <c r="N484" s="2">
        <v>20.7</v>
      </c>
      <c r="O484" s="2">
        <v>1.0</v>
      </c>
      <c r="P484" s="2" t="s">
        <v>89</v>
      </c>
      <c r="Q484" s="2">
        <v>5.0</v>
      </c>
      <c r="R484" s="2">
        <v>55.0</v>
      </c>
      <c r="S484" s="3">
        <v>45291.0</v>
      </c>
      <c r="T484" s="2" t="s">
        <v>1997</v>
      </c>
      <c r="U484" s="2">
        <f t="shared" si="1"/>
        <v>1</v>
      </c>
      <c r="V484" s="2">
        <f t="shared" si="2"/>
        <v>8</v>
      </c>
      <c r="W484" s="2">
        <f t="shared" si="3"/>
        <v>20.7</v>
      </c>
      <c r="X484" s="2">
        <f t="shared" si="4"/>
        <v>75.7</v>
      </c>
      <c r="Y484" s="2">
        <f t="shared" si="5"/>
        <v>0</v>
      </c>
      <c r="Z484" s="2">
        <f t="shared" si="6"/>
        <v>20.7</v>
      </c>
      <c r="AA484" s="2">
        <f t="shared" si="7"/>
        <v>75.7</v>
      </c>
      <c r="AB484" s="2" t="str">
        <f t="shared" si="8"/>
        <v>Saturday</v>
      </c>
      <c r="AC484" s="2" t="str">
        <f t="shared" si="9"/>
        <v>Weekend</v>
      </c>
      <c r="AD484" s="2" t="str">
        <f t="shared" si="10"/>
        <v>mallory.mitchell</v>
      </c>
      <c r="AE484" s="2" t="str">
        <f t="shared" si="11"/>
        <v>yahoo</v>
      </c>
      <c r="AF484" s="2" t="str">
        <f t="shared" si="12"/>
        <v>Mallory Mitchell</v>
      </c>
      <c r="AG484" s="2" t="str">
        <f t="shared" si="13"/>
        <v>Mallory</v>
      </c>
      <c r="AH484" s="2" t="str">
        <f t="shared" si="14"/>
        <v>Mitchell</v>
      </c>
      <c r="AI484" s="2" t="str">
        <f t="shared" si="15"/>
        <v>Before Time</v>
      </c>
      <c r="AJ484" s="2" t="str">
        <f t="shared" si="16"/>
        <v>#NAME?</v>
      </c>
    </row>
    <row r="485" ht="14.25" customHeight="1">
      <c r="A485" s="2" t="s">
        <v>177</v>
      </c>
      <c r="B485" s="2" t="s">
        <v>178</v>
      </c>
      <c r="C485" s="2" t="s">
        <v>179</v>
      </c>
      <c r="D485" s="2">
        <v>42.0</v>
      </c>
      <c r="E485" s="2" t="s">
        <v>34</v>
      </c>
      <c r="F485" s="2" t="s">
        <v>161</v>
      </c>
      <c r="G485" s="2" t="s">
        <v>180</v>
      </c>
      <c r="H485" s="2" t="s">
        <v>2107</v>
      </c>
      <c r="I485" s="2" t="s">
        <v>181</v>
      </c>
      <c r="J485" s="2" t="s">
        <v>1998</v>
      </c>
      <c r="K485" s="3">
        <v>45128.0</v>
      </c>
      <c r="L485" s="2" t="s">
        <v>1999</v>
      </c>
      <c r="M485" s="2" t="s">
        <v>263</v>
      </c>
      <c r="N485" s="2">
        <v>62.42</v>
      </c>
      <c r="O485" s="2">
        <v>3.0</v>
      </c>
      <c r="P485" s="2" t="s">
        <v>29</v>
      </c>
      <c r="Q485" s="2">
        <v>6.0</v>
      </c>
      <c r="R485" s="2">
        <v>39.0</v>
      </c>
      <c r="S485" s="3">
        <v>45129.0</v>
      </c>
      <c r="T485" s="2" t="s">
        <v>2000</v>
      </c>
      <c r="U485" s="2">
        <f t="shared" si="1"/>
        <v>1</v>
      </c>
      <c r="V485" s="2">
        <f t="shared" si="2"/>
        <v>2</v>
      </c>
      <c r="W485" s="2">
        <f t="shared" si="3"/>
        <v>187.26</v>
      </c>
      <c r="X485" s="2">
        <f t="shared" si="4"/>
        <v>226.26</v>
      </c>
      <c r="Y485" s="2">
        <f t="shared" si="5"/>
        <v>0</v>
      </c>
      <c r="Z485" s="2">
        <f t="shared" si="6"/>
        <v>187.26</v>
      </c>
      <c r="AA485" s="2">
        <f t="shared" si="7"/>
        <v>226.26</v>
      </c>
      <c r="AB485" s="2" t="str">
        <f t="shared" si="8"/>
        <v>Friday</v>
      </c>
      <c r="AC485" s="2" t="str">
        <f t="shared" si="9"/>
        <v>Weekday</v>
      </c>
      <c r="AD485" s="2" t="str">
        <f t="shared" si="10"/>
        <v>mallory.mitchell</v>
      </c>
      <c r="AE485" s="2" t="str">
        <f t="shared" si="11"/>
        <v>yahoo</v>
      </c>
      <c r="AF485" s="2" t="str">
        <f t="shared" si="12"/>
        <v>Mallory Mitchell</v>
      </c>
      <c r="AG485" s="2" t="str">
        <f t="shared" si="13"/>
        <v>Mallory</v>
      </c>
      <c r="AH485" s="2" t="str">
        <f t="shared" si="14"/>
        <v>Mitchell</v>
      </c>
      <c r="AI485" s="2" t="str">
        <f t="shared" si="15"/>
        <v>Before Time</v>
      </c>
      <c r="AJ485" s="2" t="str">
        <f t="shared" si="16"/>
        <v>#NAME?</v>
      </c>
    </row>
    <row r="486" ht="14.25" customHeight="1">
      <c r="A486" s="2" t="s">
        <v>185</v>
      </c>
      <c r="B486" s="2" t="s">
        <v>186</v>
      </c>
      <c r="C486" s="2" t="s">
        <v>187</v>
      </c>
      <c r="D486" s="2">
        <v>34.0</v>
      </c>
      <c r="E486" s="2" t="s">
        <v>22</v>
      </c>
      <c r="F486" s="2" t="s">
        <v>83</v>
      </c>
      <c r="G486" s="2" t="s">
        <v>188</v>
      </c>
      <c r="H486" s="2" t="s">
        <v>2108</v>
      </c>
      <c r="I486" s="2" t="s">
        <v>189</v>
      </c>
      <c r="J486" s="2" t="s">
        <v>2001</v>
      </c>
      <c r="K486" s="3">
        <v>45283.0</v>
      </c>
      <c r="L486" s="2" t="s">
        <v>2002</v>
      </c>
      <c r="M486" s="2" t="s">
        <v>316</v>
      </c>
      <c r="N486" s="2">
        <v>481.48</v>
      </c>
      <c r="O486" s="2">
        <v>1.0</v>
      </c>
      <c r="P486" s="2" t="s">
        <v>29</v>
      </c>
      <c r="Q486" s="2">
        <v>5.0</v>
      </c>
      <c r="R486" s="2">
        <v>70.0</v>
      </c>
      <c r="S486" s="3">
        <v>45287.0</v>
      </c>
      <c r="T486" s="2" t="s">
        <v>2003</v>
      </c>
      <c r="U486" s="2">
        <f t="shared" si="1"/>
        <v>4</v>
      </c>
      <c r="V486" s="2">
        <f t="shared" si="2"/>
        <v>8</v>
      </c>
      <c r="W486" s="2">
        <f t="shared" si="3"/>
        <v>481.48</v>
      </c>
      <c r="X486" s="2">
        <f t="shared" si="4"/>
        <v>551.48</v>
      </c>
      <c r="Y486" s="2">
        <f t="shared" si="5"/>
        <v>0</v>
      </c>
      <c r="Z486" s="2">
        <f t="shared" si="6"/>
        <v>481.48</v>
      </c>
      <c r="AA486" s="2">
        <f t="shared" si="7"/>
        <v>551.48</v>
      </c>
      <c r="AB486" s="2" t="str">
        <f t="shared" si="8"/>
        <v>Saturday</v>
      </c>
      <c r="AC486" s="2" t="str">
        <f t="shared" si="9"/>
        <v>Weekend</v>
      </c>
      <c r="AD486" s="2" t="str">
        <f t="shared" si="10"/>
        <v>traci.jones</v>
      </c>
      <c r="AE486" s="2" t="str">
        <f t="shared" si="11"/>
        <v>yahoo</v>
      </c>
      <c r="AF486" s="2" t="str">
        <f t="shared" si="12"/>
        <v>Traci Jones</v>
      </c>
      <c r="AG486" s="2" t="str">
        <f t="shared" si="13"/>
        <v>Traci</v>
      </c>
      <c r="AH486" s="2" t="str">
        <f t="shared" si="14"/>
        <v>Jones</v>
      </c>
      <c r="AI486" s="2" t="str">
        <f t="shared" si="15"/>
        <v>Before Time</v>
      </c>
      <c r="AJ486" s="2" t="str">
        <f t="shared" si="16"/>
        <v>#NAME?</v>
      </c>
    </row>
    <row r="487" ht="14.25" customHeight="1">
      <c r="A487" s="2" t="s">
        <v>318</v>
      </c>
      <c r="B487" s="2" t="s">
        <v>319</v>
      </c>
      <c r="C487" s="2" t="s">
        <v>320</v>
      </c>
      <c r="D487" s="2">
        <v>29.0</v>
      </c>
      <c r="E487" s="2" t="s">
        <v>45</v>
      </c>
      <c r="F487" s="2" t="s">
        <v>83</v>
      </c>
      <c r="G487" s="2" t="s">
        <v>321</v>
      </c>
      <c r="H487" s="2" t="s">
        <v>2121</v>
      </c>
      <c r="I487" s="2" t="s">
        <v>322</v>
      </c>
      <c r="J487" s="2" t="s">
        <v>2004</v>
      </c>
      <c r="K487" s="3">
        <v>45633.0</v>
      </c>
      <c r="L487" s="2" t="s">
        <v>2005</v>
      </c>
      <c r="M487" s="2" t="s">
        <v>28</v>
      </c>
      <c r="N487" s="2">
        <v>308.88</v>
      </c>
      <c r="O487" s="2">
        <v>3.0</v>
      </c>
      <c r="P487" s="2" t="s">
        <v>78</v>
      </c>
      <c r="Q487" s="2">
        <v>5.0</v>
      </c>
      <c r="R487" s="2">
        <v>68.0</v>
      </c>
      <c r="S487" s="3">
        <v>45636.0</v>
      </c>
      <c r="T487" s="2" t="s">
        <v>2006</v>
      </c>
      <c r="U487" s="2">
        <f t="shared" si="1"/>
        <v>3</v>
      </c>
      <c r="V487" s="2">
        <f t="shared" si="2"/>
        <v>1</v>
      </c>
      <c r="W487" s="2">
        <f t="shared" si="3"/>
        <v>926.64</v>
      </c>
      <c r="X487" s="2">
        <f t="shared" si="4"/>
        <v>994.64</v>
      </c>
      <c r="Y487" s="2">
        <f t="shared" si="5"/>
        <v>0</v>
      </c>
      <c r="Z487" s="2">
        <f t="shared" si="6"/>
        <v>926.64</v>
      </c>
      <c r="AA487" s="2">
        <f t="shared" si="7"/>
        <v>994.64</v>
      </c>
      <c r="AB487" s="2" t="str">
        <f t="shared" si="8"/>
        <v>Saturday</v>
      </c>
      <c r="AC487" s="2" t="str">
        <f t="shared" si="9"/>
        <v>Weekend</v>
      </c>
      <c r="AD487" s="2" t="str">
        <f t="shared" si="10"/>
        <v>courtney.parker</v>
      </c>
      <c r="AE487" s="2" t="str">
        <f t="shared" si="11"/>
        <v>yahoo</v>
      </c>
      <c r="AF487" s="2" t="str">
        <f t="shared" si="12"/>
        <v>Courtney Parker</v>
      </c>
      <c r="AG487" s="2" t="str">
        <f t="shared" si="13"/>
        <v>Courtney</v>
      </c>
      <c r="AH487" s="2" t="str">
        <f t="shared" si="14"/>
        <v>Parker</v>
      </c>
      <c r="AI487" s="2" t="str">
        <f t="shared" si="15"/>
        <v>Before Time</v>
      </c>
      <c r="AJ487" s="2" t="str">
        <f t="shared" si="16"/>
        <v>#NAME?</v>
      </c>
    </row>
    <row r="488" ht="14.25" customHeight="1">
      <c r="A488" s="2" t="s">
        <v>1231</v>
      </c>
      <c r="B488" s="2" t="s">
        <v>1232</v>
      </c>
      <c r="C488" s="2" t="s">
        <v>1233</v>
      </c>
      <c r="D488" s="2">
        <v>55.0</v>
      </c>
      <c r="E488" s="2" t="s">
        <v>34</v>
      </c>
      <c r="F488" s="2" t="s">
        <v>152</v>
      </c>
      <c r="G488" s="2" t="s">
        <v>1234</v>
      </c>
      <c r="H488" s="2" t="s">
        <v>2178</v>
      </c>
      <c r="I488" s="2" t="s">
        <v>1235</v>
      </c>
      <c r="J488" s="2" t="s">
        <v>2007</v>
      </c>
      <c r="K488" s="3">
        <v>45356.0</v>
      </c>
      <c r="L488" s="2" t="s">
        <v>2008</v>
      </c>
      <c r="M488" s="2" t="s">
        <v>107</v>
      </c>
      <c r="N488" s="2">
        <v>48.45</v>
      </c>
      <c r="O488" s="2">
        <v>3.0</v>
      </c>
      <c r="P488" s="2" t="s">
        <v>78</v>
      </c>
      <c r="Q488" s="2">
        <v>6.0</v>
      </c>
      <c r="R488" s="2">
        <v>43.0</v>
      </c>
      <c r="S488" s="3">
        <v>45358.0</v>
      </c>
      <c r="T488" s="2" t="s">
        <v>2009</v>
      </c>
      <c r="U488" s="2">
        <f t="shared" si="1"/>
        <v>2</v>
      </c>
      <c r="V488" s="2">
        <f t="shared" si="2"/>
        <v>22</v>
      </c>
      <c r="W488" s="2">
        <f t="shared" si="3"/>
        <v>145.35</v>
      </c>
      <c r="X488" s="2">
        <f t="shared" si="4"/>
        <v>188.35</v>
      </c>
      <c r="Y488" s="2">
        <f t="shared" si="5"/>
        <v>0</v>
      </c>
      <c r="Z488" s="2">
        <f t="shared" si="6"/>
        <v>145.35</v>
      </c>
      <c r="AA488" s="2">
        <f t="shared" si="7"/>
        <v>188.35</v>
      </c>
      <c r="AB488" s="2" t="str">
        <f t="shared" si="8"/>
        <v>Tuesday</v>
      </c>
      <c r="AC488" s="2" t="str">
        <f t="shared" si="9"/>
        <v>Weekday</v>
      </c>
      <c r="AD488" s="2" t="str">
        <f t="shared" si="10"/>
        <v>hannah.gutierrez</v>
      </c>
      <c r="AE488" s="2" t="str">
        <f t="shared" si="11"/>
        <v>yahoo</v>
      </c>
      <c r="AF488" s="2" t="str">
        <f t="shared" si="12"/>
        <v>Hannah Gutierrez</v>
      </c>
      <c r="AG488" s="2" t="str">
        <f t="shared" si="13"/>
        <v>Hannah</v>
      </c>
      <c r="AH488" s="2" t="str">
        <f t="shared" si="14"/>
        <v>Gutierrez</v>
      </c>
      <c r="AI488" s="2" t="str">
        <f t="shared" si="15"/>
        <v>Before Time</v>
      </c>
      <c r="AJ488" s="2" t="str">
        <f t="shared" si="16"/>
        <v>#NAME?</v>
      </c>
    </row>
    <row r="489" ht="14.25" customHeight="1">
      <c r="A489" s="2" t="s">
        <v>121</v>
      </c>
      <c r="B489" s="2" t="s">
        <v>122</v>
      </c>
      <c r="C489" s="2" t="s">
        <v>123</v>
      </c>
      <c r="D489" s="2">
        <v>30.0</v>
      </c>
      <c r="E489" s="2" t="s">
        <v>34</v>
      </c>
      <c r="F489" s="2" t="s">
        <v>35</v>
      </c>
      <c r="G489" s="2" t="s">
        <v>124</v>
      </c>
      <c r="H489" s="2" t="s">
        <v>2101</v>
      </c>
      <c r="I489" s="2" t="s">
        <v>125</v>
      </c>
      <c r="J489" s="2" t="s">
        <v>2010</v>
      </c>
      <c r="K489" s="3">
        <v>45188.0</v>
      </c>
      <c r="L489" s="2" t="s">
        <v>2011</v>
      </c>
      <c r="M489" s="2" t="s">
        <v>934</v>
      </c>
      <c r="N489" s="2">
        <v>107.47</v>
      </c>
      <c r="O489" s="2">
        <v>4.0</v>
      </c>
      <c r="P489" s="2" t="s">
        <v>29</v>
      </c>
      <c r="Q489" s="2">
        <v>2.0</v>
      </c>
      <c r="R489" s="2">
        <v>35.0</v>
      </c>
      <c r="S489" s="3">
        <v>45191.0</v>
      </c>
      <c r="T489" s="2" t="s">
        <v>2012</v>
      </c>
      <c r="U489" s="2">
        <f t="shared" si="1"/>
        <v>3</v>
      </c>
      <c r="V489" s="2">
        <f t="shared" si="2"/>
        <v>7</v>
      </c>
      <c r="W489" s="2">
        <f t="shared" si="3"/>
        <v>429.88</v>
      </c>
      <c r="X489" s="2">
        <f t="shared" si="4"/>
        <v>464.88</v>
      </c>
      <c r="Y489" s="2">
        <f t="shared" si="5"/>
        <v>0</v>
      </c>
      <c r="Z489" s="2">
        <f t="shared" si="6"/>
        <v>429.88</v>
      </c>
      <c r="AA489" s="2">
        <f t="shared" si="7"/>
        <v>464.88</v>
      </c>
      <c r="AB489" s="2" t="str">
        <f t="shared" si="8"/>
        <v>Tuesday</v>
      </c>
      <c r="AC489" s="2" t="str">
        <f t="shared" si="9"/>
        <v>Weekday</v>
      </c>
      <c r="AD489" s="2" t="str">
        <f t="shared" si="10"/>
        <v>joseph.stewart</v>
      </c>
      <c r="AE489" s="2" t="str">
        <f t="shared" si="11"/>
        <v>yahoo</v>
      </c>
      <c r="AF489" s="2" t="str">
        <f t="shared" si="12"/>
        <v>Joseph Stewart</v>
      </c>
      <c r="AG489" s="2" t="str">
        <f t="shared" si="13"/>
        <v>Joseph</v>
      </c>
      <c r="AH489" s="2" t="str">
        <f t="shared" si="14"/>
        <v>Stewart</v>
      </c>
      <c r="AI489" s="2" t="str">
        <f t="shared" si="15"/>
        <v>Late</v>
      </c>
      <c r="AJ489" s="2" t="str">
        <f t="shared" si="16"/>
        <v>#NAME?</v>
      </c>
    </row>
    <row r="490" ht="14.25" customHeight="1">
      <c r="A490" s="2" t="s">
        <v>378</v>
      </c>
      <c r="B490" s="2" t="s">
        <v>379</v>
      </c>
      <c r="C490" s="2" t="s">
        <v>380</v>
      </c>
      <c r="D490" s="2">
        <v>47.0</v>
      </c>
      <c r="E490" s="2" t="s">
        <v>34</v>
      </c>
      <c r="F490" s="2" t="s">
        <v>83</v>
      </c>
      <c r="G490" s="2" t="s">
        <v>381</v>
      </c>
      <c r="H490" s="2" t="s">
        <v>2127</v>
      </c>
      <c r="I490" s="2" t="s">
        <v>382</v>
      </c>
      <c r="J490" s="2" t="s">
        <v>2013</v>
      </c>
      <c r="K490" s="3">
        <v>45681.0</v>
      </c>
      <c r="L490" s="2" t="s">
        <v>2014</v>
      </c>
      <c r="M490" s="2" t="s">
        <v>511</v>
      </c>
      <c r="N490" s="2">
        <v>441.03</v>
      </c>
      <c r="O490" s="2">
        <v>5.0</v>
      </c>
      <c r="P490" s="2" t="s">
        <v>29</v>
      </c>
      <c r="Q490" s="2">
        <v>5.0</v>
      </c>
      <c r="R490" s="2">
        <v>62.0</v>
      </c>
      <c r="S490" s="3">
        <v>45682.0</v>
      </c>
      <c r="T490" s="2" t="s">
        <v>2015</v>
      </c>
      <c r="U490" s="2">
        <f t="shared" si="1"/>
        <v>1</v>
      </c>
      <c r="V490" s="2">
        <f t="shared" si="2"/>
        <v>7</v>
      </c>
      <c r="W490" s="2">
        <f t="shared" si="3"/>
        <v>2205.15</v>
      </c>
      <c r="X490" s="2">
        <f t="shared" si="4"/>
        <v>2267.15</v>
      </c>
      <c r="Y490" s="2">
        <f t="shared" si="5"/>
        <v>0</v>
      </c>
      <c r="Z490" s="2">
        <f t="shared" si="6"/>
        <v>2205.15</v>
      </c>
      <c r="AA490" s="2">
        <f t="shared" si="7"/>
        <v>2267.15</v>
      </c>
      <c r="AB490" s="2" t="str">
        <f t="shared" si="8"/>
        <v>Friday</v>
      </c>
      <c r="AC490" s="2" t="str">
        <f t="shared" si="9"/>
        <v>Weekday</v>
      </c>
      <c r="AD490" s="2" t="str">
        <f t="shared" si="10"/>
        <v>aaron.thompson</v>
      </c>
      <c r="AE490" s="2" t="str">
        <f t="shared" si="11"/>
        <v>gmail</v>
      </c>
      <c r="AF490" s="2" t="str">
        <f t="shared" si="12"/>
        <v>Aaron Thompson</v>
      </c>
      <c r="AG490" s="2" t="str">
        <f t="shared" si="13"/>
        <v>Aaron</v>
      </c>
      <c r="AH490" s="2" t="str">
        <f t="shared" si="14"/>
        <v>Thompson</v>
      </c>
      <c r="AI490" s="2" t="str">
        <f t="shared" si="15"/>
        <v>Before Time</v>
      </c>
      <c r="AJ490" s="2" t="str">
        <f t="shared" si="16"/>
        <v>#NAME?</v>
      </c>
    </row>
    <row r="491" ht="14.25" customHeight="1">
      <c r="A491" s="2" t="s">
        <v>568</v>
      </c>
      <c r="B491" s="2" t="s">
        <v>249</v>
      </c>
      <c r="C491" s="2" t="s">
        <v>569</v>
      </c>
      <c r="D491" s="2">
        <v>35.0</v>
      </c>
      <c r="E491" s="2" t="s">
        <v>22</v>
      </c>
      <c r="F491" s="2" t="s">
        <v>23</v>
      </c>
      <c r="G491" s="2" t="s">
        <v>570</v>
      </c>
      <c r="H491" s="2" t="s">
        <v>2146</v>
      </c>
      <c r="I491" s="2" t="s">
        <v>571</v>
      </c>
      <c r="J491" s="2" t="s">
        <v>2016</v>
      </c>
      <c r="K491" s="3">
        <v>45007.0</v>
      </c>
      <c r="L491" s="2" t="s">
        <v>2017</v>
      </c>
      <c r="M491" s="2" t="s">
        <v>977</v>
      </c>
      <c r="N491" s="2">
        <v>33.49</v>
      </c>
      <c r="O491" s="2">
        <v>4.0</v>
      </c>
      <c r="P491" s="2" t="s">
        <v>78</v>
      </c>
      <c r="Q491" s="2">
        <v>7.0</v>
      </c>
      <c r="R491" s="2">
        <v>54.0</v>
      </c>
      <c r="S491" s="3">
        <v>45008.0</v>
      </c>
      <c r="T491" s="2" t="s">
        <v>2018</v>
      </c>
      <c r="U491" s="2">
        <f t="shared" si="1"/>
        <v>1</v>
      </c>
      <c r="V491" s="2">
        <f t="shared" si="2"/>
        <v>18</v>
      </c>
      <c r="W491" s="2">
        <f t="shared" si="3"/>
        <v>133.96</v>
      </c>
      <c r="X491" s="2">
        <f t="shared" si="4"/>
        <v>187.96</v>
      </c>
      <c r="Y491" s="2">
        <f t="shared" si="5"/>
        <v>0</v>
      </c>
      <c r="Z491" s="2">
        <f t="shared" si="6"/>
        <v>133.96</v>
      </c>
      <c r="AA491" s="2">
        <f t="shared" si="7"/>
        <v>187.96</v>
      </c>
      <c r="AB491" s="2" t="str">
        <f t="shared" si="8"/>
        <v>Wednesday</v>
      </c>
      <c r="AC491" s="2" t="str">
        <f t="shared" si="9"/>
        <v>Weekday</v>
      </c>
      <c r="AD491" s="2" t="str">
        <f t="shared" si="10"/>
        <v>ashley.romero</v>
      </c>
      <c r="AE491" s="2" t="str">
        <f t="shared" si="11"/>
        <v>yahoo</v>
      </c>
      <c r="AF491" s="2" t="str">
        <f t="shared" si="12"/>
        <v>Ashley Romero</v>
      </c>
      <c r="AG491" s="2" t="str">
        <f t="shared" si="13"/>
        <v>Ashley</v>
      </c>
      <c r="AH491" s="2" t="str">
        <f t="shared" si="14"/>
        <v>Romero</v>
      </c>
      <c r="AI491" s="2" t="str">
        <f t="shared" si="15"/>
        <v>Before Time</v>
      </c>
      <c r="AJ491" s="2" t="str">
        <f t="shared" si="16"/>
        <v>#NAME?</v>
      </c>
    </row>
    <row r="492" ht="14.25" customHeight="1">
      <c r="A492" s="2" t="s">
        <v>698</v>
      </c>
      <c r="B492" s="2" t="s">
        <v>699</v>
      </c>
      <c r="C492" s="2" t="s">
        <v>700</v>
      </c>
      <c r="D492" s="2">
        <v>26.0</v>
      </c>
      <c r="E492" s="2" t="s">
        <v>45</v>
      </c>
      <c r="F492" s="2" t="s">
        <v>69</v>
      </c>
      <c r="G492" s="2" t="s">
        <v>701</v>
      </c>
      <c r="H492" s="2" t="s">
        <v>2155</v>
      </c>
      <c r="I492" s="2" t="s">
        <v>702</v>
      </c>
      <c r="J492" s="2" t="s">
        <v>2019</v>
      </c>
      <c r="K492" s="3">
        <v>45204.0</v>
      </c>
      <c r="L492" s="2" t="s">
        <v>2020</v>
      </c>
      <c r="M492" s="2" t="s">
        <v>977</v>
      </c>
      <c r="N492" s="2">
        <v>33.49</v>
      </c>
      <c r="O492" s="2">
        <v>1.0</v>
      </c>
      <c r="P492" s="2" t="s">
        <v>51</v>
      </c>
      <c r="Q492" s="2">
        <v>4.0</v>
      </c>
      <c r="R492" s="2">
        <v>44.0</v>
      </c>
      <c r="S492" s="3">
        <v>45206.0</v>
      </c>
      <c r="T492" s="2" t="s">
        <v>2021</v>
      </c>
      <c r="U492" s="2">
        <f t="shared" si="1"/>
        <v>2</v>
      </c>
      <c r="V492" s="2">
        <f t="shared" si="2"/>
        <v>3</v>
      </c>
      <c r="W492" s="2">
        <f t="shared" si="3"/>
        <v>33.49</v>
      </c>
      <c r="X492" s="2">
        <f t="shared" si="4"/>
        <v>77.49</v>
      </c>
      <c r="Y492" s="2">
        <f t="shared" si="5"/>
        <v>0</v>
      </c>
      <c r="Z492" s="2">
        <f t="shared" si="6"/>
        <v>33.49</v>
      </c>
      <c r="AA492" s="2">
        <f t="shared" si="7"/>
        <v>77.49</v>
      </c>
      <c r="AB492" s="2" t="str">
        <f t="shared" si="8"/>
        <v>Thursday</v>
      </c>
      <c r="AC492" s="2" t="str">
        <f t="shared" si="9"/>
        <v>Weekday</v>
      </c>
      <c r="AD492" s="2" t="str">
        <f t="shared" si="10"/>
        <v>gregory.lee</v>
      </c>
      <c r="AE492" s="2" t="str">
        <f t="shared" si="11"/>
        <v>rediffmail</v>
      </c>
      <c r="AF492" s="2" t="str">
        <f t="shared" si="12"/>
        <v>Gregory Lee</v>
      </c>
      <c r="AG492" s="2" t="str">
        <f t="shared" si="13"/>
        <v>Gregory</v>
      </c>
      <c r="AH492" s="2" t="str">
        <f t="shared" si="14"/>
        <v>Lee</v>
      </c>
      <c r="AI492" s="2" t="str">
        <f t="shared" si="15"/>
        <v>Before Time</v>
      </c>
      <c r="AJ492" s="2" t="str">
        <f t="shared" si="16"/>
        <v>#NAME?</v>
      </c>
    </row>
    <row r="493" ht="14.25" customHeight="1">
      <c r="A493" s="2" t="s">
        <v>476</v>
      </c>
      <c r="B493" s="2" t="s">
        <v>477</v>
      </c>
      <c r="C493" s="2" t="s">
        <v>123</v>
      </c>
      <c r="D493" s="2">
        <v>68.0</v>
      </c>
      <c r="E493" s="2" t="s">
        <v>45</v>
      </c>
      <c r="F493" s="2" t="s">
        <v>213</v>
      </c>
      <c r="G493" s="2" t="s">
        <v>478</v>
      </c>
      <c r="H493" s="2" t="s">
        <v>2138</v>
      </c>
      <c r="I493" s="2" t="s">
        <v>479</v>
      </c>
      <c r="J493" s="2" t="s">
        <v>2022</v>
      </c>
      <c r="K493" s="3">
        <v>45590.0</v>
      </c>
      <c r="L493" s="2" t="s">
        <v>2023</v>
      </c>
      <c r="M493" s="2" t="s">
        <v>263</v>
      </c>
      <c r="N493" s="2">
        <v>62.42</v>
      </c>
      <c r="O493" s="2">
        <v>4.0</v>
      </c>
      <c r="P493" s="2" t="s">
        <v>56</v>
      </c>
      <c r="Q493" s="2">
        <v>4.0</v>
      </c>
      <c r="R493" s="2">
        <v>37.0</v>
      </c>
      <c r="S493" s="3">
        <v>45597.0</v>
      </c>
      <c r="T493" s="2" t="s">
        <v>2024</v>
      </c>
      <c r="U493" s="2">
        <f t="shared" si="1"/>
        <v>7</v>
      </c>
      <c r="V493" s="2">
        <f t="shared" si="2"/>
        <v>20</v>
      </c>
      <c r="W493" s="2">
        <f t="shared" si="3"/>
        <v>249.68</v>
      </c>
      <c r="X493" s="2">
        <f t="shared" si="4"/>
        <v>286.68</v>
      </c>
      <c r="Y493" s="2">
        <f t="shared" si="5"/>
        <v>0</v>
      </c>
      <c r="Z493" s="2">
        <f t="shared" si="6"/>
        <v>249.68</v>
      </c>
      <c r="AA493" s="2">
        <f t="shared" si="7"/>
        <v>249.68</v>
      </c>
      <c r="AB493" s="2" t="str">
        <f t="shared" si="8"/>
        <v>Friday</v>
      </c>
      <c r="AC493" s="2" t="str">
        <f t="shared" si="9"/>
        <v>Weekday</v>
      </c>
      <c r="AD493" s="2" t="str">
        <f t="shared" si="10"/>
        <v>brittany.stewart</v>
      </c>
      <c r="AE493" s="2" t="str">
        <f t="shared" si="11"/>
        <v>gmail</v>
      </c>
      <c r="AF493" s="2" t="str">
        <f t="shared" si="12"/>
        <v>Brittany Stewart</v>
      </c>
      <c r="AG493" s="2" t="str">
        <f t="shared" si="13"/>
        <v>Brittany</v>
      </c>
      <c r="AH493" s="2" t="str">
        <f t="shared" si="14"/>
        <v>Stewart</v>
      </c>
      <c r="AI493" s="2" t="str">
        <f t="shared" si="15"/>
        <v>Late</v>
      </c>
      <c r="AJ493" s="2" t="str">
        <f t="shared" si="16"/>
        <v>#NAME?</v>
      </c>
    </row>
    <row r="494" ht="14.25" customHeight="1">
      <c r="A494" s="2" t="s">
        <v>351</v>
      </c>
      <c r="B494" s="2" t="s">
        <v>352</v>
      </c>
      <c r="C494" s="2" t="s">
        <v>353</v>
      </c>
      <c r="D494" s="2">
        <v>32.0</v>
      </c>
      <c r="E494" s="2" t="s">
        <v>34</v>
      </c>
      <c r="F494" s="2" t="s">
        <v>161</v>
      </c>
      <c r="G494" s="2" t="s">
        <v>354</v>
      </c>
      <c r="H494" s="2" t="s">
        <v>2124</v>
      </c>
      <c r="I494" s="2" t="s">
        <v>355</v>
      </c>
      <c r="J494" s="2" t="s">
        <v>2025</v>
      </c>
      <c r="K494" s="3">
        <v>45217.0</v>
      </c>
      <c r="L494" s="2" t="s">
        <v>2026</v>
      </c>
      <c r="M494" s="2" t="s">
        <v>301</v>
      </c>
      <c r="N494" s="2">
        <v>129.75</v>
      </c>
      <c r="O494" s="2">
        <v>1.0</v>
      </c>
      <c r="P494" s="2" t="s">
        <v>29</v>
      </c>
      <c r="Q494" s="2">
        <v>7.0</v>
      </c>
      <c r="R494" s="2">
        <v>56.0</v>
      </c>
      <c r="S494" s="3">
        <v>45219.0</v>
      </c>
      <c r="T494" s="2" t="s">
        <v>2027</v>
      </c>
      <c r="U494" s="2">
        <f t="shared" si="1"/>
        <v>2</v>
      </c>
      <c r="V494" s="2">
        <f t="shared" si="2"/>
        <v>8</v>
      </c>
      <c r="W494" s="2">
        <f t="shared" si="3"/>
        <v>129.75</v>
      </c>
      <c r="X494" s="2">
        <f t="shared" si="4"/>
        <v>185.75</v>
      </c>
      <c r="Y494" s="2">
        <f t="shared" si="5"/>
        <v>0</v>
      </c>
      <c r="Z494" s="2">
        <f t="shared" si="6"/>
        <v>129.75</v>
      </c>
      <c r="AA494" s="2">
        <f t="shared" si="7"/>
        <v>185.75</v>
      </c>
      <c r="AB494" s="2" t="str">
        <f t="shared" si="8"/>
        <v>Wednesday</v>
      </c>
      <c r="AC494" s="2" t="str">
        <f t="shared" si="9"/>
        <v>Weekday</v>
      </c>
      <c r="AD494" s="2" t="str">
        <f t="shared" si="10"/>
        <v>robert.castillo</v>
      </c>
      <c r="AE494" s="2" t="str">
        <f t="shared" si="11"/>
        <v>gmail</v>
      </c>
      <c r="AF494" s="2" t="str">
        <f t="shared" si="12"/>
        <v>Robert Castillo</v>
      </c>
      <c r="AG494" s="2" t="str">
        <f t="shared" si="13"/>
        <v>Robert</v>
      </c>
      <c r="AH494" s="2" t="str">
        <f t="shared" si="14"/>
        <v>Castillo</v>
      </c>
      <c r="AI494" s="2" t="str">
        <f t="shared" si="15"/>
        <v>Before Time</v>
      </c>
      <c r="AJ494" s="2" t="str">
        <f t="shared" si="16"/>
        <v>#NAME?</v>
      </c>
    </row>
    <row r="495" ht="14.25" customHeight="1">
      <c r="A495" s="2" t="s">
        <v>168</v>
      </c>
      <c r="B495" s="2" t="s">
        <v>169</v>
      </c>
      <c r="C495" s="2" t="s">
        <v>170</v>
      </c>
      <c r="D495" s="2">
        <v>36.0</v>
      </c>
      <c r="E495" s="2" t="s">
        <v>45</v>
      </c>
      <c r="F495" s="2" t="s">
        <v>133</v>
      </c>
      <c r="G495" s="2" t="s">
        <v>171</v>
      </c>
      <c r="H495" s="2" t="s">
        <v>2106</v>
      </c>
      <c r="I495" s="2" t="s">
        <v>172</v>
      </c>
      <c r="J495" s="2" t="s">
        <v>2028</v>
      </c>
      <c r="K495" s="3">
        <v>45182.0</v>
      </c>
      <c r="L495" s="2" t="s">
        <v>2029</v>
      </c>
      <c r="M495" s="2" t="s">
        <v>192</v>
      </c>
      <c r="N495" s="2">
        <v>20.7</v>
      </c>
      <c r="O495" s="2">
        <v>4.0</v>
      </c>
      <c r="P495" s="2" t="s">
        <v>78</v>
      </c>
      <c r="Q495" s="2">
        <v>1.0</v>
      </c>
      <c r="R495" s="2">
        <v>61.0</v>
      </c>
      <c r="S495" s="3">
        <v>45184.0</v>
      </c>
      <c r="T495" s="2" t="s">
        <v>2030</v>
      </c>
      <c r="U495" s="2">
        <f t="shared" si="1"/>
        <v>2</v>
      </c>
      <c r="V495" s="2">
        <f t="shared" si="2"/>
        <v>12</v>
      </c>
      <c r="W495" s="2">
        <f t="shared" si="3"/>
        <v>82.8</v>
      </c>
      <c r="X495" s="2">
        <f t="shared" si="4"/>
        <v>143.8</v>
      </c>
      <c r="Y495" s="2">
        <f t="shared" si="5"/>
        <v>0</v>
      </c>
      <c r="Z495" s="2">
        <f t="shared" si="6"/>
        <v>82.8</v>
      </c>
      <c r="AA495" s="2">
        <f t="shared" si="7"/>
        <v>143.8</v>
      </c>
      <c r="AB495" s="2" t="str">
        <f t="shared" si="8"/>
        <v>Wednesday</v>
      </c>
      <c r="AC495" s="2" t="str">
        <f t="shared" si="9"/>
        <v>Weekday</v>
      </c>
      <c r="AD495" s="2" t="str">
        <f t="shared" si="10"/>
        <v>gina.moreno</v>
      </c>
      <c r="AE495" s="2" t="str">
        <f t="shared" si="11"/>
        <v>rediffmail</v>
      </c>
      <c r="AF495" s="2" t="str">
        <f t="shared" si="12"/>
        <v>Gina Moreno</v>
      </c>
      <c r="AG495" s="2" t="str">
        <f t="shared" si="13"/>
        <v>Gina</v>
      </c>
      <c r="AH495" s="2" t="str">
        <f t="shared" si="14"/>
        <v>Moreno</v>
      </c>
      <c r="AI495" s="2" t="str">
        <f t="shared" si="15"/>
        <v>Late</v>
      </c>
      <c r="AJ495" s="2" t="str">
        <f t="shared" si="16"/>
        <v>#NAME?</v>
      </c>
    </row>
    <row r="496" ht="14.25" customHeight="1">
      <c r="A496" s="2" t="s">
        <v>130</v>
      </c>
      <c r="B496" s="2" t="s">
        <v>131</v>
      </c>
      <c r="C496" s="2" t="s">
        <v>132</v>
      </c>
      <c r="D496" s="2">
        <v>25.0</v>
      </c>
      <c r="E496" s="2" t="s">
        <v>45</v>
      </c>
      <c r="F496" s="2" t="s">
        <v>133</v>
      </c>
      <c r="G496" s="2" t="s">
        <v>134</v>
      </c>
      <c r="H496" s="2" t="s">
        <v>2102</v>
      </c>
      <c r="I496" s="2" t="s">
        <v>135</v>
      </c>
      <c r="J496" s="2" t="s">
        <v>2031</v>
      </c>
      <c r="K496" s="3">
        <v>45107.0</v>
      </c>
      <c r="L496" s="2" t="s">
        <v>2032</v>
      </c>
      <c r="M496" s="2" t="s">
        <v>147</v>
      </c>
      <c r="N496" s="2">
        <v>220.27</v>
      </c>
      <c r="O496" s="2">
        <v>3.0</v>
      </c>
      <c r="P496" s="2" t="s">
        <v>56</v>
      </c>
      <c r="Q496" s="2">
        <v>4.0</v>
      </c>
      <c r="R496" s="2">
        <v>50.0</v>
      </c>
      <c r="S496" s="3">
        <v>45108.0</v>
      </c>
      <c r="T496" s="2" t="s">
        <v>2033</v>
      </c>
      <c r="U496" s="2">
        <f t="shared" si="1"/>
        <v>1</v>
      </c>
      <c r="V496" s="2">
        <f t="shared" si="2"/>
        <v>10</v>
      </c>
      <c r="W496" s="2">
        <f t="shared" si="3"/>
        <v>660.81</v>
      </c>
      <c r="X496" s="2">
        <f t="shared" si="4"/>
        <v>710.81</v>
      </c>
      <c r="Y496" s="2">
        <f t="shared" si="5"/>
        <v>0</v>
      </c>
      <c r="Z496" s="2">
        <f t="shared" si="6"/>
        <v>660.81</v>
      </c>
      <c r="AA496" s="2">
        <f t="shared" si="7"/>
        <v>660.81</v>
      </c>
      <c r="AB496" s="2" t="str">
        <f t="shared" si="8"/>
        <v>Friday</v>
      </c>
      <c r="AC496" s="2" t="str">
        <f t="shared" si="9"/>
        <v>Weekday</v>
      </c>
      <c r="AD496" s="2" t="str">
        <f t="shared" si="10"/>
        <v>kara.brennan</v>
      </c>
      <c r="AE496" s="2" t="str">
        <f t="shared" si="11"/>
        <v>outlook</v>
      </c>
      <c r="AF496" s="2" t="str">
        <f t="shared" si="12"/>
        <v>Kara Brennan</v>
      </c>
      <c r="AG496" s="2" t="str">
        <f t="shared" si="13"/>
        <v>Kara</v>
      </c>
      <c r="AH496" s="2" t="str">
        <f t="shared" si="14"/>
        <v>Brennan</v>
      </c>
      <c r="AI496" s="2" t="str">
        <f t="shared" si="15"/>
        <v>Before Time</v>
      </c>
      <c r="AJ496" s="2" t="str">
        <f t="shared" si="16"/>
        <v>#NAME?</v>
      </c>
    </row>
    <row r="497" ht="14.25" customHeight="1">
      <c r="A497" s="2" t="s">
        <v>210</v>
      </c>
      <c r="B497" s="2" t="s">
        <v>211</v>
      </c>
      <c r="C497" s="2" t="s">
        <v>212</v>
      </c>
      <c r="D497" s="2">
        <v>33.0</v>
      </c>
      <c r="E497" s="2" t="s">
        <v>45</v>
      </c>
      <c r="F497" s="2" t="s">
        <v>213</v>
      </c>
      <c r="G497" s="2" t="s">
        <v>214</v>
      </c>
      <c r="H497" s="2" t="s">
        <v>2111</v>
      </c>
      <c r="I497" s="2" t="s">
        <v>215</v>
      </c>
      <c r="J497" s="2" t="s">
        <v>2034</v>
      </c>
      <c r="K497" s="3">
        <v>45032.0</v>
      </c>
      <c r="L497" s="2" t="s">
        <v>2035</v>
      </c>
      <c r="M497" s="2" t="s">
        <v>646</v>
      </c>
      <c r="N497" s="2">
        <v>433.62</v>
      </c>
      <c r="O497" s="2">
        <v>2.0</v>
      </c>
      <c r="P497" s="2" t="s">
        <v>29</v>
      </c>
      <c r="Q497" s="2">
        <v>7.0</v>
      </c>
      <c r="R497" s="2">
        <v>56.0</v>
      </c>
      <c r="S497" s="3">
        <v>45039.0</v>
      </c>
      <c r="T497" s="2" t="s">
        <v>2036</v>
      </c>
      <c r="U497" s="2">
        <f t="shared" si="1"/>
        <v>7</v>
      </c>
      <c r="V497" s="2">
        <f t="shared" si="2"/>
        <v>12</v>
      </c>
      <c r="W497" s="2">
        <f t="shared" si="3"/>
        <v>867.24</v>
      </c>
      <c r="X497" s="2">
        <f t="shared" si="4"/>
        <v>923.24</v>
      </c>
      <c r="Y497" s="2">
        <f t="shared" si="5"/>
        <v>0</v>
      </c>
      <c r="Z497" s="2">
        <f t="shared" si="6"/>
        <v>867.24</v>
      </c>
      <c r="AA497" s="2">
        <f t="shared" si="7"/>
        <v>923.24</v>
      </c>
      <c r="AB497" s="2" t="str">
        <f t="shared" si="8"/>
        <v>Sunday</v>
      </c>
      <c r="AC497" s="2" t="str">
        <f t="shared" si="9"/>
        <v>Weekend</v>
      </c>
      <c r="AD497" s="2" t="str">
        <f t="shared" si="10"/>
        <v>mark.henderson</v>
      </c>
      <c r="AE497" s="2" t="str">
        <f t="shared" si="11"/>
        <v>yahoo</v>
      </c>
      <c r="AF497" s="2" t="str">
        <f t="shared" si="12"/>
        <v>Mark Henderson</v>
      </c>
      <c r="AG497" s="2" t="str">
        <f t="shared" si="13"/>
        <v>Mark</v>
      </c>
      <c r="AH497" s="2" t="str">
        <f t="shared" si="14"/>
        <v>Henderson</v>
      </c>
      <c r="AI497" s="2" t="str">
        <f t="shared" si="15"/>
        <v>InTime</v>
      </c>
      <c r="AJ497" s="2" t="str">
        <f t="shared" si="16"/>
        <v>#NAME?</v>
      </c>
    </row>
    <row r="498" ht="14.25" customHeight="1">
      <c r="A498" s="2" t="s">
        <v>1720</v>
      </c>
      <c r="B498" s="2" t="s">
        <v>1721</v>
      </c>
      <c r="C498" s="2" t="s">
        <v>361</v>
      </c>
      <c r="D498" s="2">
        <v>34.0</v>
      </c>
      <c r="E498" s="2" t="s">
        <v>45</v>
      </c>
      <c r="F498" s="2" t="s">
        <v>152</v>
      </c>
      <c r="G498" s="2" t="s">
        <v>1722</v>
      </c>
      <c r="H498" s="2" t="s">
        <v>2187</v>
      </c>
      <c r="I498" s="2" t="s">
        <v>1723</v>
      </c>
      <c r="J498" s="2" t="s">
        <v>2037</v>
      </c>
      <c r="K498" s="3">
        <v>45490.0</v>
      </c>
      <c r="L498" s="2" t="s">
        <v>2038</v>
      </c>
      <c r="M498" s="2" t="s">
        <v>243</v>
      </c>
      <c r="N498" s="2">
        <v>128.14</v>
      </c>
      <c r="O498" s="2">
        <v>3.0</v>
      </c>
      <c r="P498" s="2" t="s">
        <v>29</v>
      </c>
      <c r="Q498" s="2">
        <v>5.0</v>
      </c>
      <c r="R498" s="2">
        <v>49.0</v>
      </c>
      <c r="S498" s="3">
        <v>45495.0</v>
      </c>
      <c r="T498" s="2" t="s">
        <v>2039</v>
      </c>
      <c r="U498" s="2">
        <f t="shared" si="1"/>
        <v>5</v>
      </c>
      <c r="V498" s="2">
        <f t="shared" si="2"/>
        <v>1</v>
      </c>
      <c r="W498" s="2">
        <f t="shared" si="3"/>
        <v>384.42</v>
      </c>
      <c r="X498" s="2">
        <f t="shared" si="4"/>
        <v>433.42</v>
      </c>
      <c r="Y498" s="2">
        <f t="shared" si="5"/>
        <v>0</v>
      </c>
      <c r="Z498" s="2">
        <f t="shared" si="6"/>
        <v>384.42</v>
      </c>
      <c r="AA498" s="2">
        <f t="shared" si="7"/>
        <v>433.42</v>
      </c>
      <c r="AB498" s="2" t="str">
        <f t="shared" si="8"/>
        <v>Wednesday</v>
      </c>
      <c r="AC498" s="2" t="str">
        <f t="shared" si="9"/>
        <v>Weekday</v>
      </c>
      <c r="AD498" s="2" t="str">
        <f t="shared" si="10"/>
        <v>katie.hicks</v>
      </c>
      <c r="AE498" s="2" t="str">
        <f t="shared" si="11"/>
        <v>rediffmail</v>
      </c>
      <c r="AF498" s="2" t="str">
        <f t="shared" si="12"/>
        <v>Katie Hicks</v>
      </c>
      <c r="AG498" s="2" t="str">
        <f t="shared" si="13"/>
        <v>Katie</v>
      </c>
      <c r="AH498" s="2" t="str">
        <f t="shared" si="14"/>
        <v>Hicks</v>
      </c>
      <c r="AI498" s="2" t="str">
        <f t="shared" si="15"/>
        <v>InTime</v>
      </c>
      <c r="AJ498" s="2" t="str">
        <f t="shared" si="16"/>
        <v>#NAME?</v>
      </c>
    </row>
    <row r="499" ht="14.25" customHeight="1">
      <c r="A499" s="2" t="s">
        <v>1925</v>
      </c>
      <c r="B499" s="2" t="s">
        <v>1926</v>
      </c>
      <c r="C499" s="2" t="s">
        <v>1927</v>
      </c>
      <c r="D499" s="2">
        <v>54.0</v>
      </c>
      <c r="E499" s="2" t="s">
        <v>34</v>
      </c>
      <c r="F499" s="2" t="s">
        <v>69</v>
      </c>
      <c r="G499" s="2" t="s">
        <v>1928</v>
      </c>
      <c r="H499" s="2" t="s">
        <v>2184</v>
      </c>
      <c r="I499" s="2" t="s">
        <v>1929</v>
      </c>
      <c r="J499" s="2" t="s">
        <v>2040</v>
      </c>
      <c r="K499" s="3">
        <v>45381.0</v>
      </c>
      <c r="L499" s="2" t="s">
        <v>2041</v>
      </c>
      <c r="M499" s="2" t="s">
        <v>166</v>
      </c>
      <c r="N499" s="2">
        <v>272.51</v>
      </c>
      <c r="O499" s="2">
        <v>5.0</v>
      </c>
      <c r="P499" s="2" t="s">
        <v>56</v>
      </c>
      <c r="Q499" s="2">
        <v>3.0</v>
      </c>
      <c r="R499" s="2">
        <v>66.0</v>
      </c>
      <c r="S499" s="3">
        <v>45388.0</v>
      </c>
      <c r="T499" s="2" t="s">
        <v>2042</v>
      </c>
      <c r="U499" s="2">
        <f t="shared" si="1"/>
        <v>7</v>
      </c>
      <c r="V499" s="2">
        <f t="shared" si="2"/>
        <v>9</v>
      </c>
      <c r="W499" s="2">
        <f t="shared" si="3"/>
        <v>1362.55</v>
      </c>
      <c r="X499" s="2">
        <f t="shared" si="4"/>
        <v>1428.55</v>
      </c>
      <c r="Y499" s="2">
        <f t="shared" si="5"/>
        <v>0</v>
      </c>
      <c r="Z499" s="2">
        <f t="shared" si="6"/>
        <v>1362.55</v>
      </c>
      <c r="AA499" s="2">
        <f t="shared" si="7"/>
        <v>1362.55</v>
      </c>
      <c r="AB499" s="2" t="str">
        <f t="shared" si="8"/>
        <v>Saturday</v>
      </c>
      <c r="AC499" s="2" t="str">
        <f t="shared" si="9"/>
        <v>Weekend</v>
      </c>
      <c r="AD499" s="2" t="str">
        <f t="shared" si="10"/>
        <v>diana.french</v>
      </c>
      <c r="AE499" s="2" t="str">
        <f t="shared" si="11"/>
        <v>outlook</v>
      </c>
      <c r="AF499" s="2" t="str">
        <f t="shared" si="12"/>
        <v>Diana French</v>
      </c>
      <c r="AG499" s="2" t="str">
        <f t="shared" si="13"/>
        <v>Diana</v>
      </c>
      <c r="AH499" s="2" t="str">
        <f t="shared" si="14"/>
        <v>French</v>
      </c>
      <c r="AI499" s="2" t="str">
        <f t="shared" si="15"/>
        <v>Late</v>
      </c>
      <c r="AJ499" s="2" t="str">
        <f t="shared" si="16"/>
        <v>#NAME?</v>
      </c>
    </row>
    <row r="500" ht="14.25" customHeight="1">
      <c r="A500" s="2" t="s">
        <v>413</v>
      </c>
      <c r="B500" s="2" t="s">
        <v>414</v>
      </c>
      <c r="C500" s="2" t="s">
        <v>415</v>
      </c>
      <c r="D500" s="2">
        <v>52.0</v>
      </c>
      <c r="E500" s="2" t="s">
        <v>45</v>
      </c>
      <c r="F500" s="2" t="s">
        <v>213</v>
      </c>
      <c r="G500" s="2" t="s">
        <v>416</v>
      </c>
      <c r="H500" s="2" t="s">
        <v>2131</v>
      </c>
      <c r="I500" s="2" t="s">
        <v>417</v>
      </c>
      <c r="J500" s="2" t="s">
        <v>2043</v>
      </c>
      <c r="K500" s="3">
        <v>45472.0</v>
      </c>
      <c r="L500" s="2" t="s">
        <v>2044</v>
      </c>
      <c r="M500" s="2" t="s">
        <v>679</v>
      </c>
      <c r="N500" s="2">
        <v>424.82</v>
      </c>
      <c r="O500" s="2">
        <v>2.0</v>
      </c>
      <c r="P500" s="2" t="s">
        <v>56</v>
      </c>
      <c r="Q500" s="2">
        <v>6.0</v>
      </c>
      <c r="R500" s="2">
        <v>63.0</v>
      </c>
      <c r="S500" s="3">
        <v>45477.0</v>
      </c>
      <c r="T500" s="2" t="s">
        <v>2045</v>
      </c>
      <c r="U500" s="2">
        <f t="shared" si="1"/>
        <v>5</v>
      </c>
      <c r="V500" s="2">
        <f t="shared" si="2"/>
        <v>8</v>
      </c>
      <c r="W500" s="2">
        <f t="shared" si="3"/>
        <v>849.64</v>
      </c>
      <c r="X500" s="2">
        <f t="shared" si="4"/>
        <v>912.64</v>
      </c>
      <c r="Y500" s="2">
        <f t="shared" si="5"/>
        <v>0</v>
      </c>
      <c r="Z500" s="2">
        <f t="shared" si="6"/>
        <v>849.64</v>
      </c>
      <c r="AA500" s="2">
        <f t="shared" si="7"/>
        <v>849.64</v>
      </c>
      <c r="AB500" s="2" t="str">
        <f t="shared" si="8"/>
        <v>Saturday</v>
      </c>
      <c r="AC500" s="2" t="str">
        <f t="shared" si="9"/>
        <v>Weekend</v>
      </c>
      <c r="AD500" s="2" t="str">
        <f t="shared" si="10"/>
        <v>amanda.howard</v>
      </c>
      <c r="AE500" s="2" t="str">
        <f t="shared" si="11"/>
        <v>outlook</v>
      </c>
      <c r="AF500" s="2" t="str">
        <f t="shared" si="12"/>
        <v>Amanda Howard</v>
      </c>
      <c r="AG500" s="2" t="str">
        <f t="shared" si="13"/>
        <v>Amanda</v>
      </c>
      <c r="AH500" s="2" t="str">
        <f t="shared" si="14"/>
        <v>Howard</v>
      </c>
      <c r="AI500" s="2" t="str">
        <f t="shared" si="15"/>
        <v>Before Time</v>
      </c>
      <c r="AJ500" s="2" t="str">
        <f t="shared" si="16"/>
        <v>#NAME?</v>
      </c>
    </row>
    <row r="501" ht="14.25" customHeight="1">
      <c r="A501" s="2" t="s">
        <v>229</v>
      </c>
      <c r="B501" s="2" t="s">
        <v>59</v>
      </c>
      <c r="C501" s="2" t="s">
        <v>230</v>
      </c>
      <c r="D501" s="2">
        <v>52.0</v>
      </c>
      <c r="E501" s="2" t="s">
        <v>45</v>
      </c>
      <c r="F501" s="2" t="s">
        <v>35</v>
      </c>
      <c r="G501" s="2" t="s">
        <v>231</v>
      </c>
      <c r="H501" s="2" t="s">
        <v>2113</v>
      </c>
      <c r="I501" s="2" t="s">
        <v>232</v>
      </c>
      <c r="J501" s="2" t="s">
        <v>2046</v>
      </c>
      <c r="K501" s="3">
        <v>45501.0</v>
      </c>
      <c r="L501" s="2" t="s">
        <v>2047</v>
      </c>
      <c r="M501" s="2" t="s">
        <v>411</v>
      </c>
      <c r="N501" s="2">
        <v>44.5</v>
      </c>
      <c r="O501" s="2">
        <v>4.0</v>
      </c>
      <c r="P501" s="2" t="s">
        <v>56</v>
      </c>
      <c r="Q501" s="2">
        <v>3.0</v>
      </c>
      <c r="R501" s="2">
        <v>45.0</v>
      </c>
      <c r="S501" s="3">
        <v>45504.0</v>
      </c>
      <c r="T501" s="2" t="s">
        <v>2048</v>
      </c>
      <c r="U501" s="2">
        <f t="shared" si="1"/>
        <v>3</v>
      </c>
      <c r="V501" s="2">
        <f t="shared" si="2"/>
        <v>17</v>
      </c>
      <c r="W501" s="2">
        <f t="shared" si="3"/>
        <v>178</v>
      </c>
      <c r="X501" s="2">
        <f t="shared" si="4"/>
        <v>223</v>
      </c>
      <c r="Y501" s="2">
        <f t="shared" si="5"/>
        <v>0</v>
      </c>
      <c r="Z501" s="2">
        <f t="shared" si="6"/>
        <v>178</v>
      </c>
      <c r="AA501" s="2">
        <f t="shared" si="7"/>
        <v>178</v>
      </c>
      <c r="AB501" s="2" t="str">
        <f t="shared" si="8"/>
        <v>Sunday</v>
      </c>
      <c r="AC501" s="2" t="str">
        <f t="shared" si="9"/>
        <v>Weekend</v>
      </c>
      <c r="AD501" s="2" t="str">
        <f t="shared" si="10"/>
        <v>angela.evans</v>
      </c>
      <c r="AE501" s="2" t="str">
        <f t="shared" si="11"/>
        <v>outlook</v>
      </c>
      <c r="AF501" s="2" t="str">
        <f t="shared" si="12"/>
        <v>Angela Evans</v>
      </c>
      <c r="AG501" s="2" t="str">
        <f t="shared" si="13"/>
        <v>Angela</v>
      </c>
      <c r="AH501" s="2" t="str">
        <f t="shared" si="14"/>
        <v>Evans</v>
      </c>
      <c r="AI501" s="2" t="str">
        <f t="shared" si="15"/>
        <v>InTime</v>
      </c>
      <c r="AJ501" s="2" t="str">
        <f t="shared" si="16"/>
        <v>#NAME?</v>
      </c>
    </row>
    <row r="502" ht="14.25" customHeight="1">
      <c r="H502" s="2"/>
      <c r="U502" s="2"/>
      <c r="AG502" s="2"/>
      <c r="AH502" s="2"/>
    </row>
    <row r="503" ht="14.25" customHeight="1">
      <c r="H503" s="2"/>
      <c r="U503" s="2"/>
      <c r="AG503" s="2"/>
      <c r="AH503" s="2"/>
    </row>
    <row r="504" ht="14.25" customHeight="1">
      <c r="H504" s="2"/>
      <c r="AG504" s="2"/>
      <c r="AH504" s="2"/>
    </row>
    <row r="505" ht="14.25" customHeight="1">
      <c r="H505" s="2"/>
      <c r="AG505" s="2"/>
      <c r="AH505" s="2"/>
    </row>
    <row r="506" ht="14.25" customHeight="1">
      <c r="H506" s="2"/>
      <c r="AG506" s="2"/>
      <c r="AH506" s="2"/>
    </row>
    <row r="507" ht="14.25" customHeight="1">
      <c r="H507" s="2"/>
      <c r="AG507" s="2"/>
      <c r="AH507" s="2"/>
    </row>
    <row r="508" ht="14.25" customHeight="1">
      <c r="H508" s="2"/>
      <c r="AG508" s="2"/>
      <c r="AH508" s="2"/>
    </row>
    <row r="509" ht="14.25" customHeight="1">
      <c r="H509" s="2"/>
      <c r="AG509" s="2"/>
      <c r="AH509" s="2"/>
    </row>
    <row r="510" ht="14.25" customHeight="1">
      <c r="H510" s="2"/>
      <c r="AG510" s="2"/>
      <c r="AH510" s="2"/>
    </row>
    <row r="511" ht="14.25" customHeight="1">
      <c r="H511" s="2"/>
      <c r="AG511" s="2"/>
      <c r="AH511" s="2"/>
    </row>
    <row r="512" ht="14.25" customHeight="1">
      <c r="H512" s="2"/>
      <c r="AG512" s="2"/>
      <c r="AH512" s="2"/>
    </row>
    <row r="513" ht="14.25" customHeight="1">
      <c r="H513" s="2"/>
      <c r="AG513" s="2"/>
      <c r="AH513" s="2"/>
    </row>
    <row r="514" ht="14.25" customHeight="1">
      <c r="H514" s="2"/>
      <c r="AG514" s="2"/>
      <c r="AH514" s="2"/>
    </row>
    <row r="515" ht="14.25" customHeight="1">
      <c r="H515" s="2"/>
      <c r="AG515" s="2"/>
      <c r="AH515" s="2"/>
    </row>
    <row r="516" ht="14.25" customHeight="1">
      <c r="H516" s="2"/>
      <c r="AG516" s="2"/>
      <c r="AH516" s="2"/>
    </row>
    <row r="517" ht="14.25" customHeight="1">
      <c r="H517" s="2"/>
      <c r="AG517" s="2"/>
      <c r="AH517" s="2"/>
    </row>
    <row r="518" ht="14.25" customHeight="1">
      <c r="H518" s="2"/>
      <c r="AG518" s="2"/>
      <c r="AH518" s="2"/>
    </row>
    <row r="519" ht="14.25" customHeight="1">
      <c r="H519" s="2"/>
      <c r="AG519" s="2"/>
      <c r="AH519" s="2"/>
    </row>
    <row r="520" ht="14.25" customHeight="1">
      <c r="H520" s="2"/>
      <c r="AG520" s="2"/>
      <c r="AH520" s="2"/>
    </row>
    <row r="521" ht="14.25" customHeight="1">
      <c r="H521" s="2"/>
      <c r="AG521" s="2"/>
      <c r="AH521" s="2"/>
    </row>
    <row r="522" ht="14.25" customHeight="1">
      <c r="H522" s="2"/>
      <c r="AG522" s="2"/>
      <c r="AH522" s="2"/>
    </row>
    <row r="523" ht="14.25" customHeight="1">
      <c r="H523" s="2"/>
      <c r="AG523" s="2"/>
      <c r="AH523" s="2"/>
    </row>
    <row r="524" ht="14.25" customHeight="1">
      <c r="H524" s="2"/>
      <c r="AG524" s="2"/>
      <c r="AH524" s="2"/>
    </row>
    <row r="525" ht="14.25" customHeight="1">
      <c r="H525" s="2"/>
      <c r="AG525" s="2"/>
      <c r="AH525" s="2"/>
    </row>
    <row r="526" ht="14.25" customHeight="1">
      <c r="H526" s="2"/>
      <c r="AG526" s="2"/>
      <c r="AH526" s="2"/>
    </row>
    <row r="527" ht="14.25" customHeight="1">
      <c r="H527" s="2"/>
      <c r="AG527" s="2"/>
      <c r="AH527" s="2"/>
    </row>
    <row r="528" ht="14.25" customHeight="1">
      <c r="H528" s="2"/>
      <c r="AG528" s="2"/>
      <c r="AH528" s="2"/>
    </row>
    <row r="529" ht="14.25" customHeight="1">
      <c r="H529" s="2"/>
      <c r="AG529" s="2"/>
      <c r="AH529" s="2"/>
    </row>
    <row r="530" ht="14.25" customHeight="1">
      <c r="H530" s="2"/>
      <c r="AG530" s="2"/>
      <c r="AH530" s="2"/>
    </row>
    <row r="531" ht="14.25" customHeight="1">
      <c r="H531" s="2"/>
      <c r="AG531" s="2"/>
      <c r="AH531" s="2"/>
    </row>
    <row r="532" ht="14.25" customHeight="1">
      <c r="H532" s="2"/>
      <c r="AG532" s="2"/>
      <c r="AH532" s="2"/>
    </row>
    <row r="533" ht="14.25" customHeight="1">
      <c r="H533" s="2"/>
      <c r="AG533" s="2"/>
      <c r="AH533" s="2"/>
    </row>
    <row r="534" ht="14.25" customHeight="1">
      <c r="H534" s="2"/>
      <c r="AG534" s="2"/>
      <c r="AH534" s="2"/>
    </row>
    <row r="535" ht="14.25" customHeight="1">
      <c r="H535" s="2"/>
      <c r="AG535" s="2"/>
      <c r="AH535" s="2"/>
    </row>
    <row r="536" ht="14.25" customHeight="1">
      <c r="H536" s="2"/>
      <c r="AG536" s="2"/>
      <c r="AH536" s="2"/>
    </row>
    <row r="537" ht="14.25" customHeight="1">
      <c r="H537" s="2"/>
      <c r="AG537" s="2"/>
      <c r="AH537" s="2"/>
    </row>
    <row r="538" ht="14.25" customHeight="1">
      <c r="H538" s="2"/>
      <c r="AG538" s="2"/>
      <c r="AH538" s="2"/>
    </row>
    <row r="539" ht="14.25" customHeight="1">
      <c r="H539" s="2"/>
      <c r="AG539" s="2"/>
      <c r="AH539" s="2"/>
    </row>
    <row r="540" ht="14.25" customHeight="1">
      <c r="H540" s="2"/>
      <c r="AG540" s="2"/>
      <c r="AH540" s="2"/>
    </row>
    <row r="541" ht="14.25" customHeight="1">
      <c r="H541" s="2"/>
      <c r="AG541" s="2"/>
      <c r="AH541" s="2"/>
    </row>
    <row r="542" ht="14.25" customHeight="1">
      <c r="H542" s="2"/>
      <c r="AG542" s="2"/>
      <c r="AH542" s="2"/>
    </row>
    <row r="543" ht="14.25" customHeight="1">
      <c r="H543" s="2"/>
      <c r="AG543" s="2"/>
      <c r="AH543" s="2"/>
    </row>
    <row r="544" ht="14.25" customHeight="1">
      <c r="H544" s="2"/>
      <c r="AG544" s="2"/>
      <c r="AH544" s="2"/>
    </row>
    <row r="545" ht="14.25" customHeight="1">
      <c r="H545" s="2"/>
      <c r="AG545" s="2"/>
      <c r="AH545" s="2"/>
    </row>
    <row r="546" ht="14.25" customHeight="1">
      <c r="H546" s="2"/>
      <c r="AG546" s="2"/>
      <c r="AH546" s="2"/>
    </row>
    <row r="547" ht="14.25" customHeight="1">
      <c r="H547" s="2"/>
      <c r="AG547" s="2"/>
      <c r="AH547" s="2"/>
    </row>
    <row r="548" ht="14.25" customHeight="1">
      <c r="H548" s="2"/>
      <c r="AG548" s="2"/>
      <c r="AH548" s="2"/>
    </row>
    <row r="549" ht="14.25" customHeight="1">
      <c r="H549" s="2"/>
      <c r="AG549" s="2"/>
      <c r="AH549" s="2"/>
    </row>
    <row r="550" ht="14.25" customHeight="1">
      <c r="H550" s="2"/>
      <c r="AG550" s="2"/>
      <c r="AH550" s="2"/>
    </row>
    <row r="551" ht="14.25" customHeight="1">
      <c r="H551" s="2"/>
      <c r="AG551" s="2"/>
      <c r="AH551" s="2"/>
    </row>
    <row r="552" ht="14.25" customHeight="1">
      <c r="H552" s="2"/>
      <c r="AG552" s="2"/>
      <c r="AH552" s="2"/>
    </row>
    <row r="553" ht="14.25" customHeight="1">
      <c r="H553" s="2"/>
      <c r="AG553" s="2"/>
      <c r="AH553" s="2"/>
    </row>
    <row r="554" ht="14.25" customHeight="1">
      <c r="H554" s="2"/>
      <c r="AG554" s="2"/>
      <c r="AH554" s="2"/>
    </row>
    <row r="555" ht="14.25" customHeight="1">
      <c r="H555" s="2"/>
      <c r="AG555" s="2"/>
      <c r="AH555" s="2"/>
    </row>
    <row r="556" ht="14.25" customHeight="1">
      <c r="H556" s="2"/>
      <c r="AG556" s="2"/>
      <c r="AH556" s="2"/>
    </row>
    <row r="557" ht="14.25" customHeight="1">
      <c r="H557" s="2"/>
      <c r="AG557" s="2"/>
      <c r="AH557" s="2"/>
    </row>
    <row r="558" ht="14.25" customHeight="1">
      <c r="H558" s="2"/>
      <c r="AG558" s="2"/>
      <c r="AH558" s="2"/>
    </row>
    <row r="559" ht="14.25" customHeight="1">
      <c r="H559" s="2"/>
      <c r="AG559" s="2"/>
      <c r="AH559" s="2"/>
    </row>
    <row r="560" ht="14.25" customHeight="1">
      <c r="H560" s="2"/>
      <c r="AG560" s="2"/>
      <c r="AH560" s="2"/>
    </row>
    <row r="561" ht="14.25" customHeight="1">
      <c r="H561" s="2"/>
      <c r="AG561" s="2"/>
      <c r="AH561" s="2"/>
    </row>
    <row r="562" ht="14.25" customHeight="1">
      <c r="H562" s="2"/>
      <c r="AG562" s="2"/>
      <c r="AH562" s="2"/>
    </row>
    <row r="563" ht="14.25" customHeight="1">
      <c r="H563" s="2"/>
      <c r="AG563" s="2"/>
      <c r="AH563" s="2"/>
    </row>
    <row r="564" ht="14.25" customHeight="1">
      <c r="H564" s="2"/>
      <c r="AG564" s="2"/>
      <c r="AH564" s="2"/>
    </row>
    <row r="565" ht="14.25" customHeight="1">
      <c r="H565" s="2"/>
      <c r="AG565" s="2"/>
      <c r="AH565" s="2"/>
    </row>
    <row r="566" ht="14.25" customHeight="1">
      <c r="H566" s="2"/>
      <c r="AG566" s="2"/>
      <c r="AH566" s="2"/>
    </row>
    <row r="567" ht="14.25" customHeight="1">
      <c r="H567" s="2"/>
      <c r="AG567" s="2"/>
      <c r="AH567" s="2"/>
    </row>
    <row r="568" ht="14.25" customHeight="1">
      <c r="H568" s="2"/>
      <c r="AG568" s="2"/>
      <c r="AH568" s="2"/>
    </row>
    <row r="569" ht="14.25" customHeight="1">
      <c r="H569" s="2"/>
      <c r="AG569" s="2"/>
      <c r="AH569" s="2"/>
    </row>
    <row r="570" ht="14.25" customHeight="1">
      <c r="H570" s="2"/>
      <c r="AG570" s="2"/>
      <c r="AH570" s="2"/>
    </row>
    <row r="571" ht="14.25" customHeight="1">
      <c r="H571" s="2"/>
      <c r="AG571" s="2"/>
      <c r="AH571" s="2"/>
    </row>
    <row r="572" ht="14.25" customHeight="1">
      <c r="H572" s="2"/>
      <c r="AG572" s="2"/>
      <c r="AH572" s="2"/>
    </row>
    <row r="573" ht="14.25" customHeight="1">
      <c r="H573" s="2"/>
      <c r="AG573" s="2"/>
      <c r="AH573" s="2"/>
    </row>
    <row r="574" ht="14.25" customHeight="1">
      <c r="H574" s="2"/>
      <c r="AG574" s="2"/>
      <c r="AH574" s="2"/>
    </row>
    <row r="575" ht="14.25" customHeight="1">
      <c r="H575" s="2"/>
      <c r="AG575" s="2"/>
      <c r="AH575" s="2"/>
    </row>
    <row r="576" ht="14.25" customHeight="1">
      <c r="H576" s="2"/>
      <c r="AG576" s="2"/>
      <c r="AH576" s="2"/>
    </row>
    <row r="577" ht="14.25" customHeight="1">
      <c r="H577" s="2"/>
      <c r="AG577" s="2"/>
      <c r="AH577" s="2"/>
    </row>
    <row r="578" ht="14.25" customHeight="1">
      <c r="H578" s="2"/>
      <c r="AG578" s="2"/>
      <c r="AH578" s="2"/>
    </row>
    <row r="579" ht="14.25" customHeight="1">
      <c r="H579" s="2"/>
      <c r="AG579" s="2"/>
      <c r="AH579" s="2"/>
    </row>
    <row r="580" ht="14.25" customHeight="1">
      <c r="H580" s="2"/>
      <c r="AG580" s="2"/>
      <c r="AH580" s="2"/>
    </row>
    <row r="581" ht="14.25" customHeight="1">
      <c r="H581" s="2"/>
      <c r="AG581" s="2"/>
      <c r="AH581" s="2"/>
    </row>
    <row r="582" ht="14.25" customHeight="1">
      <c r="H582" s="2"/>
      <c r="AG582" s="2"/>
      <c r="AH582" s="2"/>
    </row>
    <row r="583" ht="14.25" customHeight="1">
      <c r="H583" s="2"/>
      <c r="AG583" s="2"/>
      <c r="AH583" s="2"/>
    </row>
    <row r="584" ht="14.25" customHeight="1">
      <c r="H584" s="2"/>
      <c r="AG584" s="2"/>
      <c r="AH584" s="2"/>
    </row>
    <row r="585" ht="14.25" customHeight="1">
      <c r="H585" s="2"/>
      <c r="AG585" s="2"/>
      <c r="AH585" s="2"/>
    </row>
    <row r="586" ht="14.25" customHeight="1">
      <c r="H586" s="2"/>
      <c r="AG586" s="2"/>
      <c r="AH586" s="2"/>
    </row>
    <row r="587" ht="14.25" customHeight="1">
      <c r="H587" s="2"/>
      <c r="AG587" s="2"/>
      <c r="AH587" s="2"/>
    </row>
    <row r="588" ht="14.25" customHeight="1">
      <c r="H588" s="2"/>
      <c r="AG588" s="2"/>
      <c r="AH588" s="2"/>
    </row>
    <row r="589" ht="14.25" customHeight="1">
      <c r="H589" s="2"/>
      <c r="AG589" s="2"/>
      <c r="AH589" s="2"/>
    </row>
    <row r="590" ht="14.25" customHeight="1">
      <c r="H590" s="2"/>
      <c r="AG590" s="2"/>
      <c r="AH590" s="2"/>
    </row>
    <row r="591" ht="14.25" customHeight="1">
      <c r="H591" s="2"/>
      <c r="AG591" s="2"/>
      <c r="AH591" s="2"/>
    </row>
    <row r="592" ht="14.25" customHeight="1">
      <c r="H592" s="2"/>
      <c r="AG592" s="2"/>
      <c r="AH592" s="2"/>
    </row>
    <row r="593" ht="14.25" customHeight="1">
      <c r="H593" s="2"/>
      <c r="AG593" s="2"/>
      <c r="AH593" s="2"/>
    </row>
    <row r="594" ht="14.25" customHeight="1">
      <c r="H594" s="2"/>
      <c r="AG594" s="2"/>
      <c r="AH594" s="2"/>
    </row>
    <row r="595" ht="14.25" customHeight="1">
      <c r="H595" s="2"/>
      <c r="AG595" s="2"/>
      <c r="AH595" s="2"/>
    </row>
    <row r="596" ht="14.25" customHeight="1">
      <c r="H596" s="2"/>
      <c r="AG596" s="2"/>
      <c r="AH596" s="2"/>
    </row>
    <row r="597" ht="14.25" customHeight="1">
      <c r="H597" s="2"/>
      <c r="AG597" s="2"/>
      <c r="AH597" s="2"/>
    </row>
    <row r="598" ht="14.25" customHeight="1">
      <c r="H598" s="2"/>
      <c r="AG598" s="2"/>
      <c r="AH598" s="2"/>
    </row>
    <row r="599" ht="14.25" customHeight="1">
      <c r="H599" s="2"/>
      <c r="AG599" s="2"/>
      <c r="AH599" s="2"/>
    </row>
    <row r="600" ht="14.25" customHeight="1">
      <c r="H600" s="2"/>
      <c r="AG600" s="2"/>
      <c r="AH600" s="2"/>
    </row>
    <row r="601" ht="14.25" customHeight="1">
      <c r="H601" s="2"/>
      <c r="AG601" s="2"/>
      <c r="AH601" s="2"/>
    </row>
    <row r="602" ht="14.25" customHeight="1">
      <c r="H602" s="2"/>
      <c r="AG602" s="2"/>
      <c r="AH602" s="2"/>
    </row>
    <row r="603" ht="14.25" customHeight="1">
      <c r="H603" s="2"/>
      <c r="AG603" s="2"/>
      <c r="AH603" s="2"/>
    </row>
    <row r="604" ht="14.25" customHeight="1">
      <c r="H604" s="2"/>
      <c r="AG604" s="2"/>
      <c r="AH604" s="2"/>
    </row>
    <row r="605" ht="14.25" customHeight="1">
      <c r="H605" s="2"/>
      <c r="AG605" s="2"/>
      <c r="AH605" s="2"/>
    </row>
    <row r="606" ht="14.25" customHeight="1">
      <c r="H606" s="2"/>
      <c r="AG606" s="2"/>
      <c r="AH606" s="2"/>
    </row>
    <row r="607" ht="14.25" customHeight="1">
      <c r="H607" s="2"/>
      <c r="AG607" s="2"/>
      <c r="AH607" s="2"/>
    </row>
    <row r="608" ht="14.25" customHeight="1">
      <c r="H608" s="2"/>
      <c r="AG608" s="2"/>
      <c r="AH608" s="2"/>
    </row>
    <row r="609" ht="14.25" customHeight="1">
      <c r="H609" s="2"/>
      <c r="AG609" s="2"/>
      <c r="AH609" s="2"/>
    </row>
    <row r="610" ht="14.25" customHeight="1">
      <c r="H610" s="2"/>
      <c r="AG610" s="2"/>
      <c r="AH610" s="2"/>
    </row>
    <row r="611" ht="14.25" customHeight="1">
      <c r="H611" s="2"/>
      <c r="AG611" s="2"/>
      <c r="AH611" s="2"/>
    </row>
    <row r="612" ht="14.25" customHeight="1">
      <c r="H612" s="2"/>
      <c r="AG612" s="2"/>
      <c r="AH612" s="2"/>
    </row>
    <row r="613" ht="14.25" customHeight="1">
      <c r="H613" s="2"/>
      <c r="AG613" s="2"/>
      <c r="AH613" s="2"/>
    </row>
    <row r="614" ht="14.25" customHeight="1">
      <c r="H614" s="2"/>
      <c r="AG614" s="2"/>
      <c r="AH614" s="2"/>
    </row>
    <row r="615" ht="14.25" customHeight="1">
      <c r="H615" s="2"/>
      <c r="AG615" s="2"/>
      <c r="AH615" s="2"/>
    </row>
    <row r="616" ht="14.25" customHeight="1">
      <c r="H616" s="2"/>
      <c r="AG616" s="2"/>
      <c r="AH616" s="2"/>
    </row>
    <row r="617" ht="14.25" customHeight="1">
      <c r="H617" s="2"/>
      <c r="AG617" s="2"/>
      <c r="AH617" s="2"/>
    </row>
    <row r="618" ht="14.25" customHeight="1">
      <c r="H618" s="2"/>
      <c r="AG618" s="2"/>
      <c r="AH618" s="2"/>
    </row>
    <row r="619" ht="14.25" customHeight="1">
      <c r="H619" s="2"/>
      <c r="AG619" s="2"/>
      <c r="AH619" s="2"/>
    </row>
    <row r="620" ht="14.25" customHeight="1">
      <c r="H620" s="2"/>
      <c r="AG620" s="2"/>
      <c r="AH620" s="2"/>
    </row>
    <row r="621" ht="14.25" customHeight="1">
      <c r="H621" s="2"/>
      <c r="AG621" s="2"/>
      <c r="AH621" s="2"/>
    </row>
    <row r="622" ht="14.25" customHeight="1">
      <c r="H622" s="2"/>
      <c r="AG622" s="2"/>
      <c r="AH622" s="2"/>
    </row>
    <row r="623" ht="14.25" customHeight="1">
      <c r="H623" s="2"/>
      <c r="AG623" s="2"/>
      <c r="AH623" s="2"/>
    </row>
    <row r="624" ht="14.25" customHeight="1">
      <c r="H624" s="2"/>
      <c r="AG624" s="2"/>
      <c r="AH624" s="2"/>
    </row>
    <row r="625" ht="14.25" customHeight="1">
      <c r="H625" s="2"/>
      <c r="AG625" s="2"/>
      <c r="AH625" s="2"/>
    </row>
    <row r="626" ht="14.25" customHeight="1">
      <c r="H626" s="2"/>
      <c r="AG626" s="2"/>
      <c r="AH626" s="2"/>
    </row>
    <row r="627" ht="14.25" customHeight="1">
      <c r="H627" s="2"/>
      <c r="AG627" s="2"/>
      <c r="AH627" s="2"/>
    </row>
    <row r="628" ht="14.25" customHeight="1">
      <c r="H628" s="2"/>
      <c r="AG628" s="2"/>
      <c r="AH628" s="2"/>
    </row>
    <row r="629" ht="14.25" customHeight="1">
      <c r="H629" s="2"/>
      <c r="AG629" s="2"/>
      <c r="AH629" s="2"/>
    </row>
    <row r="630" ht="14.25" customHeight="1">
      <c r="H630" s="2"/>
      <c r="AG630" s="2"/>
      <c r="AH630" s="2"/>
    </row>
    <row r="631" ht="14.25" customHeight="1">
      <c r="H631" s="2"/>
      <c r="AG631" s="2"/>
      <c r="AH631" s="2"/>
    </row>
    <row r="632" ht="14.25" customHeight="1">
      <c r="H632" s="2"/>
      <c r="AG632" s="2"/>
      <c r="AH632" s="2"/>
    </row>
    <row r="633" ht="14.25" customHeight="1">
      <c r="H633" s="2"/>
      <c r="AG633" s="2"/>
      <c r="AH633" s="2"/>
    </row>
    <row r="634" ht="14.25" customHeight="1">
      <c r="H634" s="2"/>
      <c r="AG634" s="2"/>
      <c r="AH634" s="2"/>
    </row>
    <row r="635" ht="14.25" customHeight="1">
      <c r="H635" s="2"/>
      <c r="AG635" s="2"/>
      <c r="AH635" s="2"/>
    </row>
    <row r="636" ht="14.25" customHeight="1">
      <c r="H636" s="2"/>
      <c r="AG636" s="2"/>
      <c r="AH636" s="2"/>
    </row>
    <row r="637" ht="14.25" customHeight="1">
      <c r="H637" s="2"/>
      <c r="AG637" s="2"/>
      <c r="AH637" s="2"/>
    </row>
    <row r="638" ht="14.25" customHeight="1">
      <c r="H638" s="2"/>
      <c r="AG638" s="2"/>
      <c r="AH638" s="2"/>
    </row>
    <row r="639" ht="14.25" customHeight="1">
      <c r="H639" s="2"/>
      <c r="AG639" s="2"/>
      <c r="AH639" s="2"/>
    </row>
    <row r="640" ht="14.25" customHeight="1">
      <c r="H640" s="2"/>
      <c r="AG640" s="2"/>
      <c r="AH640" s="2"/>
    </row>
    <row r="641" ht="14.25" customHeight="1">
      <c r="H641" s="2"/>
      <c r="AG641" s="2"/>
      <c r="AH641" s="2"/>
    </row>
    <row r="642" ht="14.25" customHeight="1">
      <c r="H642" s="2"/>
      <c r="AG642" s="2"/>
      <c r="AH642" s="2"/>
    </row>
    <row r="643" ht="14.25" customHeight="1">
      <c r="H643" s="2"/>
      <c r="AG643" s="2"/>
      <c r="AH643" s="2"/>
    </row>
    <row r="644" ht="14.25" customHeight="1">
      <c r="H644" s="2"/>
      <c r="AG644" s="2"/>
      <c r="AH644" s="2"/>
    </row>
    <row r="645" ht="14.25" customHeight="1">
      <c r="H645" s="2"/>
      <c r="AG645" s="2"/>
      <c r="AH645" s="2"/>
    </row>
    <row r="646" ht="14.25" customHeight="1">
      <c r="H646" s="2"/>
      <c r="AG646" s="2"/>
      <c r="AH646" s="2"/>
    </row>
    <row r="647" ht="14.25" customHeight="1">
      <c r="H647" s="2"/>
      <c r="AG647" s="2"/>
      <c r="AH647" s="2"/>
    </row>
    <row r="648" ht="14.25" customHeight="1">
      <c r="H648" s="2"/>
      <c r="AG648" s="2"/>
      <c r="AH648" s="2"/>
    </row>
    <row r="649" ht="14.25" customHeight="1">
      <c r="H649" s="2"/>
      <c r="AG649" s="2"/>
      <c r="AH649" s="2"/>
    </row>
    <row r="650" ht="14.25" customHeight="1">
      <c r="H650" s="2"/>
      <c r="AG650" s="2"/>
      <c r="AH650" s="2"/>
    </row>
    <row r="651" ht="14.25" customHeight="1">
      <c r="H651" s="2"/>
      <c r="AG651" s="2"/>
      <c r="AH651" s="2"/>
    </row>
    <row r="652" ht="14.25" customHeight="1">
      <c r="H652" s="2"/>
      <c r="AG652" s="2"/>
      <c r="AH652" s="2"/>
    </row>
    <row r="653" ht="14.25" customHeight="1">
      <c r="H653" s="2"/>
      <c r="AG653" s="2"/>
      <c r="AH653" s="2"/>
    </row>
    <row r="654" ht="14.25" customHeight="1">
      <c r="H654" s="2"/>
      <c r="AG654" s="2"/>
      <c r="AH654" s="2"/>
    </row>
    <row r="655" ht="14.25" customHeight="1">
      <c r="H655" s="2"/>
      <c r="AG655" s="2"/>
      <c r="AH655" s="2"/>
    </row>
    <row r="656" ht="14.25" customHeight="1">
      <c r="H656" s="2"/>
      <c r="AG656" s="2"/>
      <c r="AH656" s="2"/>
    </row>
    <row r="657" ht="14.25" customHeight="1">
      <c r="H657" s="2"/>
      <c r="AG657" s="2"/>
      <c r="AH657" s="2"/>
    </row>
    <row r="658" ht="14.25" customHeight="1">
      <c r="H658" s="2"/>
      <c r="AG658" s="2"/>
      <c r="AH658" s="2"/>
    </row>
    <row r="659" ht="14.25" customHeight="1">
      <c r="H659" s="2"/>
      <c r="AG659" s="2"/>
      <c r="AH659" s="2"/>
    </row>
    <row r="660" ht="14.25" customHeight="1">
      <c r="H660" s="2"/>
      <c r="AG660" s="2"/>
      <c r="AH660" s="2"/>
    </row>
    <row r="661" ht="14.25" customHeight="1">
      <c r="H661" s="2"/>
      <c r="AG661" s="2"/>
      <c r="AH661" s="2"/>
    </row>
    <row r="662" ht="14.25" customHeight="1">
      <c r="H662" s="2"/>
      <c r="AG662" s="2"/>
      <c r="AH662" s="2"/>
    </row>
    <row r="663" ht="14.25" customHeight="1">
      <c r="H663" s="2"/>
      <c r="AG663" s="2"/>
      <c r="AH663" s="2"/>
    </row>
    <row r="664" ht="14.25" customHeight="1">
      <c r="H664" s="2"/>
      <c r="AG664" s="2"/>
      <c r="AH664" s="2"/>
    </row>
    <row r="665" ht="14.25" customHeight="1">
      <c r="H665" s="2"/>
      <c r="AG665" s="2"/>
      <c r="AH665" s="2"/>
    </row>
    <row r="666" ht="14.25" customHeight="1">
      <c r="H666" s="2"/>
      <c r="AG666" s="2"/>
      <c r="AH666" s="2"/>
    </row>
    <row r="667" ht="14.25" customHeight="1">
      <c r="H667" s="2"/>
      <c r="AG667" s="2"/>
      <c r="AH667" s="2"/>
    </row>
    <row r="668" ht="14.25" customHeight="1">
      <c r="H668" s="2"/>
      <c r="AG668" s="2"/>
      <c r="AH668" s="2"/>
    </row>
    <row r="669" ht="14.25" customHeight="1">
      <c r="H669" s="2"/>
      <c r="AG669" s="2"/>
      <c r="AH669" s="2"/>
    </row>
    <row r="670" ht="14.25" customHeight="1">
      <c r="H670" s="2"/>
      <c r="AG670" s="2"/>
      <c r="AH670" s="2"/>
    </row>
    <row r="671" ht="14.25" customHeight="1">
      <c r="H671" s="2"/>
      <c r="AG671" s="2"/>
      <c r="AH671" s="2"/>
    </row>
    <row r="672" ht="14.25" customHeight="1">
      <c r="H672" s="2"/>
      <c r="AG672" s="2"/>
      <c r="AH672" s="2"/>
    </row>
    <row r="673" ht="14.25" customHeight="1">
      <c r="H673" s="2"/>
      <c r="AG673" s="2"/>
      <c r="AH673" s="2"/>
    </row>
    <row r="674" ht="14.25" customHeight="1">
      <c r="H674" s="2"/>
      <c r="AG674" s="2"/>
      <c r="AH674" s="2"/>
    </row>
    <row r="675" ht="14.25" customHeight="1">
      <c r="H675" s="2"/>
      <c r="AG675" s="2"/>
      <c r="AH675" s="2"/>
    </row>
    <row r="676" ht="14.25" customHeight="1">
      <c r="H676" s="2"/>
      <c r="AG676" s="2"/>
      <c r="AH676" s="2"/>
    </row>
    <row r="677" ht="14.25" customHeight="1">
      <c r="H677" s="2"/>
      <c r="AG677" s="2"/>
      <c r="AH677" s="2"/>
    </row>
    <row r="678" ht="14.25" customHeight="1">
      <c r="H678" s="2"/>
      <c r="AG678" s="2"/>
      <c r="AH678" s="2"/>
    </row>
    <row r="679" ht="14.25" customHeight="1">
      <c r="H679" s="2"/>
      <c r="AG679" s="2"/>
      <c r="AH679" s="2"/>
    </row>
    <row r="680" ht="14.25" customHeight="1">
      <c r="H680" s="2"/>
      <c r="AG680" s="2"/>
      <c r="AH680" s="2"/>
    </row>
    <row r="681" ht="14.25" customHeight="1">
      <c r="H681" s="2"/>
      <c r="AG681" s="2"/>
      <c r="AH681" s="2"/>
    </row>
    <row r="682" ht="14.25" customHeight="1">
      <c r="H682" s="2"/>
      <c r="AG682" s="2"/>
      <c r="AH682" s="2"/>
    </row>
    <row r="683" ht="14.25" customHeight="1">
      <c r="H683" s="2"/>
      <c r="AG683" s="2"/>
      <c r="AH683" s="2"/>
    </row>
    <row r="684" ht="14.25" customHeight="1">
      <c r="H684" s="2"/>
      <c r="AG684" s="2"/>
      <c r="AH684" s="2"/>
    </row>
    <row r="685" ht="14.25" customHeight="1">
      <c r="H685" s="2"/>
      <c r="AG685" s="2"/>
      <c r="AH685" s="2"/>
    </row>
    <row r="686" ht="14.25" customHeight="1">
      <c r="H686" s="2"/>
      <c r="AG686" s="2"/>
      <c r="AH686" s="2"/>
    </row>
    <row r="687" ht="14.25" customHeight="1">
      <c r="H687" s="2"/>
      <c r="AG687" s="2"/>
      <c r="AH687" s="2"/>
    </row>
    <row r="688" ht="14.25" customHeight="1">
      <c r="H688" s="2"/>
      <c r="AG688" s="2"/>
      <c r="AH688" s="2"/>
    </row>
    <row r="689" ht="14.25" customHeight="1">
      <c r="H689" s="2"/>
      <c r="AG689" s="2"/>
      <c r="AH689" s="2"/>
    </row>
    <row r="690" ht="14.25" customHeight="1">
      <c r="H690" s="2"/>
      <c r="AG690" s="2"/>
      <c r="AH690" s="2"/>
    </row>
    <row r="691" ht="14.25" customHeight="1">
      <c r="H691" s="2"/>
      <c r="AG691" s="2"/>
      <c r="AH691" s="2"/>
    </row>
    <row r="692" ht="14.25" customHeight="1">
      <c r="H692" s="2"/>
      <c r="AG692" s="2"/>
      <c r="AH692" s="2"/>
    </row>
    <row r="693" ht="14.25" customHeight="1">
      <c r="H693" s="2"/>
      <c r="AG693" s="2"/>
      <c r="AH693" s="2"/>
    </row>
    <row r="694" ht="14.25" customHeight="1">
      <c r="H694" s="2"/>
      <c r="AG694" s="2"/>
      <c r="AH694" s="2"/>
    </row>
    <row r="695" ht="14.25" customHeight="1">
      <c r="H695" s="2"/>
      <c r="AG695" s="2"/>
      <c r="AH695" s="2"/>
    </row>
    <row r="696" ht="14.25" customHeight="1">
      <c r="H696" s="2"/>
      <c r="AG696" s="2"/>
      <c r="AH696" s="2"/>
    </row>
    <row r="697" ht="14.25" customHeight="1">
      <c r="H697" s="2"/>
      <c r="AG697" s="2"/>
      <c r="AH697" s="2"/>
    </row>
    <row r="698" ht="14.25" customHeight="1">
      <c r="H698" s="2"/>
      <c r="AG698" s="2"/>
      <c r="AH698" s="2"/>
    </row>
    <row r="699" ht="14.25" customHeight="1">
      <c r="H699" s="2"/>
      <c r="AG699" s="2"/>
      <c r="AH699" s="2"/>
    </row>
    <row r="700" ht="14.25" customHeight="1">
      <c r="H700" s="2"/>
      <c r="AG700" s="2"/>
      <c r="AH700" s="2"/>
    </row>
    <row r="701" ht="14.25" customHeight="1">
      <c r="H701" s="2"/>
      <c r="AG701" s="2"/>
      <c r="AH701" s="2"/>
    </row>
    <row r="702" ht="15.75" customHeight="1">
      <c r="H702" s="2"/>
      <c r="AG702" s="2"/>
      <c r="AH702" s="2"/>
    </row>
    <row r="703" ht="15.75" customHeight="1">
      <c r="H703" s="2"/>
      <c r="AG703" s="2"/>
      <c r="AH703" s="2"/>
    </row>
    <row r="704" ht="15.75" customHeight="1">
      <c r="H704" s="2"/>
      <c r="AG704" s="2"/>
      <c r="AH704" s="2"/>
    </row>
    <row r="705" ht="15.75" customHeight="1">
      <c r="H705" s="2"/>
      <c r="AG705" s="2"/>
      <c r="AH705" s="2"/>
    </row>
    <row r="706" ht="15.75" customHeight="1">
      <c r="H706" s="2"/>
      <c r="AG706" s="2"/>
      <c r="AH706" s="2"/>
    </row>
    <row r="707" ht="15.75" customHeight="1">
      <c r="H707" s="2"/>
      <c r="AG707" s="2"/>
      <c r="AH707" s="2"/>
    </row>
    <row r="708" ht="15.75" customHeight="1">
      <c r="H708" s="2"/>
      <c r="AG708" s="2"/>
      <c r="AH708" s="2"/>
    </row>
    <row r="709" ht="15.75" customHeight="1">
      <c r="H709" s="2"/>
      <c r="AG709" s="2"/>
      <c r="AH709" s="2"/>
    </row>
    <row r="710" ht="15.75" customHeight="1">
      <c r="H710" s="2"/>
      <c r="AG710" s="2"/>
      <c r="AH710" s="2"/>
    </row>
    <row r="711" ht="15.75" customHeight="1">
      <c r="H711" s="2"/>
      <c r="AG711" s="2"/>
      <c r="AH711" s="2"/>
    </row>
    <row r="712" ht="15.75" customHeight="1">
      <c r="H712" s="2"/>
      <c r="AG712" s="2"/>
      <c r="AH712" s="2"/>
    </row>
    <row r="713" ht="15.75" customHeight="1">
      <c r="H713" s="2"/>
      <c r="AG713" s="2"/>
      <c r="AH713" s="2"/>
    </row>
    <row r="714" ht="15.75" customHeight="1">
      <c r="H714" s="2"/>
      <c r="AG714" s="2"/>
      <c r="AH714" s="2"/>
    </row>
    <row r="715" ht="15.75" customHeight="1">
      <c r="H715" s="2"/>
      <c r="AG715" s="2"/>
      <c r="AH715" s="2"/>
    </row>
    <row r="716" ht="15.75" customHeight="1">
      <c r="H716" s="2"/>
      <c r="AG716" s="2"/>
      <c r="AH716" s="2"/>
    </row>
    <row r="717" ht="15.75" customHeight="1">
      <c r="H717" s="2"/>
      <c r="AG717" s="2"/>
      <c r="AH717" s="2"/>
    </row>
    <row r="718" ht="15.75" customHeight="1">
      <c r="H718" s="2"/>
      <c r="AG718" s="2"/>
      <c r="AH718" s="2"/>
    </row>
    <row r="719" ht="15.75" customHeight="1">
      <c r="H719" s="2"/>
      <c r="AG719" s="2"/>
      <c r="AH719" s="2"/>
    </row>
    <row r="720" ht="15.75" customHeight="1">
      <c r="H720" s="2"/>
      <c r="AG720" s="2"/>
      <c r="AH720" s="2"/>
    </row>
    <row r="721" ht="15.75" customHeight="1">
      <c r="H721" s="2"/>
      <c r="AG721" s="2"/>
      <c r="AH721" s="2"/>
    </row>
    <row r="722" ht="15.75" customHeight="1">
      <c r="H722" s="2"/>
      <c r="AG722" s="2"/>
      <c r="AH722" s="2"/>
    </row>
    <row r="723" ht="15.75" customHeight="1">
      <c r="H723" s="2"/>
      <c r="AG723" s="2"/>
      <c r="AH723" s="2"/>
    </row>
    <row r="724" ht="15.75" customHeight="1">
      <c r="H724" s="2"/>
      <c r="AG724" s="2"/>
      <c r="AH724" s="2"/>
    </row>
    <row r="725" ht="15.75" customHeight="1">
      <c r="H725" s="2"/>
      <c r="AG725" s="2"/>
      <c r="AH725" s="2"/>
    </row>
    <row r="726" ht="15.75" customHeight="1">
      <c r="H726" s="2"/>
      <c r="AG726" s="2"/>
      <c r="AH726" s="2"/>
    </row>
    <row r="727" ht="15.75" customHeight="1">
      <c r="H727" s="2"/>
      <c r="AG727" s="2"/>
      <c r="AH727" s="2"/>
    </row>
    <row r="728" ht="15.75" customHeight="1">
      <c r="H728" s="2"/>
      <c r="AG728" s="2"/>
      <c r="AH728" s="2"/>
    </row>
    <row r="729" ht="15.75" customHeight="1">
      <c r="H729" s="2"/>
      <c r="AG729" s="2"/>
      <c r="AH729" s="2"/>
    </row>
    <row r="730" ht="15.75" customHeight="1">
      <c r="H730" s="2"/>
      <c r="AG730" s="2"/>
      <c r="AH730" s="2"/>
    </row>
    <row r="731" ht="15.75" customHeight="1">
      <c r="H731" s="2"/>
      <c r="AG731" s="2"/>
      <c r="AH731" s="2"/>
    </row>
    <row r="732" ht="15.75" customHeight="1">
      <c r="H732" s="2"/>
      <c r="AG732" s="2"/>
      <c r="AH732" s="2"/>
    </row>
    <row r="733" ht="15.75" customHeight="1">
      <c r="H733" s="2"/>
      <c r="AG733" s="2"/>
      <c r="AH733" s="2"/>
    </row>
    <row r="734" ht="15.75" customHeight="1">
      <c r="H734" s="2"/>
      <c r="AG734" s="2"/>
      <c r="AH734" s="2"/>
    </row>
    <row r="735" ht="15.75" customHeight="1">
      <c r="H735" s="2"/>
      <c r="AG735" s="2"/>
      <c r="AH735" s="2"/>
    </row>
    <row r="736" ht="15.75" customHeight="1">
      <c r="H736" s="2"/>
      <c r="AG736" s="2"/>
      <c r="AH736" s="2"/>
    </row>
    <row r="737" ht="15.75" customHeight="1">
      <c r="H737" s="2"/>
      <c r="AG737" s="2"/>
      <c r="AH737" s="2"/>
    </row>
    <row r="738" ht="15.75" customHeight="1">
      <c r="H738" s="2"/>
      <c r="AG738" s="2"/>
      <c r="AH738" s="2"/>
    </row>
    <row r="739" ht="15.75" customHeight="1">
      <c r="H739" s="2"/>
      <c r="AG739" s="2"/>
      <c r="AH739" s="2"/>
    </row>
    <row r="740" ht="15.75" customHeight="1">
      <c r="H740" s="2"/>
      <c r="AG740" s="2"/>
      <c r="AH740" s="2"/>
    </row>
    <row r="741" ht="15.75" customHeight="1">
      <c r="H741" s="2"/>
      <c r="AG741" s="2"/>
      <c r="AH741" s="2"/>
    </row>
    <row r="742" ht="15.75" customHeight="1">
      <c r="H742" s="2"/>
      <c r="AG742" s="2"/>
      <c r="AH742" s="2"/>
    </row>
    <row r="743" ht="15.75" customHeight="1">
      <c r="H743" s="2"/>
      <c r="AG743" s="2"/>
      <c r="AH743" s="2"/>
    </row>
    <row r="744" ht="15.75" customHeight="1">
      <c r="H744" s="2"/>
      <c r="AG744" s="2"/>
      <c r="AH744" s="2"/>
    </row>
    <row r="745" ht="15.75" customHeight="1">
      <c r="H745" s="2"/>
      <c r="AG745" s="2"/>
      <c r="AH745" s="2"/>
    </row>
    <row r="746" ht="15.75" customHeight="1">
      <c r="H746" s="2"/>
      <c r="AG746" s="2"/>
      <c r="AH746" s="2"/>
    </row>
    <row r="747" ht="15.75" customHeight="1">
      <c r="H747" s="2"/>
      <c r="AG747" s="2"/>
      <c r="AH747" s="2"/>
    </row>
    <row r="748" ht="15.75" customHeight="1">
      <c r="H748" s="2"/>
      <c r="AG748" s="2"/>
      <c r="AH748" s="2"/>
    </row>
    <row r="749" ht="15.75" customHeight="1">
      <c r="H749" s="2"/>
      <c r="AG749" s="2"/>
      <c r="AH749" s="2"/>
    </row>
    <row r="750" ht="15.75" customHeight="1">
      <c r="H750" s="2"/>
      <c r="AG750" s="2"/>
      <c r="AH750" s="2"/>
    </row>
    <row r="751" ht="15.75" customHeight="1">
      <c r="H751" s="2"/>
      <c r="AG751" s="2"/>
      <c r="AH751" s="2"/>
    </row>
    <row r="752" ht="15.75" customHeight="1">
      <c r="H752" s="2"/>
      <c r="AG752" s="2"/>
      <c r="AH752" s="2"/>
    </row>
    <row r="753" ht="15.75" customHeight="1">
      <c r="H753" s="2"/>
      <c r="AG753" s="2"/>
      <c r="AH753" s="2"/>
    </row>
    <row r="754" ht="15.75" customHeight="1">
      <c r="H754" s="2"/>
      <c r="AG754" s="2"/>
      <c r="AH754" s="2"/>
    </row>
    <row r="755" ht="15.75" customHeight="1">
      <c r="H755" s="2"/>
      <c r="AG755" s="2"/>
      <c r="AH755" s="2"/>
    </row>
    <row r="756" ht="15.75" customHeight="1">
      <c r="H756" s="2"/>
      <c r="AG756" s="2"/>
      <c r="AH756" s="2"/>
    </row>
    <row r="757" ht="15.75" customHeight="1">
      <c r="H757" s="2"/>
      <c r="AG757" s="2"/>
      <c r="AH757" s="2"/>
    </row>
    <row r="758" ht="15.75" customHeight="1">
      <c r="H758" s="2"/>
      <c r="AG758" s="2"/>
      <c r="AH758" s="2"/>
    </row>
    <row r="759" ht="15.75" customHeight="1">
      <c r="H759" s="2"/>
      <c r="AG759" s="2"/>
      <c r="AH759" s="2"/>
    </row>
    <row r="760" ht="15.75" customHeight="1">
      <c r="H760" s="2"/>
      <c r="AG760" s="2"/>
      <c r="AH760" s="2"/>
    </row>
    <row r="761" ht="15.75" customHeight="1">
      <c r="H761" s="2"/>
      <c r="AG761" s="2"/>
      <c r="AH761" s="2"/>
    </row>
    <row r="762" ht="15.75" customHeight="1">
      <c r="H762" s="2"/>
      <c r="AG762" s="2"/>
      <c r="AH762" s="2"/>
    </row>
    <row r="763" ht="15.75" customHeight="1">
      <c r="H763" s="2"/>
      <c r="AG763" s="2"/>
      <c r="AH763" s="2"/>
    </row>
    <row r="764" ht="15.75" customHeight="1">
      <c r="H764" s="2"/>
      <c r="AG764" s="2"/>
      <c r="AH764" s="2"/>
    </row>
    <row r="765" ht="15.75" customHeight="1">
      <c r="H765" s="2"/>
      <c r="AG765" s="2"/>
      <c r="AH765" s="2"/>
    </row>
    <row r="766" ht="15.75" customHeight="1">
      <c r="H766" s="2"/>
      <c r="AG766" s="2"/>
      <c r="AH766" s="2"/>
    </row>
    <row r="767" ht="15.75" customHeight="1">
      <c r="H767" s="2"/>
      <c r="AG767" s="2"/>
      <c r="AH767" s="2"/>
    </row>
    <row r="768" ht="15.75" customHeight="1">
      <c r="H768" s="2"/>
      <c r="AG768" s="2"/>
      <c r="AH768" s="2"/>
    </row>
    <row r="769" ht="15.75" customHeight="1">
      <c r="H769" s="2"/>
      <c r="AG769" s="2"/>
      <c r="AH769" s="2"/>
    </row>
    <row r="770" ht="15.75" customHeight="1">
      <c r="H770" s="2"/>
      <c r="AG770" s="2"/>
      <c r="AH770" s="2"/>
    </row>
    <row r="771" ht="15.75" customHeight="1">
      <c r="H771" s="2"/>
      <c r="AG771" s="2"/>
      <c r="AH771" s="2"/>
    </row>
    <row r="772" ht="15.75" customHeight="1">
      <c r="H772" s="2"/>
      <c r="AG772" s="2"/>
      <c r="AH772" s="2"/>
    </row>
    <row r="773" ht="15.75" customHeight="1">
      <c r="H773" s="2"/>
      <c r="AG773" s="2"/>
      <c r="AH773" s="2"/>
    </row>
    <row r="774" ht="15.75" customHeight="1">
      <c r="H774" s="2"/>
      <c r="AG774" s="2"/>
      <c r="AH774" s="2"/>
    </row>
    <row r="775" ht="15.75" customHeight="1">
      <c r="H775" s="2"/>
      <c r="AG775" s="2"/>
      <c r="AH775" s="2"/>
    </row>
    <row r="776" ht="15.75" customHeight="1">
      <c r="H776" s="2"/>
      <c r="AG776" s="2"/>
      <c r="AH776" s="2"/>
    </row>
    <row r="777" ht="15.75" customHeight="1">
      <c r="H777" s="2"/>
      <c r="AG777" s="2"/>
      <c r="AH777" s="2"/>
    </row>
    <row r="778" ht="15.75" customHeight="1">
      <c r="H778" s="2"/>
      <c r="AG778" s="2"/>
      <c r="AH778" s="2"/>
    </row>
    <row r="779" ht="15.75" customHeight="1">
      <c r="H779" s="2"/>
      <c r="AG779" s="2"/>
      <c r="AH779" s="2"/>
    </row>
    <row r="780" ht="15.75" customHeight="1">
      <c r="H780" s="2"/>
      <c r="AG780" s="2"/>
      <c r="AH780" s="2"/>
    </row>
    <row r="781" ht="15.75" customHeight="1">
      <c r="H781" s="2"/>
      <c r="AG781" s="2"/>
      <c r="AH781" s="2"/>
    </row>
    <row r="782" ht="15.75" customHeight="1">
      <c r="H782" s="2"/>
      <c r="AG782" s="2"/>
      <c r="AH782" s="2"/>
    </row>
    <row r="783" ht="15.75" customHeight="1">
      <c r="H783" s="2"/>
      <c r="AG783" s="2"/>
      <c r="AH783" s="2"/>
    </row>
    <row r="784" ht="15.75" customHeight="1">
      <c r="H784" s="2"/>
      <c r="AG784" s="2"/>
      <c r="AH784" s="2"/>
    </row>
    <row r="785" ht="15.75" customHeight="1">
      <c r="H785" s="2"/>
      <c r="AG785" s="2"/>
      <c r="AH785" s="2"/>
    </row>
    <row r="786" ht="15.75" customHeight="1">
      <c r="H786" s="2"/>
      <c r="AG786" s="2"/>
      <c r="AH786" s="2"/>
    </row>
    <row r="787" ht="15.75" customHeight="1">
      <c r="H787" s="2"/>
      <c r="AG787" s="2"/>
      <c r="AH787" s="2"/>
    </row>
    <row r="788" ht="15.75" customHeight="1">
      <c r="H788" s="2"/>
      <c r="AG788" s="2"/>
      <c r="AH788" s="2"/>
    </row>
    <row r="789" ht="15.75" customHeight="1">
      <c r="H789" s="2"/>
      <c r="AG789" s="2"/>
      <c r="AH789" s="2"/>
    </row>
    <row r="790" ht="15.75" customHeight="1">
      <c r="H790" s="2"/>
      <c r="AG790" s="2"/>
      <c r="AH790" s="2"/>
    </row>
    <row r="791" ht="15.75" customHeight="1">
      <c r="H791" s="2"/>
      <c r="AG791" s="2"/>
      <c r="AH791" s="2"/>
    </row>
    <row r="792" ht="15.75" customHeight="1">
      <c r="H792" s="2"/>
      <c r="AG792" s="2"/>
      <c r="AH792" s="2"/>
    </row>
    <row r="793" ht="15.75" customHeight="1">
      <c r="H793" s="2"/>
      <c r="AG793" s="2"/>
      <c r="AH793" s="2"/>
    </row>
    <row r="794" ht="15.75" customHeight="1">
      <c r="H794" s="2"/>
      <c r="AG794" s="2"/>
      <c r="AH794" s="2"/>
    </row>
    <row r="795" ht="15.75" customHeight="1">
      <c r="H795" s="2"/>
      <c r="AG795" s="2"/>
      <c r="AH795" s="2"/>
    </row>
    <row r="796" ht="15.75" customHeight="1">
      <c r="H796" s="2"/>
      <c r="AG796" s="2"/>
      <c r="AH796" s="2"/>
    </row>
    <row r="797" ht="15.75" customHeight="1">
      <c r="H797" s="2"/>
      <c r="AG797" s="2"/>
      <c r="AH797" s="2"/>
    </row>
    <row r="798" ht="15.75" customHeight="1">
      <c r="H798" s="2"/>
      <c r="AG798" s="2"/>
      <c r="AH798" s="2"/>
    </row>
    <row r="799" ht="15.75" customHeight="1">
      <c r="H799" s="2"/>
      <c r="AG799" s="2"/>
      <c r="AH799" s="2"/>
    </row>
    <row r="800" ht="15.75" customHeight="1">
      <c r="H800" s="2"/>
      <c r="AG800" s="2"/>
      <c r="AH800" s="2"/>
    </row>
    <row r="801" ht="15.75" customHeight="1">
      <c r="H801" s="2"/>
      <c r="AG801" s="2"/>
      <c r="AH801" s="2"/>
    </row>
    <row r="802" ht="15.75" customHeight="1">
      <c r="H802" s="2"/>
      <c r="AG802" s="2"/>
      <c r="AH802" s="2"/>
    </row>
    <row r="803" ht="15.75" customHeight="1">
      <c r="H803" s="2"/>
      <c r="AG803" s="2"/>
      <c r="AH803" s="2"/>
    </row>
    <row r="804" ht="15.75" customHeight="1">
      <c r="H804" s="2"/>
      <c r="AG804" s="2"/>
      <c r="AH804" s="2"/>
    </row>
    <row r="805" ht="15.75" customHeight="1">
      <c r="H805" s="2"/>
      <c r="AG805" s="2"/>
      <c r="AH805" s="2"/>
    </row>
    <row r="806" ht="15.75" customHeight="1">
      <c r="H806" s="2"/>
      <c r="AG806" s="2"/>
      <c r="AH806" s="2"/>
    </row>
    <row r="807" ht="15.75" customHeight="1">
      <c r="H807" s="2"/>
      <c r="AG807" s="2"/>
      <c r="AH807" s="2"/>
    </row>
    <row r="808" ht="15.75" customHeight="1">
      <c r="H808" s="2"/>
      <c r="AG808" s="2"/>
      <c r="AH808" s="2"/>
    </row>
    <row r="809" ht="15.75" customHeight="1">
      <c r="H809" s="2"/>
      <c r="AG809" s="2"/>
      <c r="AH809" s="2"/>
    </row>
    <row r="810" ht="15.75" customHeight="1">
      <c r="H810" s="2"/>
      <c r="AG810" s="2"/>
      <c r="AH810" s="2"/>
    </row>
    <row r="811" ht="15.75" customHeight="1">
      <c r="H811" s="2"/>
      <c r="AG811" s="2"/>
      <c r="AH811" s="2"/>
    </row>
    <row r="812" ht="15.75" customHeight="1">
      <c r="H812" s="2"/>
      <c r="AG812" s="2"/>
      <c r="AH812" s="2"/>
    </row>
    <row r="813" ht="15.75" customHeight="1">
      <c r="H813" s="2"/>
      <c r="AG813" s="2"/>
      <c r="AH813" s="2"/>
    </row>
    <row r="814" ht="15.75" customHeight="1">
      <c r="H814" s="2"/>
      <c r="AG814" s="2"/>
      <c r="AH814" s="2"/>
    </row>
    <row r="815" ht="15.75" customHeight="1">
      <c r="H815" s="2"/>
      <c r="AG815" s="2"/>
      <c r="AH815" s="2"/>
    </row>
    <row r="816" ht="15.75" customHeight="1">
      <c r="H816" s="2"/>
      <c r="AG816" s="2"/>
      <c r="AH816" s="2"/>
    </row>
    <row r="817" ht="15.75" customHeight="1">
      <c r="H817" s="2"/>
      <c r="AG817" s="2"/>
      <c r="AH817" s="2"/>
    </row>
    <row r="818" ht="15.75" customHeight="1">
      <c r="H818" s="2"/>
      <c r="AG818" s="2"/>
      <c r="AH818" s="2"/>
    </row>
    <row r="819" ht="15.75" customHeight="1">
      <c r="H819" s="2"/>
      <c r="AG819" s="2"/>
      <c r="AH819" s="2"/>
    </row>
    <row r="820" ht="15.75" customHeight="1">
      <c r="H820" s="2"/>
      <c r="AG820" s="2"/>
      <c r="AH820" s="2"/>
    </row>
    <row r="821" ht="15.75" customHeight="1">
      <c r="H821" s="2"/>
      <c r="AG821" s="2"/>
      <c r="AH821" s="2"/>
    </row>
    <row r="822" ht="15.75" customHeight="1">
      <c r="H822" s="2"/>
      <c r="AG822" s="2"/>
      <c r="AH822" s="2"/>
    </row>
    <row r="823" ht="15.75" customHeight="1">
      <c r="H823" s="2"/>
      <c r="AG823" s="2"/>
      <c r="AH823" s="2"/>
    </row>
    <row r="824" ht="15.75" customHeight="1">
      <c r="H824" s="2"/>
      <c r="AG824" s="2"/>
      <c r="AH824" s="2"/>
    </row>
    <row r="825" ht="15.75" customHeight="1">
      <c r="H825" s="2"/>
      <c r="AG825" s="2"/>
      <c r="AH825" s="2"/>
    </row>
    <row r="826" ht="15.75" customHeight="1">
      <c r="H826" s="2"/>
      <c r="AG826" s="2"/>
      <c r="AH826" s="2"/>
    </row>
    <row r="827" ht="15.75" customHeight="1">
      <c r="H827" s="2"/>
      <c r="AG827" s="2"/>
      <c r="AH827" s="2"/>
    </row>
    <row r="828" ht="15.75" customHeight="1">
      <c r="H828" s="2"/>
      <c r="AG828" s="2"/>
      <c r="AH828" s="2"/>
    </row>
    <row r="829" ht="15.75" customHeight="1">
      <c r="H829" s="2"/>
      <c r="AG829" s="2"/>
      <c r="AH829" s="2"/>
    </row>
    <row r="830" ht="15.75" customHeight="1">
      <c r="H830" s="2"/>
      <c r="AG830" s="2"/>
      <c r="AH830" s="2"/>
    </row>
    <row r="831" ht="15.75" customHeight="1">
      <c r="H831" s="2"/>
      <c r="AG831" s="2"/>
      <c r="AH831" s="2"/>
    </row>
    <row r="832" ht="15.75" customHeight="1">
      <c r="H832" s="2"/>
      <c r="AG832" s="2"/>
      <c r="AH832" s="2"/>
    </row>
    <row r="833" ht="15.75" customHeight="1">
      <c r="H833" s="2"/>
      <c r="AG833" s="2"/>
      <c r="AH833" s="2"/>
    </row>
    <row r="834" ht="15.75" customHeight="1">
      <c r="H834" s="2"/>
      <c r="AG834" s="2"/>
      <c r="AH834" s="2"/>
    </row>
    <row r="835" ht="15.75" customHeight="1">
      <c r="H835" s="2"/>
      <c r="AG835" s="2"/>
      <c r="AH835" s="2"/>
    </row>
    <row r="836" ht="15.75" customHeight="1">
      <c r="H836" s="2"/>
      <c r="AG836" s="2"/>
      <c r="AH836" s="2"/>
    </row>
    <row r="837" ht="15.75" customHeight="1">
      <c r="H837" s="2"/>
      <c r="AG837" s="2"/>
      <c r="AH837" s="2"/>
    </row>
    <row r="838" ht="15.75" customHeight="1">
      <c r="H838" s="2"/>
      <c r="AG838" s="2"/>
      <c r="AH838" s="2"/>
    </row>
    <row r="839" ht="15.75" customHeight="1">
      <c r="H839" s="2"/>
      <c r="AG839" s="2"/>
      <c r="AH839" s="2"/>
    </row>
    <row r="840" ht="15.75" customHeight="1">
      <c r="H840" s="2"/>
      <c r="AG840" s="2"/>
      <c r="AH840" s="2"/>
    </row>
    <row r="841" ht="15.75" customHeight="1">
      <c r="H841" s="2"/>
      <c r="AG841" s="2"/>
      <c r="AH841" s="2"/>
    </row>
    <row r="842" ht="15.75" customHeight="1">
      <c r="H842" s="2"/>
      <c r="AG842" s="2"/>
      <c r="AH842" s="2"/>
    </row>
    <row r="843" ht="15.75" customHeight="1">
      <c r="H843" s="2"/>
      <c r="AG843" s="2"/>
      <c r="AH843" s="2"/>
    </row>
    <row r="844" ht="15.75" customHeight="1">
      <c r="H844" s="2"/>
      <c r="AG844" s="2"/>
      <c r="AH844" s="2"/>
    </row>
    <row r="845" ht="15.75" customHeight="1">
      <c r="H845" s="2"/>
      <c r="AG845" s="2"/>
      <c r="AH845" s="2"/>
    </row>
    <row r="846" ht="15.75" customHeight="1">
      <c r="H846" s="2"/>
      <c r="AG846" s="2"/>
      <c r="AH846" s="2"/>
    </row>
    <row r="847" ht="15.75" customHeight="1">
      <c r="H847" s="2"/>
      <c r="AG847" s="2"/>
      <c r="AH847" s="2"/>
    </row>
    <row r="848" ht="15.75" customHeight="1">
      <c r="H848" s="2"/>
      <c r="AG848" s="2"/>
      <c r="AH848" s="2"/>
    </row>
    <row r="849" ht="15.75" customHeight="1">
      <c r="H849" s="2"/>
      <c r="AG849" s="2"/>
      <c r="AH849" s="2"/>
    </row>
    <row r="850" ht="15.75" customHeight="1">
      <c r="H850" s="2"/>
      <c r="AG850" s="2"/>
      <c r="AH850" s="2"/>
    </row>
    <row r="851" ht="15.75" customHeight="1">
      <c r="H851" s="2"/>
      <c r="AG851" s="2"/>
      <c r="AH851" s="2"/>
    </row>
    <row r="852" ht="15.75" customHeight="1">
      <c r="H852" s="2"/>
      <c r="AG852" s="2"/>
      <c r="AH852" s="2"/>
    </row>
    <row r="853" ht="15.75" customHeight="1">
      <c r="H853" s="2"/>
      <c r="AG853" s="2"/>
      <c r="AH853" s="2"/>
    </row>
    <row r="854" ht="15.75" customHeight="1">
      <c r="H854" s="2"/>
      <c r="AG854" s="2"/>
      <c r="AH854" s="2"/>
    </row>
    <row r="855" ht="15.75" customHeight="1">
      <c r="H855" s="2"/>
      <c r="AG855" s="2"/>
      <c r="AH855" s="2"/>
    </row>
    <row r="856" ht="15.75" customHeight="1">
      <c r="H856" s="2"/>
      <c r="AG856" s="2"/>
      <c r="AH856" s="2"/>
    </row>
    <row r="857" ht="15.75" customHeight="1">
      <c r="H857" s="2"/>
      <c r="AG857" s="2"/>
      <c r="AH857" s="2"/>
    </row>
    <row r="858" ht="15.75" customHeight="1">
      <c r="H858" s="2"/>
      <c r="AG858" s="2"/>
      <c r="AH858" s="2"/>
    </row>
    <row r="859" ht="15.75" customHeight="1">
      <c r="H859" s="2"/>
      <c r="AG859" s="2"/>
      <c r="AH859" s="2"/>
    </row>
    <row r="860" ht="15.75" customHeight="1">
      <c r="H860" s="2"/>
      <c r="AG860" s="2"/>
      <c r="AH860" s="2"/>
    </row>
    <row r="861" ht="15.75" customHeight="1">
      <c r="H861" s="2"/>
      <c r="AG861" s="2"/>
      <c r="AH861" s="2"/>
    </row>
    <row r="862" ht="15.75" customHeight="1">
      <c r="H862" s="2"/>
      <c r="AG862" s="2"/>
      <c r="AH862" s="2"/>
    </row>
    <row r="863" ht="15.75" customHeight="1">
      <c r="H863" s="2"/>
      <c r="AG863" s="2"/>
      <c r="AH863" s="2"/>
    </row>
    <row r="864" ht="15.75" customHeight="1">
      <c r="H864" s="2"/>
      <c r="AG864" s="2"/>
      <c r="AH864" s="2"/>
    </row>
    <row r="865" ht="15.75" customHeight="1">
      <c r="H865" s="2"/>
      <c r="AG865" s="2"/>
      <c r="AH865" s="2"/>
    </row>
    <row r="866" ht="15.75" customHeight="1">
      <c r="H866" s="2"/>
      <c r="AG866" s="2"/>
      <c r="AH866" s="2"/>
    </row>
    <row r="867" ht="15.75" customHeight="1">
      <c r="H867" s="2"/>
      <c r="AG867" s="2"/>
      <c r="AH867" s="2"/>
    </row>
    <row r="868" ht="15.75" customHeight="1">
      <c r="H868" s="2"/>
      <c r="AG868" s="2"/>
      <c r="AH868" s="2"/>
    </row>
    <row r="869" ht="15.75" customHeight="1">
      <c r="H869" s="2"/>
      <c r="AG869" s="2"/>
      <c r="AH869" s="2"/>
    </row>
    <row r="870" ht="15.75" customHeight="1">
      <c r="H870" s="2"/>
      <c r="AG870" s="2"/>
      <c r="AH870" s="2"/>
    </row>
    <row r="871" ht="15.75" customHeight="1">
      <c r="H871" s="2"/>
      <c r="AG871" s="2"/>
      <c r="AH871" s="2"/>
    </row>
    <row r="872" ht="15.75" customHeight="1">
      <c r="H872" s="2"/>
      <c r="AG872" s="2"/>
      <c r="AH872" s="2"/>
    </row>
    <row r="873" ht="15.75" customHeight="1">
      <c r="H873" s="2"/>
      <c r="AG873" s="2"/>
      <c r="AH873" s="2"/>
    </row>
    <row r="874" ht="15.75" customHeight="1">
      <c r="H874" s="2"/>
      <c r="AG874" s="2"/>
      <c r="AH874" s="2"/>
    </row>
    <row r="875" ht="15.75" customHeight="1">
      <c r="H875" s="2"/>
      <c r="AG875" s="2"/>
      <c r="AH875" s="2"/>
    </row>
    <row r="876" ht="15.75" customHeight="1">
      <c r="H876" s="2"/>
      <c r="AG876" s="2"/>
      <c r="AH876" s="2"/>
    </row>
    <row r="877" ht="15.75" customHeight="1">
      <c r="H877" s="2"/>
      <c r="AG877" s="2"/>
      <c r="AH877" s="2"/>
    </row>
    <row r="878" ht="15.75" customHeight="1">
      <c r="H878" s="2"/>
      <c r="AG878" s="2"/>
      <c r="AH878" s="2"/>
    </row>
    <row r="879" ht="15.75" customHeight="1">
      <c r="H879" s="2"/>
      <c r="AG879" s="2"/>
      <c r="AH879" s="2"/>
    </row>
    <row r="880" ht="15.75" customHeight="1">
      <c r="H880" s="2"/>
      <c r="AG880" s="2"/>
      <c r="AH880" s="2"/>
    </row>
    <row r="881" ht="15.75" customHeight="1">
      <c r="H881" s="2"/>
      <c r="AG881" s="2"/>
      <c r="AH881" s="2"/>
    </row>
    <row r="882" ht="15.75" customHeight="1">
      <c r="H882" s="2"/>
      <c r="AG882" s="2"/>
      <c r="AH882" s="2"/>
    </row>
    <row r="883" ht="15.75" customHeight="1">
      <c r="H883" s="2"/>
      <c r="AG883" s="2"/>
      <c r="AH883" s="2"/>
    </row>
    <row r="884" ht="15.75" customHeight="1">
      <c r="H884" s="2"/>
      <c r="AG884" s="2"/>
      <c r="AH884" s="2"/>
    </row>
    <row r="885" ht="15.75" customHeight="1">
      <c r="H885" s="2"/>
      <c r="AG885" s="2"/>
      <c r="AH885" s="2"/>
    </row>
    <row r="886" ht="15.75" customHeight="1">
      <c r="H886" s="2"/>
      <c r="AG886" s="2"/>
      <c r="AH886" s="2"/>
    </row>
    <row r="887" ht="15.75" customHeight="1">
      <c r="H887" s="2"/>
      <c r="AG887" s="2"/>
      <c r="AH887" s="2"/>
    </row>
    <row r="888" ht="15.75" customHeight="1">
      <c r="H888" s="2"/>
      <c r="AG888" s="2"/>
      <c r="AH888" s="2"/>
    </row>
    <row r="889" ht="15.75" customHeight="1">
      <c r="H889" s="2"/>
      <c r="AG889" s="2"/>
      <c r="AH889" s="2"/>
    </row>
    <row r="890" ht="15.75" customHeight="1">
      <c r="H890" s="2"/>
      <c r="AG890" s="2"/>
      <c r="AH890" s="2"/>
    </row>
    <row r="891" ht="15.75" customHeight="1">
      <c r="H891" s="2"/>
      <c r="AG891" s="2"/>
      <c r="AH891" s="2"/>
    </row>
    <row r="892" ht="15.75" customHeight="1">
      <c r="H892" s="2"/>
      <c r="AG892" s="2"/>
      <c r="AH892" s="2"/>
    </row>
    <row r="893" ht="15.75" customHeight="1">
      <c r="H893" s="2"/>
      <c r="AG893" s="2"/>
      <c r="AH893" s="2"/>
    </row>
    <row r="894" ht="15.75" customHeight="1">
      <c r="H894" s="2"/>
      <c r="AG894" s="2"/>
      <c r="AH894" s="2"/>
    </row>
    <row r="895" ht="15.75" customHeight="1">
      <c r="H895" s="2"/>
      <c r="AG895" s="2"/>
      <c r="AH895" s="2"/>
    </row>
    <row r="896" ht="15.75" customHeight="1">
      <c r="H896" s="2"/>
      <c r="AG896" s="2"/>
      <c r="AH896" s="2"/>
    </row>
    <row r="897" ht="15.75" customHeight="1">
      <c r="H897" s="2"/>
      <c r="AG897" s="2"/>
      <c r="AH897" s="2"/>
    </row>
    <row r="898" ht="15.75" customHeight="1">
      <c r="H898" s="2"/>
      <c r="AG898" s="2"/>
      <c r="AH898" s="2"/>
    </row>
    <row r="899" ht="15.75" customHeight="1">
      <c r="H899" s="2"/>
      <c r="AG899" s="2"/>
      <c r="AH899" s="2"/>
    </row>
    <row r="900" ht="15.75" customHeight="1">
      <c r="H900" s="2"/>
      <c r="AG900" s="2"/>
      <c r="AH900" s="2"/>
    </row>
    <row r="901" ht="15.75" customHeight="1">
      <c r="H901" s="2"/>
      <c r="AG901" s="2"/>
      <c r="AH901" s="2"/>
    </row>
    <row r="902" ht="15.75" customHeight="1">
      <c r="H902" s="2"/>
      <c r="AG902" s="2"/>
      <c r="AH902" s="2"/>
    </row>
    <row r="903" ht="15.75" customHeight="1">
      <c r="H903" s="2"/>
      <c r="AG903" s="2"/>
      <c r="AH903" s="2"/>
    </row>
    <row r="904" ht="15.75" customHeight="1">
      <c r="H904" s="2"/>
      <c r="AG904" s="2"/>
      <c r="AH904" s="2"/>
    </row>
    <row r="905" ht="15.75" customHeight="1">
      <c r="H905" s="2"/>
      <c r="AG905" s="2"/>
      <c r="AH905" s="2"/>
    </row>
    <row r="906" ht="15.75" customHeight="1">
      <c r="H906" s="2"/>
      <c r="AG906" s="2"/>
      <c r="AH906" s="2"/>
    </row>
    <row r="907" ht="15.75" customHeight="1">
      <c r="H907" s="2"/>
      <c r="AG907" s="2"/>
      <c r="AH907" s="2"/>
    </row>
    <row r="908" ht="15.75" customHeight="1">
      <c r="H908" s="2"/>
      <c r="AG908" s="2"/>
      <c r="AH908" s="2"/>
    </row>
    <row r="909" ht="15.75" customHeight="1">
      <c r="H909" s="2"/>
      <c r="AG909" s="2"/>
      <c r="AH909" s="2"/>
    </row>
    <row r="910" ht="15.75" customHeight="1">
      <c r="H910" s="2"/>
      <c r="AG910" s="2"/>
      <c r="AH910" s="2"/>
    </row>
    <row r="911" ht="15.75" customHeight="1">
      <c r="H911" s="2"/>
      <c r="AG911" s="2"/>
      <c r="AH911" s="2"/>
    </row>
    <row r="912" ht="15.75" customHeight="1">
      <c r="H912" s="2"/>
      <c r="AG912" s="2"/>
      <c r="AH912" s="2"/>
    </row>
    <row r="913" ht="15.75" customHeight="1">
      <c r="H913" s="2"/>
      <c r="AG913" s="2"/>
      <c r="AH913" s="2"/>
    </row>
    <row r="914" ht="15.75" customHeight="1">
      <c r="H914" s="2"/>
      <c r="AG914" s="2"/>
      <c r="AH914" s="2"/>
    </row>
    <row r="915" ht="15.75" customHeight="1">
      <c r="H915" s="2"/>
      <c r="AG915" s="2"/>
      <c r="AH915" s="2"/>
    </row>
    <row r="916" ht="15.75" customHeight="1">
      <c r="H916" s="2"/>
      <c r="AG916" s="2"/>
      <c r="AH916" s="2"/>
    </row>
    <row r="917" ht="15.75" customHeight="1">
      <c r="H917" s="2"/>
      <c r="AG917" s="2"/>
      <c r="AH917" s="2"/>
    </row>
    <row r="918" ht="15.75" customHeight="1">
      <c r="H918" s="2"/>
      <c r="AG918" s="2"/>
      <c r="AH918" s="2"/>
    </row>
    <row r="919" ht="15.75" customHeight="1">
      <c r="H919" s="2"/>
      <c r="AG919" s="2"/>
      <c r="AH919" s="2"/>
    </row>
    <row r="920" ht="15.75" customHeight="1">
      <c r="H920" s="2"/>
      <c r="AG920" s="2"/>
      <c r="AH920" s="2"/>
    </row>
    <row r="921" ht="15.75" customHeight="1">
      <c r="H921" s="2"/>
      <c r="AG921" s="2"/>
      <c r="AH921" s="2"/>
    </row>
    <row r="922" ht="15.75" customHeight="1">
      <c r="H922" s="2"/>
      <c r="AG922" s="2"/>
      <c r="AH922" s="2"/>
    </row>
    <row r="923" ht="15.75" customHeight="1">
      <c r="H923" s="2"/>
      <c r="AG923" s="2"/>
      <c r="AH923" s="2"/>
    </row>
    <row r="924" ht="15.75" customHeight="1">
      <c r="H924" s="2"/>
      <c r="AG924" s="2"/>
      <c r="AH924" s="2"/>
    </row>
    <row r="925" ht="15.75" customHeight="1">
      <c r="H925" s="2"/>
      <c r="AG925" s="2"/>
      <c r="AH925" s="2"/>
    </row>
    <row r="926" ht="15.75" customHeight="1">
      <c r="H926" s="2"/>
      <c r="AG926" s="2"/>
      <c r="AH926" s="2"/>
    </row>
    <row r="927" ht="15.75" customHeight="1">
      <c r="H927" s="2"/>
      <c r="AG927" s="2"/>
      <c r="AH927" s="2"/>
    </row>
    <row r="928" ht="15.75" customHeight="1">
      <c r="H928" s="2"/>
      <c r="AG928" s="2"/>
      <c r="AH928" s="2"/>
    </row>
    <row r="929" ht="15.75" customHeight="1">
      <c r="H929" s="2"/>
      <c r="AG929" s="2"/>
      <c r="AH929" s="2"/>
    </row>
    <row r="930" ht="15.75" customHeight="1">
      <c r="H930" s="2"/>
      <c r="AG930" s="2"/>
      <c r="AH930" s="2"/>
    </row>
    <row r="931" ht="15.75" customHeight="1">
      <c r="H931" s="2"/>
      <c r="AG931" s="2"/>
      <c r="AH931" s="2"/>
    </row>
    <row r="932" ht="15.75" customHeight="1">
      <c r="H932" s="2"/>
      <c r="AG932" s="2"/>
      <c r="AH932" s="2"/>
    </row>
    <row r="933" ht="15.75" customHeight="1">
      <c r="H933" s="2"/>
      <c r="AG933" s="2"/>
      <c r="AH933" s="2"/>
    </row>
    <row r="934" ht="15.75" customHeight="1">
      <c r="H934" s="2"/>
      <c r="AG934" s="2"/>
      <c r="AH934" s="2"/>
    </row>
    <row r="935" ht="15.75" customHeight="1">
      <c r="H935" s="2"/>
      <c r="AG935" s="2"/>
      <c r="AH935" s="2"/>
    </row>
    <row r="936" ht="15.75" customHeight="1">
      <c r="H936" s="2"/>
      <c r="AG936" s="2"/>
      <c r="AH936" s="2"/>
    </row>
    <row r="937" ht="15.75" customHeight="1">
      <c r="H937" s="2"/>
      <c r="AG937" s="2"/>
      <c r="AH937" s="2"/>
    </row>
    <row r="938" ht="15.75" customHeight="1">
      <c r="H938" s="2"/>
      <c r="AG938" s="2"/>
      <c r="AH938" s="2"/>
    </row>
    <row r="939" ht="15.75" customHeight="1">
      <c r="H939" s="2"/>
      <c r="AG939" s="2"/>
      <c r="AH939" s="2"/>
    </row>
    <row r="940" ht="15.75" customHeight="1">
      <c r="H940" s="2"/>
      <c r="AG940" s="2"/>
      <c r="AH940" s="2"/>
    </row>
    <row r="941" ht="15.75" customHeight="1">
      <c r="H941" s="2"/>
      <c r="AG941" s="2"/>
      <c r="AH941" s="2"/>
    </row>
    <row r="942" ht="15.75" customHeight="1">
      <c r="H942" s="2"/>
      <c r="AG942" s="2"/>
      <c r="AH942" s="2"/>
    </row>
    <row r="943" ht="15.75" customHeight="1">
      <c r="H943" s="2"/>
      <c r="AG943" s="2"/>
      <c r="AH943" s="2"/>
    </row>
    <row r="944" ht="15.75" customHeight="1">
      <c r="H944" s="2"/>
      <c r="AG944" s="2"/>
      <c r="AH944" s="2"/>
    </row>
    <row r="945" ht="15.75" customHeight="1">
      <c r="H945" s="2"/>
      <c r="AG945" s="2"/>
      <c r="AH945" s="2"/>
    </row>
    <row r="946" ht="15.75" customHeight="1">
      <c r="H946" s="2"/>
      <c r="AG946" s="2"/>
      <c r="AH946" s="2"/>
    </row>
    <row r="947" ht="15.75" customHeight="1">
      <c r="H947" s="2"/>
      <c r="AG947" s="2"/>
      <c r="AH947" s="2"/>
    </row>
    <row r="948" ht="15.75" customHeight="1">
      <c r="H948" s="2"/>
      <c r="AG948" s="2"/>
      <c r="AH948" s="2"/>
    </row>
    <row r="949" ht="15.75" customHeight="1">
      <c r="H949" s="2"/>
      <c r="AG949" s="2"/>
      <c r="AH949" s="2"/>
    </row>
    <row r="950" ht="15.75" customHeight="1">
      <c r="H950" s="2"/>
      <c r="AG950" s="2"/>
      <c r="AH950" s="2"/>
    </row>
    <row r="951" ht="15.75" customHeight="1">
      <c r="H951" s="2"/>
      <c r="AG951" s="2"/>
      <c r="AH951" s="2"/>
    </row>
    <row r="952" ht="15.75" customHeight="1">
      <c r="H952" s="2"/>
      <c r="AG952" s="2"/>
      <c r="AH952" s="2"/>
    </row>
    <row r="953" ht="15.75" customHeight="1">
      <c r="H953" s="2"/>
      <c r="AG953" s="2"/>
      <c r="AH953" s="2"/>
    </row>
    <row r="954" ht="15.75" customHeight="1">
      <c r="H954" s="2"/>
      <c r="AG954" s="2"/>
      <c r="AH954" s="2"/>
    </row>
    <row r="955" ht="15.75" customHeight="1">
      <c r="H955" s="2"/>
      <c r="AG955" s="2"/>
      <c r="AH955" s="2"/>
    </row>
    <row r="956" ht="15.75" customHeight="1">
      <c r="H956" s="2"/>
      <c r="AG956" s="2"/>
      <c r="AH956" s="2"/>
    </row>
    <row r="957" ht="15.75" customHeight="1">
      <c r="H957" s="2"/>
      <c r="AG957" s="2"/>
      <c r="AH957" s="2"/>
    </row>
    <row r="958" ht="15.75" customHeight="1">
      <c r="H958" s="2"/>
      <c r="AG958" s="2"/>
      <c r="AH958" s="2"/>
    </row>
    <row r="959" ht="15.75" customHeight="1">
      <c r="H959" s="2"/>
      <c r="AG959" s="2"/>
      <c r="AH959" s="2"/>
    </row>
    <row r="960" ht="15.75" customHeight="1">
      <c r="H960" s="2"/>
      <c r="AG960" s="2"/>
      <c r="AH960" s="2"/>
    </row>
    <row r="961" ht="15.75" customHeight="1">
      <c r="H961" s="2"/>
      <c r="AG961" s="2"/>
      <c r="AH961" s="2"/>
    </row>
    <row r="962" ht="15.75" customHeight="1">
      <c r="H962" s="2"/>
      <c r="AG962" s="2"/>
      <c r="AH962" s="2"/>
    </row>
    <row r="963" ht="15.75" customHeight="1">
      <c r="H963" s="2"/>
      <c r="AG963" s="2"/>
      <c r="AH963" s="2"/>
    </row>
    <row r="964" ht="15.75" customHeight="1">
      <c r="H964" s="2"/>
      <c r="AG964" s="2"/>
      <c r="AH964" s="2"/>
    </row>
    <row r="965" ht="15.75" customHeight="1">
      <c r="H965" s="2"/>
      <c r="AG965" s="2"/>
      <c r="AH965" s="2"/>
    </row>
    <row r="966" ht="15.75" customHeight="1">
      <c r="H966" s="2"/>
      <c r="AG966" s="2"/>
      <c r="AH966" s="2"/>
    </row>
    <row r="967" ht="15.75" customHeight="1">
      <c r="H967" s="2"/>
      <c r="AG967" s="2"/>
      <c r="AH967" s="2"/>
    </row>
    <row r="968" ht="15.75" customHeight="1">
      <c r="H968" s="2"/>
      <c r="AG968" s="2"/>
      <c r="AH968" s="2"/>
    </row>
    <row r="969" ht="15.75" customHeight="1">
      <c r="H969" s="2"/>
      <c r="AG969" s="2"/>
      <c r="AH969" s="2"/>
    </row>
    <row r="970" ht="15.75" customHeight="1">
      <c r="H970" s="2"/>
      <c r="AG970" s="2"/>
      <c r="AH970" s="2"/>
    </row>
    <row r="971" ht="15.75" customHeight="1">
      <c r="H971" s="2"/>
      <c r="AG971" s="2"/>
      <c r="AH971" s="2"/>
    </row>
    <row r="972" ht="15.75" customHeight="1">
      <c r="H972" s="2"/>
      <c r="AG972" s="2"/>
      <c r="AH972" s="2"/>
    </row>
    <row r="973" ht="15.75" customHeight="1">
      <c r="H973" s="2"/>
      <c r="AG973" s="2"/>
      <c r="AH973" s="2"/>
    </row>
    <row r="974" ht="15.75" customHeight="1">
      <c r="H974" s="2"/>
      <c r="AG974" s="2"/>
      <c r="AH974" s="2"/>
    </row>
    <row r="975" ht="15.75" customHeight="1">
      <c r="H975" s="2"/>
      <c r="AG975" s="2"/>
      <c r="AH975" s="2"/>
    </row>
    <row r="976" ht="15.75" customHeight="1">
      <c r="H976" s="2"/>
      <c r="AG976" s="2"/>
      <c r="AH976" s="2"/>
    </row>
    <row r="977" ht="15.75" customHeight="1">
      <c r="H977" s="2"/>
      <c r="AG977" s="2"/>
      <c r="AH977" s="2"/>
    </row>
    <row r="978" ht="15.75" customHeight="1">
      <c r="H978" s="2"/>
      <c r="AG978" s="2"/>
      <c r="AH978" s="2"/>
    </row>
    <row r="979" ht="15.75" customHeight="1">
      <c r="H979" s="2"/>
      <c r="AG979" s="2"/>
      <c r="AH979" s="2"/>
    </row>
    <row r="980" ht="15.75" customHeight="1">
      <c r="H980" s="2"/>
      <c r="AG980" s="2"/>
      <c r="AH980" s="2"/>
    </row>
    <row r="981" ht="15.75" customHeight="1">
      <c r="H981" s="2"/>
      <c r="AG981" s="2"/>
      <c r="AH981" s="2"/>
    </row>
    <row r="982" ht="15.75" customHeight="1">
      <c r="H982" s="2"/>
      <c r="AG982" s="2"/>
      <c r="AH982" s="2"/>
    </row>
    <row r="983" ht="15.75" customHeight="1">
      <c r="H983" s="2"/>
      <c r="AG983" s="2"/>
      <c r="AH983" s="2"/>
    </row>
    <row r="984" ht="15.75" customHeight="1">
      <c r="H984" s="2"/>
      <c r="AG984" s="2"/>
      <c r="AH984" s="2"/>
    </row>
    <row r="985" ht="15.75" customHeight="1">
      <c r="H985" s="2"/>
      <c r="AG985" s="2"/>
      <c r="AH985" s="2"/>
    </row>
    <row r="986" ht="15.75" customHeight="1">
      <c r="H986" s="2"/>
      <c r="AG986" s="2"/>
      <c r="AH986" s="2"/>
    </row>
    <row r="987" ht="15.75" customHeight="1">
      <c r="H987" s="2"/>
      <c r="AG987" s="2"/>
      <c r="AH987" s="2"/>
    </row>
    <row r="988" ht="15.75" customHeight="1">
      <c r="H988" s="2"/>
      <c r="AG988" s="2"/>
      <c r="AH988" s="2"/>
    </row>
    <row r="989" ht="15.75" customHeight="1">
      <c r="H989" s="2"/>
      <c r="AG989" s="2"/>
      <c r="AH989" s="2"/>
    </row>
    <row r="990" ht="15.75" customHeight="1">
      <c r="H990" s="2"/>
      <c r="AG990" s="2"/>
      <c r="AH990" s="2"/>
    </row>
    <row r="991" ht="15.75" customHeight="1">
      <c r="H991" s="2"/>
      <c r="AG991" s="2"/>
      <c r="AH991" s="2"/>
    </row>
    <row r="992" ht="15.75" customHeight="1">
      <c r="H992" s="2"/>
      <c r="AG992" s="2"/>
      <c r="AH992" s="2"/>
    </row>
    <row r="993" ht="15.75" customHeight="1">
      <c r="H993" s="2"/>
      <c r="AG993" s="2"/>
      <c r="AH993" s="2"/>
    </row>
    <row r="994" ht="15.75" customHeight="1">
      <c r="H994" s="2"/>
      <c r="AG994" s="2"/>
      <c r="AH994" s="2"/>
    </row>
    <row r="995" ht="15.75" customHeight="1">
      <c r="H995" s="2"/>
      <c r="AG995" s="2"/>
      <c r="AH995" s="2"/>
    </row>
    <row r="996" ht="15.75" customHeight="1">
      <c r="H996" s="2"/>
      <c r="AG996" s="2"/>
      <c r="AH996" s="2"/>
    </row>
    <row r="997" ht="15.75" customHeight="1">
      <c r="H997" s="2"/>
      <c r="AG997" s="2"/>
      <c r="AH997" s="2"/>
    </row>
    <row r="998" ht="15.75" customHeight="1">
      <c r="H998" s="2"/>
      <c r="AG998" s="2"/>
      <c r="AH998" s="2"/>
    </row>
    <row r="999" ht="15.75" customHeight="1">
      <c r="H999" s="2"/>
      <c r="AG999" s="2"/>
      <c r="AH999" s="2"/>
    </row>
    <row r="1000" ht="15.75" customHeight="1">
      <c r="H1000" s="2"/>
      <c r="AG1000" s="2"/>
      <c r="AH1000" s="2"/>
    </row>
  </sheetData>
  <autoFilter ref="$A$1:$T$50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43"/>
    <col customWidth="1" min="3" max="3" width="20.57"/>
    <col customWidth="1" min="4" max="4" width="21.43"/>
    <col customWidth="1" min="5" max="26" width="8.71"/>
  </cols>
  <sheetData>
    <row r="1" ht="14.25" customHeight="1">
      <c r="B1" s="2"/>
    </row>
    <row r="2" ht="14.25" customHeight="1">
      <c r="B2" s="19" t="s">
        <v>2192</v>
      </c>
    </row>
    <row r="3" ht="14.25" customHeight="1">
      <c r="B3" s="18" t="s">
        <v>2193</v>
      </c>
    </row>
    <row r="4" ht="14.25" customHeight="1">
      <c r="B4" s="2"/>
      <c r="C4" s="18">
        <f t="array" ref="C4">COUNTA(UNIQUE(data!$A$2:$A$501))</f>
        <v>100</v>
      </c>
      <c r="D4" s="20" t="str">
        <f>FORMULATEXT(C4)</f>
        <v>=COUNTA(UNIQUE(data!$A$2:$A$501))</v>
      </c>
      <c r="E4" s="5"/>
      <c r="F4" s="5"/>
      <c r="G4" s="6"/>
    </row>
    <row r="5" ht="14.25" customHeight="1">
      <c r="B5" s="2"/>
    </row>
    <row r="6" ht="14.25" customHeight="1">
      <c r="B6" s="19" t="s">
        <v>2194</v>
      </c>
    </row>
    <row r="7" ht="14.25" customHeight="1">
      <c r="B7" s="2" t="s">
        <v>2195</v>
      </c>
    </row>
    <row r="8" ht="14.25" customHeight="1">
      <c r="B8" s="2" t="s">
        <v>2196</v>
      </c>
      <c r="C8" s="18">
        <f t="array" ref="C8">COUNTA(UNIQUE(data!L2:L501))</f>
        <v>50</v>
      </c>
      <c r="D8" s="21" t="str">
        <f>FORMULATEXT(C8)</f>
        <v>=COUNTA(UNIQUE(data!L2:L501))</v>
      </c>
      <c r="E8" s="5"/>
      <c r="F8" s="5"/>
      <c r="G8" s="6"/>
    </row>
    <row r="9" ht="14.25" customHeight="1">
      <c r="B9" s="2"/>
    </row>
    <row r="10" ht="14.25" customHeight="1">
      <c r="B10" s="19" t="s">
        <v>2197</v>
      </c>
    </row>
    <row r="11" ht="14.25" customHeight="1">
      <c r="B11" s="2" t="s">
        <v>2198</v>
      </c>
    </row>
    <row r="12" ht="14.25" customHeight="1">
      <c r="B12" s="2" t="s">
        <v>2076</v>
      </c>
      <c r="C12" s="20" t="s">
        <v>2199</v>
      </c>
      <c r="D12" s="5"/>
      <c r="E12" s="6"/>
    </row>
    <row r="13" ht="14.25" customHeight="1">
      <c r="B13" s="2"/>
      <c r="C13" s="2"/>
    </row>
    <row r="14" ht="14.25" customHeight="1">
      <c r="B14" s="19" t="s">
        <v>2200</v>
      </c>
    </row>
    <row r="15" ht="14.25" customHeight="1">
      <c r="B15" s="2" t="s">
        <v>2198</v>
      </c>
    </row>
    <row r="16" ht="14.25" customHeight="1">
      <c r="B16" s="2" t="s">
        <v>2078</v>
      </c>
      <c r="C16" s="22" t="s">
        <v>2201</v>
      </c>
    </row>
    <row r="17" ht="14.25" customHeight="1">
      <c r="B17" s="2"/>
    </row>
    <row r="18" ht="14.25" customHeight="1">
      <c r="B18" s="19" t="s">
        <v>2202</v>
      </c>
    </row>
    <row r="19" ht="14.25" customHeight="1">
      <c r="B19" s="2" t="s">
        <v>2198</v>
      </c>
    </row>
    <row r="20" ht="14.25" customHeight="1">
      <c r="B20" s="2" t="s">
        <v>2203</v>
      </c>
      <c r="C20" s="22" t="s">
        <v>2204</v>
      </c>
    </row>
    <row r="21" ht="14.25" customHeight="1">
      <c r="B21" s="2"/>
    </row>
    <row r="22" ht="14.25" customHeight="1">
      <c r="B22" s="19" t="s">
        <v>2205</v>
      </c>
    </row>
    <row r="23" ht="14.25" customHeight="1">
      <c r="B23" s="2" t="s">
        <v>2198</v>
      </c>
    </row>
    <row r="24" ht="14.25" customHeight="1">
      <c r="B24" s="2" t="s">
        <v>2080</v>
      </c>
      <c r="C24" s="20" t="s">
        <v>2206</v>
      </c>
      <c r="D24" s="5"/>
      <c r="E24" s="5"/>
      <c r="F24" s="5"/>
      <c r="G24" s="5"/>
      <c r="H24" s="5"/>
      <c r="I24" s="6"/>
    </row>
    <row r="25" ht="14.25" customHeight="1">
      <c r="B25" s="2"/>
    </row>
    <row r="26" ht="14.25" customHeight="1">
      <c r="B26" s="19" t="s">
        <v>2207</v>
      </c>
    </row>
    <row r="27" ht="14.25" customHeight="1">
      <c r="B27" s="2" t="s">
        <v>2198</v>
      </c>
    </row>
    <row r="28" ht="14.25" customHeight="1">
      <c r="B28" s="2" t="s">
        <v>2208</v>
      </c>
      <c r="C28" s="20" t="s">
        <v>2209</v>
      </c>
      <c r="D28" s="6"/>
    </row>
    <row r="29" ht="14.25" customHeight="1">
      <c r="B29" s="2" t="s">
        <v>2082</v>
      </c>
      <c r="C29" s="20" t="s">
        <v>2210</v>
      </c>
      <c r="D29" s="5"/>
      <c r="E29" s="6"/>
    </row>
    <row r="30" ht="14.25" customHeight="1">
      <c r="B30" s="2"/>
    </row>
    <row r="31" ht="14.25" customHeight="1">
      <c r="B31" s="2"/>
    </row>
    <row r="32" ht="14.25" customHeight="1">
      <c r="B32" s="19" t="s">
        <v>2211</v>
      </c>
    </row>
    <row r="33" ht="14.25" customHeight="1">
      <c r="B33" s="2" t="s">
        <v>2198</v>
      </c>
    </row>
    <row r="34" ht="14.25" customHeight="1">
      <c r="B34" s="2" t="s">
        <v>2212</v>
      </c>
      <c r="C34" s="2" t="s">
        <v>2213</v>
      </c>
    </row>
    <row r="35" ht="14.25" customHeight="1">
      <c r="B35" s="2"/>
    </row>
    <row r="36" ht="14.25" customHeight="1">
      <c r="B36" s="2"/>
    </row>
    <row r="37" ht="14.25" customHeight="1">
      <c r="B37" s="19" t="s">
        <v>2214</v>
      </c>
    </row>
    <row r="38" ht="14.25" customHeight="1">
      <c r="B38" s="2" t="s">
        <v>2198</v>
      </c>
    </row>
    <row r="39" ht="14.25" customHeight="1">
      <c r="B39" s="2" t="s">
        <v>2088</v>
      </c>
      <c r="C39" s="20" t="s">
        <v>2215</v>
      </c>
      <c r="D39" s="5"/>
      <c r="E39" s="6"/>
    </row>
    <row r="40" ht="14.25" customHeight="1">
      <c r="B40" s="2" t="s">
        <v>2089</v>
      </c>
      <c r="C40" s="22" t="s">
        <v>2216</v>
      </c>
      <c r="D40" s="22"/>
      <c r="E40" s="22"/>
      <c r="F40" s="22"/>
    </row>
    <row r="41" ht="14.25" customHeight="1">
      <c r="B41" s="2"/>
    </row>
    <row r="42" ht="14.25" customHeight="1">
      <c r="B42" s="2"/>
    </row>
    <row r="43" ht="14.25" customHeight="1">
      <c r="B43" s="19" t="s">
        <v>2217</v>
      </c>
    </row>
    <row r="44" ht="14.25" customHeight="1">
      <c r="B44" s="2" t="s">
        <v>2198</v>
      </c>
    </row>
    <row r="45" ht="14.25" customHeight="1">
      <c r="B45" s="2" t="s">
        <v>2218</v>
      </c>
      <c r="C45" s="23" t="s">
        <v>2219</v>
      </c>
      <c r="D45" s="5"/>
      <c r="E45" s="5"/>
      <c r="F45" s="5"/>
      <c r="G45" s="6"/>
    </row>
    <row r="46" ht="14.25" customHeight="1">
      <c r="B46" s="2"/>
    </row>
    <row r="47" ht="14.25" customHeight="1">
      <c r="B47" s="2"/>
    </row>
    <row r="48" ht="14.25" customHeight="1">
      <c r="B48" s="19" t="s">
        <v>2220</v>
      </c>
    </row>
    <row r="49" ht="14.25" customHeight="1">
      <c r="B49" s="2" t="s">
        <v>2198</v>
      </c>
    </row>
    <row r="50" ht="14.25" customHeight="1">
      <c r="B50" s="2" t="s">
        <v>2221</v>
      </c>
      <c r="C50" s="23" t="s">
        <v>2222</v>
      </c>
      <c r="D50" s="6"/>
    </row>
    <row r="51" ht="14.25" customHeight="1">
      <c r="B51" s="2"/>
    </row>
    <row r="52" ht="14.25" customHeight="1">
      <c r="B52" s="2"/>
    </row>
    <row r="53" ht="14.25" customHeight="1">
      <c r="B53" s="19" t="s">
        <v>2223</v>
      </c>
    </row>
    <row r="54" ht="14.25" customHeight="1">
      <c r="B54" s="2" t="s">
        <v>2198</v>
      </c>
    </row>
    <row r="55" ht="14.25" customHeight="1">
      <c r="B55" s="2" t="s">
        <v>2084</v>
      </c>
      <c r="C55" s="23" t="s">
        <v>2224</v>
      </c>
      <c r="D55" s="5"/>
      <c r="E55" s="5"/>
      <c r="F55" s="5"/>
      <c r="G55" s="5"/>
      <c r="H55" s="6"/>
    </row>
    <row r="56" ht="14.25" customHeight="1">
      <c r="B56" s="2" t="s">
        <v>2225</v>
      </c>
      <c r="C56" s="2">
        <f>COUNTIF(Solutions!AC2:AC501,B56)</f>
        <v>357</v>
      </c>
      <c r="D56" s="23" t="str">
        <f t="shared" ref="D56:D57" si="1">FORMULATEXT(C56)</f>
        <v>=COUNTIF(Solutions!AC2:AC501,B56)</v>
      </c>
      <c r="E56" s="5"/>
      <c r="F56" s="5"/>
      <c r="G56" s="5"/>
      <c r="H56" s="6"/>
    </row>
    <row r="57" ht="14.25" customHeight="1">
      <c r="B57" s="2" t="s">
        <v>2226</v>
      </c>
      <c r="C57" s="2">
        <f>COUNTIF(Solutions!AC2:AC501,B57)</f>
        <v>143</v>
      </c>
      <c r="D57" s="23" t="str">
        <f t="shared" si="1"/>
        <v>=COUNTIF(Solutions!AC2:AC501,B57)</v>
      </c>
      <c r="E57" s="5"/>
      <c r="F57" s="5"/>
      <c r="G57" s="5"/>
      <c r="H57" s="6"/>
    </row>
    <row r="58" ht="14.25" customHeight="1">
      <c r="B58" s="2"/>
    </row>
    <row r="59" ht="14.25" customHeight="1">
      <c r="B59" s="2"/>
    </row>
    <row r="60" ht="14.25" customHeight="1">
      <c r="B60" s="19" t="s">
        <v>2227</v>
      </c>
    </row>
    <row r="61" ht="14.25" customHeight="1">
      <c r="B61" s="2" t="s">
        <v>2198</v>
      </c>
    </row>
    <row r="62" ht="14.25" customHeight="1">
      <c r="B62" s="2" t="s">
        <v>2228</v>
      </c>
      <c r="C62" s="23" t="s">
        <v>2229</v>
      </c>
      <c r="D62" s="5"/>
      <c r="E62" s="5"/>
      <c r="F62" s="5"/>
      <c r="G62" s="5"/>
      <c r="H62" s="6"/>
    </row>
    <row r="63" ht="14.25" customHeight="1">
      <c r="B63" s="2"/>
    </row>
    <row r="64" ht="14.25" customHeight="1">
      <c r="B64" s="2"/>
    </row>
    <row r="65" ht="14.25" customHeight="1">
      <c r="B65" s="19" t="s">
        <v>2230</v>
      </c>
    </row>
    <row r="66" ht="14.25" customHeight="1">
      <c r="B66" s="2" t="s">
        <v>2198</v>
      </c>
    </row>
    <row r="67" ht="14.25" customHeight="1">
      <c r="B67" s="2" t="s">
        <v>2231</v>
      </c>
      <c r="C67" s="23" t="s">
        <v>2232</v>
      </c>
      <c r="D67" s="5"/>
      <c r="E67" s="6"/>
    </row>
    <row r="68" ht="14.25" customHeight="1">
      <c r="B68" s="2" t="s">
        <v>2086</v>
      </c>
      <c r="C68" s="23" t="s">
        <v>2233</v>
      </c>
      <c r="D68" s="5"/>
      <c r="E68" s="5"/>
      <c r="F68" s="5"/>
      <c r="G68" s="5"/>
      <c r="H68" s="5"/>
      <c r="I68" s="5"/>
      <c r="J68" s="5"/>
      <c r="K68" s="6"/>
    </row>
    <row r="69" ht="14.25" customHeight="1">
      <c r="B69" s="2"/>
    </row>
    <row r="70" ht="14.25" customHeight="1">
      <c r="B70" s="2"/>
    </row>
    <row r="71" ht="14.25" customHeight="1">
      <c r="B71" s="19" t="s">
        <v>2234</v>
      </c>
    </row>
    <row r="72" ht="14.25" customHeight="1">
      <c r="B72" s="2" t="s">
        <v>2198</v>
      </c>
    </row>
    <row r="73" ht="14.25" customHeight="1">
      <c r="B73" s="2"/>
    </row>
    <row r="74" ht="14.25" customHeight="1">
      <c r="B74" s="2" t="s">
        <v>2235</v>
      </c>
      <c r="C74" s="18">
        <f>COUNTIF(Solutions!A2:AE501,B74)</f>
        <v>112</v>
      </c>
      <c r="D74" s="18" t="str">
        <f t="shared" ref="D74:D77" si="2">FORMULATEXT(C74)</f>
        <v>=COUNTIF(Solutions!A2:AE501,B74)</v>
      </c>
    </row>
    <row r="75" ht="14.25" customHeight="1">
      <c r="B75" s="2" t="s">
        <v>2236</v>
      </c>
      <c r="C75" s="2">
        <f>COUNTIF(Solutions!A3:AE502,B75)</f>
        <v>118</v>
      </c>
      <c r="D75" s="2" t="str">
        <f t="shared" si="2"/>
        <v>=COUNTIF(Solutions!A3:AE502,B75)</v>
      </c>
    </row>
    <row r="76" ht="14.25" customHeight="1">
      <c r="B76" s="2" t="s">
        <v>2237</v>
      </c>
      <c r="C76" s="2">
        <f>COUNTIF(Solutions!A4:AE503,B76)</f>
        <v>138</v>
      </c>
      <c r="D76" s="2" t="str">
        <f t="shared" si="2"/>
        <v>=COUNTIF(Solutions!A4:AE503,B76)</v>
      </c>
    </row>
    <row r="77" ht="14.25" customHeight="1">
      <c r="B77" s="2" t="s">
        <v>2238</v>
      </c>
      <c r="C77" s="2">
        <f>COUNTIF(Solutions!A5:AE504,B77)</f>
        <v>131</v>
      </c>
      <c r="D77" s="2" t="str">
        <f t="shared" si="2"/>
        <v>=COUNTIF(Solutions!A5:AE504,B77)</v>
      </c>
    </row>
    <row r="78" ht="14.25" customHeight="1">
      <c r="B78" s="2"/>
    </row>
    <row r="79" ht="14.25" customHeight="1">
      <c r="B79" s="2"/>
    </row>
    <row r="80" ht="14.25" customHeight="1">
      <c r="B80" s="19" t="s">
        <v>2239</v>
      </c>
    </row>
    <row r="81" ht="14.25" customHeight="1">
      <c r="B81" s="2" t="s">
        <v>2198</v>
      </c>
    </row>
    <row r="82" ht="14.25" customHeight="1">
      <c r="B82" s="2" t="s">
        <v>2240</v>
      </c>
      <c r="C82" s="24" t="s">
        <v>2241</v>
      </c>
    </row>
    <row r="83" ht="14.25" customHeight="1">
      <c r="B83" s="2"/>
    </row>
    <row r="84" ht="14.25" customHeight="1">
      <c r="B84" s="19" t="s">
        <v>2242</v>
      </c>
    </row>
    <row r="85" ht="14.25" customHeight="1">
      <c r="B85" s="2" t="s">
        <v>2243</v>
      </c>
      <c r="C85" s="18" t="s">
        <v>2244</v>
      </c>
    </row>
    <row r="86" ht="14.25" customHeight="1">
      <c r="B86" s="25">
        <v>12.0</v>
      </c>
      <c r="C86" s="2">
        <v>28.0</v>
      </c>
    </row>
    <row r="87" ht="14.25" customHeight="1">
      <c r="B87" s="25">
        <v>10.0</v>
      </c>
      <c r="C87" s="2">
        <v>26.0</v>
      </c>
    </row>
    <row r="88" ht="14.25" customHeight="1">
      <c r="B88" s="25">
        <v>4.0</v>
      </c>
      <c r="C88" s="2">
        <v>25.0</v>
      </c>
    </row>
    <row r="89" ht="14.25" customHeight="1">
      <c r="B89" s="25">
        <v>18.0</v>
      </c>
      <c r="C89" s="2">
        <v>25.0</v>
      </c>
    </row>
    <row r="90" ht="14.25" customHeight="1">
      <c r="B90" s="25">
        <v>8.0</v>
      </c>
      <c r="C90" s="2">
        <v>24.0</v>
      </c>
    </row>
    <row r="91" ht="14.25" customHeight="1">
      <c r="B91" s="25" t="s">
        <v>2245</v>
      </c>
      <c r="C91" s="2">
        <v>128.0</v>
      </c>
    </row>
    <row r="92" ht="14.25" customHeight="1"/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6" t="s">
        <v>2067</v>
      </c>
      <c r="C94" s="26"/>
      <c r="D94" s="26"/>
      <c r="E94" s="2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/>
    <row r="96" ht="14.25" customHeight="1">
      <c r="B96" s="19" t="s">
        <v>2246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>
      <c r="B116" s="19" t="s">
        <v>2194</v>
      </c>
    </row>
    <row r="117" ht="14.25" customHeight="1">
      <c r="B117" s="2"/>
    </row>
    <row r="118" ht="14.25" customHeight="1">
      <c r="B118" s="2" t="s">
        <v>2243</v>
      </c>
      <c r="C118" s="18" t="s">
        <v>2249</v>
      </c>
    </row>
    <row r="119" ht="14.25" customHeight="1">
      <c r="B119" s="25" t="s">
        <v>349</v>
      </c>
      <c r="C119" s="2">
        <v>15339.5977</v>
      </c>
    </row>
    <row r="120" ht="14.25" customHeight="1">
      <c r="B120" s="25" t="s">
        <v>546</v>
      </c>
      <c r="C120" s="2">
        <v>15758.1692</v>
      </c>
    </row>
    <row r="121" ht="14.25" customHeight="1">
      <c r="B121" s="25" t="s">
        <v>316</v>
      </c>
      <c r="C121" s="2">
        <v>18899.2772</v>
      </c>
    </row>
    <row r="122" ht="14.25" customHeight="1">
      <c r="B122" s="25" t="s">
        <v>488</v>
      </c>
      <c r="C122" s="2">
        <v>14616.912</v>
      </c>
    </row>
    <row r="123" ht="14.25" customHeight="1">
      <c r="B123" s="25" t="s">
        <v>88</v>
      </c>
      <c r="C123" s="2">
        <v>16379.612399999998</v>
      </c>
    </row>
    <row r="124" ht="14.25" customHeight="1">
      <c r="B124" s="25" t="s">
        <v>2245</v>
      </c>
      <c r="C124" s="2">
        <v>80993.5685</v>
      </c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>
      <c r="B135" s="19" t="s">
        <v>2197</v>
      </c>
    </row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>
      <c r="B154" s="19" t="s">
        <v>2200</v>
      </c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>
      <c r="B174" s="19" t="s">
        <v>2202</v>
      </c>
    </row>
    <row r="175" ht="14.25" customHeight="1"/>
    <row r="176" ht="14.25" customHeight="1">
      <c r="B176" s="2" t="s">
        <v>2243</v>
      </c>
      <c r="C176" s="18" t="s">
        <v>2249</v>
      </c>
    </row>
    <row r="177" ht="14.25" customHeight="1">
      <c r="B177" s="25" t="s">
        <v>2265</v>
      </c>
      <c r="C177" s="2">
        <v>13056.678899999997</v>
      </c>
    </row>
    <row r="178" ht="14.25" customHeight="1">
      <c r="B178" s="25" t="s">
        <v>2266</v>
      </c>
      <c r="C178" s="2">
        <v>8218.458299999998</v>
      </c>
    </row>
    <row r="179" ht="14.25" customHeight="1">
      <c r="B179" s="25" t="s">
        <v>2267</v>
      </c>
      <c r="C179" s="2">
        <v>7874.718699999999</v>
      </c>
    </row>
    <row r="180" ht="14.25" customHeight="1">
      <c r="B180" s="25" t="s">
        <v>2268</v>
      </c>
      <c r="C180" s="2">
        <v>7451.563799999999</v>
      </c>
    </row>
    <row r="181" ht="14.25" customHeight="1">
      <c r="B181" s="25" t="s">
        <v>2269</v>
      </c>
      <c r="C181" s="2">
        <v>6854.0678</v>
      </c>
    </row>
    <row r="182" ht="14.25" customHeight="1">
      <c r="B182" s="25" t="s">
        <v>2270</v>
      </c>
      <c r="C182" s="2">
        <v>6685.084100000001</v>
      </c>
    </row>
    <row r="183" ht="14.25" customHeight="1">
      <c r="B183" s="25" t="s">
        <v>2271</v>
      </c>
      <c r="C183" s="2">
        <v>6606.2737</v>
      </c>
    </row>
    <row r="184" ht="14.25" customHeight="1">
      <c r="B184" s="25" t="s">
        <v>2245</v>
      </c>
      <c r="C184" s="2">
        <v>56746.845299999986</v>
      </c>
    </row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>
      <c r="B191" s="19" t="s">
        <v>2205</v>
      </c>
    </row>
    <row r="192" ht="14.25" customHeight="1"/>
    <row r="193" ht="14.25" customHeight="1">
      <c r="F193" s="19" t="s">
        <v>5</v>
      </c>
      <c r="G193" s="19" t="s">
        <v>2272</v>
      </c>
      <c r="H193" s="19" t="s">
        <v>2273</v>
      </c>
    </row>
    <row r="194" ht="14.25" customHeight="1">
      <c r="F194" s="18" t="str">
        <f t="shared" ref="F194:H194" si="3">B194</f>
        <v>Chicago</v>
      </c>
      <c r="G194" s="18">
        <f t="shared" si="3"/>
        <v>34676.51</v>
      </c>
      <c r="H194" s="18">
        <f t="shared" si="3"/>
        <v>34676.51</v>
      </c>
    </row>
    <row r="195" ht="14.25" customHeight="1">
      <c r="F195" s="2" t="str">
        <f t="shared" ref="F195:H195" si="4">B195</f>
        <v>Dallas</v>
      </c>
      <c r="G195" s="2">
        <f t="shared" si="4"/>
        <v>48591.26</v>
      </c>
      <c r="H195" s="2">
        <f t="shared" si="4"/>
        <v>48591.26</v>
      </c>
    </row>
    <row r="196" ht="14.25" customHeight="1">
      <c r="F196" s="2" t="str">
        <f t="shared" ref="F196:H196" si="5">B196</f>
        <v>Houston</v>
      </c>
      <c r="G196" s="2">
        <f t="shared" si="5"/>
        <v>63375.03</v>
      </c>
      <c r="H196" s="2">
        <f t="shared" si="5"/>
        <v>63375.03</v>
      </c>
    </row>
    <row r="197" ht="14.25" customHeight="1">
      <c r="F197" s="2" t="str">
        <f t="shared" ref="F197:H197" si="6">B197</f>
        <v>Los Angeles</v>
      </c>
      <c r="G197" s="2">
        <f t="shared" si="6"/>
        <v>49339.33</v>
      </c>
      <c r="H197" s="2">
        <f t="shared" si="6"/>
        <v>49339.33</v>
      </c>
    </row>
    <row r="198" ht="14.25" customHeight="1">
      <c r="F198" s="2" t="str">
        <f t="shared" ref="F198:H198" si="7">B198</f>
        <v>Miami</v>
      </c>
      <c r="G198" s="2">
        <f t="shared" si="7"/>
        <v>25924.28</v>
      </c>
      <c r="H198" s="2">
        <f t="shared" si="7"/>
        <v>25924.28</v>
      </c>
    </row>
    <row r="199" ht="14.25" customHeight="1">
      <c r="F199" s="2" t="str">
        <f t="shared" ref="F199:H199" si="8">B199</f>
        <v>New York</v>
      </c>
      <c r="G199" s="2">
        <f t="shared" si="8"/>
        <v>41839.18</v>
      </c>
      <c r="H199" s="2">
        <f t="shared" si="8"/>
        <v>41839.18</v>
      </c>
    </row>
    <row r="200" ht="14.25" customHeight="1">
      <c r="F200" s="2" t="str">
        <f t="shared" ref="F200:H200" si="9">B200</f>
        <v>Phoenix</v>
      </c>
      <c r="G200" s="2">
        <f t="shared" si="9"/>
        <v>47998.48</v>
      </c>
      <c r="H200" s="2">
        <f t="shared" si="9"/>
        <v>47998.48</v>
      </c>
    </row>
    <row r="201" ht="14.25" customHeight="1">
      <c r="F201" s="2" t="str">
        <f t="shared" ref="F201:H201" si="10">B201</f>
        <v>San Francisco</v>
      </c>
      <c r="G201" s="2">
        <f t="shared" si="10"/>
        <v>52545.42</v>
      </c>
      <c r="H201" s="2">
        <f t="shared" si="10"/>
        <v>52545.42</v>
      </c>
    </row>
    <row r="202" ht="14.25" customHeight="1">
      <c r="G202" s="2"/>
    </row>
    <row r="203" ht="14.25" customHeight="1"/>
    <row r="204" ht="14.25" customHeight="1"/>
    <row r="205" ht="14.25" customHeight="1"/>
    <row r="206" ht="14.25" customHeight="1"/>
    <row r="207" ht="14.25" customHeight="1">
      <c r="B207" s="19" t="s">
        <v>2207</v>
      </c>
    </row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>
      <c r="B416" s="2"/>
    </row>
    <row r="417" ht="14.25" customHeight="1">
      <c r="B417" s="2"/>
    </row>
    <row r="418" ht="14.25" customHeight="1">
      <c r="B418" s="2"/>
    </row>
    <row r="419" ht="14.25" customHeight="1">
      <c r="B419" s="2"/>
    </row>
    <row r="420" ht="14.25" customHeight="1">
      <c r="B420" s="2"/>
    </row>
    <row r="421" ht="14.25" customHeight="1">
      <c r="B421" s="2"/>
    </row>
    <row r="422" ht="14.25" customHeight="1">
      <c r="B422" s="2"/>
    </row>
    <row r="423" ht="14.25" customHeight="1">
      <c r="B423" s="2"/>
    </row>
    <row r="424" ht="14.25" customHeight="1">
      <c r="B424" s="2"/>
    </row>
    <row r="425" ht="14.25" customHeight="1">
      <c r="B425" s="2"/>
    </row>
    <row r="426" ht="14.25" customHeight="1">
      <c r="B426" s="2"/>
    </row>
    <row r="427" ht="14.25" customHeight="1">
      <c r="B427" s="2"/>
    </row>
    <row r="428" ht="14.25" customHeight="1">
      <c r="B428" s="2"/>
    </row>
    <row r="429" ht="14.25" customHeight="1">
      <c r="B429" s="2"/>
    </row>
    <row r="430" ht="14.25" customHeight="1">
      <c r="B430" s="2"/>
    </row>
    <row r="431" ht="14.25" customHeight="1">
      <c r="B431" s="2"/>
    </row>
    <row r="432" ht="14.25" customHeight="1">
      <c r="B432" s="2"/>
    </row>
    <row r="433" ht="14.25" customHeight="1">
      <c r="B433" s="2"/>
    </row>
    <row r="434" ht="14.25" customHeight="1">
      <c r="B434" s="2"/>
    </row>
    <row r="435" ht="14.25" customHeight="1">
      <c r="B435" s="2"/>
    </row>
    <row r="436" ht="14.25" customHeight="1">
      <c r="B436" s="2"/>
    </row>
    <row r="437" ht="14.25" customHeight="1">
      <c r="B437" s="2"/>
    </row>
    <row r="438" ht="14.25" customHeight="1">
      <c r="B438" s="2"/>
    </row>
    <row r="439" ht="14.25" customHeight="1">
      <c r="B439" s="2"/>
    </row>
    <row r="440" ht="14.25" customHeight="1">
      <c r="B440" s="2"/>
    </row>
    <row r="441" ht="14.25" customHeight="1">
      <c r="B441" s="2"/>
    </row>
    <row r="442" ht="14.25" customHeight="1">
      <c r="B442" s="2"/>
    </row>
    <row r="443" ht="14.25" customHeight="1">
      <c r="B443" s="2"/>
    </row>
    <row r="444" ht="14.25" customHeight="1">
      <c r="B444" s="2"/>
    </row>
    <row r="445" ht="14.25" customHeight="1">
      <c r="B445" s="2"/>
    </row>
    <row r="446" ht="14.25" customHeight="1">
      <c r="B446" s="2"/>
    </row>
    <row r="447" ht="14.25" customHeight="1">
      <c r="B447" s="2"/>
    </row>
    <row r="448" ht="14.25" customHeight="1">
      <c r="B448" s="2"/>
    </row>
    <row r="449" ht="14.25" customHeight="1">
      <c r="B449" s="2"/>
    </row>
    <row r="450" ht="14.25" customHeight="1">
      <c r="B450" s="2"/>
    </row>
    <row r="451" ht="14.25" customHeight="1">
      <c r="B451" s="2"/>
    </row>
    <row r="452" ht="14.25" customHeight="1">
      <c r="B452" s="2"/>
    </row>
    <row r="453" ht="14.25" customHeight="1">
      <c r="B453" s="2"/>
    </row>
    <row r="454" ht="14.25" customHeight="1">
      <c r="B454" s="2"/>
    </row>
    <row r="455" ht="14.25" customHeight="1">
      <c r="B455" s="2"/>
    </row>
    <row r="456" ht="14.25" customHeight="1">
      <c r="B456" s="2"/>
    </row>
    <row r="457" ht="14.25" customHeight="1">
      <c r="B457" s="2"/>
    </row>
    <row r="458" ht="14.25" customHeight="1">
      <c r="B458" s="2"/>
    </row>
    <row r="459" ht="14.25" customHeight="1">
      <c r="B459" s="2"/>
    </row>
    <row r="460" ht="14.25" customHeight="1">
      <c r="B460" s="2"/>
    </row>
    <row r="461" ht="14.25" customHeight="1">
      <c r="B461" s="2"/>
    </row>
    <row r="462" ht="14.25" customHeight="1">
      <c r="B462" s="2"/>
    </row>
    <row r="463" ht="14.25" customHeight="1">
      <c r="B463" s="2"/>
    </row>
    <row r="464" ht="14.25" customHeight="1">
      <c r="B464" s="2"/>
    </row>
    <row r="465" ht="14.25" customHeight="1">
      <c r="B465" s="2"/>
    </row>
    <row r="466" ht="14.25" customHeight="1">
      <c r="B466" s="2"/>
    </row>
    <row r="467" ht="14.25" customHeight="1">
      <c r="B467" s="2"/>
    </row>
    <row r="468" ht="14.25" customHeight="1">
      <c r="B468" s="2"/>
    </row>
    <row r="469" ht="14.25" customHeight="1">
      <c r="B469" s="2"/>
    </row>
    <row r="470" ht="14.25" customHeight="1">
      <c r="B470" s="2"/>
    </row>
    <row r="471" ht="14.25" customHeight="1">
      <c r="B471" s="2"/>
    </row>
    <row r="472" ht="14.25" customHeight="1">
      <c r="B472" s="2"/>
    </row>
    <row r="473" ht="14.25" customHeight="1">
      <c r="B473" s="2"/>
    </row>
    <row r="474" ht="14.25" customHeight="1">
      <c r="B474" s="2"/>
    </row>
    <row r="475" ht="14.25" customHeight="1">
      <c r="B475" s="2"/>
    </row>
    <row r="476" ht="14.25" customHeight="1">
      <c r="B476" s="2"/>
    </row>
    <row r="477" ht="14.25" customHeight="1">
      <c r="B477" s="2"/>
    </row>
    <row r="478" ht="14.25" customHeight="1">
      <c r="B478" s="2"/>
    </row>
    <row r="479" ht="14.25" customHeight="1">
      <c r="B479" s="2"/>
    </row>
    <row r="480" ht="14.25" customHeight="1">
      <c r="B480" s="2"/>
    </row>
    <row r="481" ht="14.25" customHeight="1">
      <c r="B481" s="2"/>
    </row>
    <row r="482" ht="14.25" customHeight="1">
      <c r="B482" s="2"/>
    </row>
    <row r="483" ht="14.25" customHeight="1">
      <c r="B483" s="2"/>
    </row>
    <row r="484" ht="14.25" customHeight="1">
      <c r="B484" s="2"/>
    </row>
    <row r="485" ht="14.25" customHeight="1">
      <c r="B485" s="2"/>
    </row>
    <row r="486" ht="14.25" customHeight="1">
      <c r="B486" s="2"/>
    </row>
    <row r="487" ht="14.25" customHeight="1">
      <c r="B487" s="2"/>
    </row>
    <row r="488" ht="14.25" customHeight="1">
      <c r="B488" s="2"/>
    </row>
    <row r="489" ht="14.25" customHeight="1">
      <c r="B489" s="2"/>
    </row>
    <row r="490" ht="14.25" customHeight="1">
      <c r="B490" s="2"/>
    </row>
    <row r="491" ht="14.25" customHeight="1">
      <c r="B491" s="2"/>
    </row>
    <row r="492" ht="14.25" customHeight="1">
      <c r="B492" s="2"/>
    </row>
    <row r="493" ht="14.25" customHeight="1">
      <c r="B493" s="2"/>
    </row>
    <row r="494" ht="14.25" customHeight="1">
      <c r="B494" s="2"/>
    </row>
    <row r="495" ht="14.25" customHeight="1">
      <c r="B495" s="2"/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  <row r="991" ht="14.25" customHeight="1">
      <c r="B991" s="2"/>
    </row>
    <row r="992" ht="14.25" customHeight="1">
      <c r="B992" s="2"/>
    </row>
    <row r="993" ht="14.25" customHeight="1">
      <c r="B993" s="2"/>
    </row>
    <row r="994" ht="14.25" customHeight="1">
      <c r="B994" s="2"/>
    </row>
    <row r="995" ht="14.25" customHeight="1">
      <c r="B995" s="2"/>
    </row>
    <row r="996" ht="14.25" customHeight="1">
      <c r="B996" s="2"/>
    </row>
    <row r="997" ht="14.25" customHeight="1">
      <c r="B997" s="2"/>
    </row>
    <row r="998" ht="14.25" customHeight="1">
      <c r="B998" s="2"/>
    </row>
    <row r="999" ht="14.25" customHeight="1">
      <c r="B999" s="2"/>
    </row>
    <row r="1000" ht="14.25" customHeight="1">
      <c r="B1000" s="2"/>
    </row>
  </sheetData>
  <mergeCells count="15">
    <mergeCell ref="C45:G45"/>
    <mergeCell ref="C50:D50"/>
    <mergeCell ref="C55:H55"/>
    <mergeCell ref="D56:H56"/>
    <mergeCell ref="D57:H57"/>
    <mergeCell ref="C62:H62"/>
    <mergeCell ref="C67:E67"/>
    <mergeCell ref="C68:K68"/>
    <mergeCell ref="D4:G4"/>
    <mergeCell ref="D8:G8"/>
    <mergeCell ref="C12:E12"/>
    <mergeCell ref="C24:I24"/>
    <mergeCell ref="C28:D28"/>
    <mergeCell ref="C29:E29"/>
    <mergeCell ref="C39:E39"/>
  </mergeCells>
  <printOptions/>
  <pageMargins bottom="0.75" footer="0.0" header="0.0" left="0.7" right="0.7" top="0.75"/>
  <pageSetup orientation="portrait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2025-02-08T05:14:48Z</dcterms:created>
  <dc:creator>LENOVO</dc:creator>
</cp:coreProperties>
</file>